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Paste_K01" sheetId="3" state="visible" r:id="rId3"/>
    <sheet xmlns:r="http://schemas.openxmlformats.org/officeDocument/2006/relationships" name="Paste_Budget" sheetId="4" state="visible" r:id="rId4"/>
    <sheet xmlns:r="http://schemas.openxmlformats.org/officeDocument/2006/relationships" name="MIS_lak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1F4E9E"/>
    </font>
    <font>
      <i val="1"/>
      <color rgb="0059595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Monthly MIS in ₹ lakh (presentation template)</t>
        </is>
      </c>
    </row>
    <row r="2"/>
    <row r="3">
      <c r="A3" s="2" t="inlineStr">
        <is>
          <t>Paste K01 › Export_Rows VALUES into 'Paste_K01' (and optional budget values into 'Paste_Budget' in the same layout).</t>
        </is>
      </c>
    </row>
    <row r="4">
      <c r="A4" s="2" t="inlineStr">
        <is>
          <t>'MIS_lakh' shows the month-by-month MIS in ₹ lakh (÷ 1,00,000, 2 decimals) with Indian FY totals; 'Checks' proves the lakh view ties to the pasted rupees.</t>
        </is>
      </c>
    </row>
    <row r="5">
      <c r="A5" s="2" t="inlineStr">
        <is>
          <t>No formulas reference other files; nothing refreshes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0" customWidth="1" min="2" max="2"/>
    <col width="10" customWidth="1" min="3" max="3"/>
  </cols>
  <sheetData>
    <row r="1">
      <c r="A1" s="1" t="inlineStr">
        <is>
          <t>Checks</t>
        </is>
      </c>
    </row>
    <row r="2"/>
    <row r="3">
      <c r="B3" s="3" t="inlineStr">
        <is>
          <t>OVERALL</t>
        </is>
      </c>
      <c r="C3" s="4">
        <f>IF(COUNTIF(C5:C6,"PASS")=COUNT(A5:A6),"PASS","FAIL")</f>
        <v/>
      </c>
    </row>
    <row r="4">
      <c r="A4" s="5" t="inlineStr">
        <is>
          <t>#</t>
        </is>
      </c>
      <c r="B4" s="5" t="inlineStr">
        <is>
          <t>check</t>
        </is>
      </c>
      <c r="C4" s="5" t="inlineStr">
        <is>
          <t>result</t>
        </is>
      </c>
    </row>
    <row r="5">
      <c r="A5" t="n">
        <v>1</v>
      </c>
      <c r="B5" s="6" t="inlineStr">
        <is>
          <t>lakh revenue total ties to pasted rupees (within rounding)</t>
        </is>
      </c>
      <c r="C5" s="6">
        <f>IF(ABS(MIS_lakh!N5*100000-SUM(Paste_K01!E5:E16))&lt;=12*500,"PASS","FAIL")</f>
        <v/>
      </c>
    </row>
    <row r="6">
      <c r="A6" t="n">
        <v>2</v>
      </c>
      <c r="B6" s="6" t="inlineStr">
        <is>
          <t>period labels present when data pasted</t>
        </is>
      </c>
      <c r="C6" s="6">
        <f>IF(OR(COUNT(Paste_K01!E5:E16)=0,COUNTA(Paste_K01!B5:B16)&gt;0),"PASS","FAIL")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Paste_K01 - paste values with this header (row 4)</t>
        </is>
      </c>
    </row>
    <row r="2"/>
    <row r="3"/>
    <row r="4">
      <c r="A4" s="5" t="inlineStr">
        <is>
          <t>month_no</t>
        </is>
      </c>
      <c r="B4" s="5" t="inlineStr">
        <is>
          <t>period</t>
        </is>
      </c>
      <c r="C4" s="5" t="inlineStr">
        <is>
          <t>indian_fiscal_year</t>
        </is>
      </c>
      <c r="D4" s="5" t="inlineStr">
        <is>
          <t>fiscal_quarter</t>
        </is>
      </c>
      <c r="E4" s="5" t="inlineStr">
        <is>
          <t>revenue</t>
        </is>
      </c>
      <c r="F4" s="5" t="inlineStr">
        <is>
          <t>cogs</t>
        </is>
      </c>
      <c r="G4" s="5" t="inlineStr">
        <is>
          <t>gross_profit</t>
        </is>
      </c>
      <c r="H4" s="5" t="inlineStr">
        <is>
          <t>opex</t>
        </is>
      </c>
      <c r="I4" s="5" t="inlineStr">
        <is>
          <t>ebitda</t>
        </is>
      </c>
      <c r="J4" s="5" t="inlineStr">
        <is>
          <t>da</t>
        </is>
      </c>
      <c r="K4" s="5" t="inlineStr">
        <is>
          <t>interest</t>
        </is>
      </c>
      <c r="L4" s="5" t="inlineStr">
        <is>
          <t>pretax_income</t>
        </is>
      </c>
      <c r="M4" s="5" t="inlineStr">
        <is>
          <t>tax</t>
        </is>
      </c>
      <c r="N4" s="5" t="inlineStr">
        <is>
          <t>net_income</t>
        </is>
      </c>
      <c r="O4" s="5" t="inlineStr">
        <is>
          <t>wc_cash_impact</t>
        </is>
      </c>
      <c r="P4" s="5" t="inlineStr">
        <is>
          <t>operating_cash_flow</t>
        </is>
      </c>
      <c r="Q4" s="5" t="inlineStr">
        <is>
          <t>capex</t>
        </is>
      </c>
      <c r="R4" s="5" t="inlineStr">
        <is>
          <t>principal</t>
        </is>
      </c>
      <c r="S4" s="5" t="inlineStr">
        <is>
          <t>free_cash_flow</t>
        </is>
      </c>
      <c r="T4" s="5" t="inlineStr">
        <is>
          <t>change_in_cash</t>
        </is>
      </c>
      <c r="U4" s="5" t="inlineStr">
        <is>
          <t>ending_cash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Paste_Budget - paste values with this header (row 4)</t>
        </is>
      </c>
    </row>
    <row r="2"/>
    <row r="3"/>
    <row r="4">
      <c r="A4" s="5" t="inlineStr">
        <is>
          <t>month_no</t>
        </is>
      </c>
      <c r="B4" s="5" t="inlineStr">
        <is>
          <t>period</t>
        </is>
      </c>
      <c r="C4" s="5" t="inlineStr">
        <is>
          <t>indian_fiscal_year</t>
        </is>
      </c>
      <c r="D4" s="5" t="inlineStr">
        <is>
          <t>fiscal_quarter</t>
        </is>
      </c>
      <c r="E4" s="5" t="inlineStr">
        <is>
          <t>revenue</t>
        </is>
      </c>
      <c r="F4" s="5" t="inlineStr">
        <is>
          <t>cogs</t>
        </is>
      </c>
      <c r="G4" s="5" t="inlineStr">
        <is>
          <t>gross_profit</t>
        </is>
      </c>
      <c r="H4" s="5" t="inlineStr">
        <is>
          <t>opex</t>
        </is>
      </c>
      <c r="I4" s="5" t="inlineStr">
        <is>
          <t>ebitda</t>
        </is>
      </c>
      <c r="J4" s="5" t="inlineStr">
        <is>
          <t>da</t>
        </is>
      </c>
      <c r="K4" s="5" t="inlineStr">
        <is>
          <t>interest</t>
        </is>
      </c>
      <c r="L4" s="5" t="inlineStr">
        <is>
          <t>pretax_income</t>
        </is>
      </c>
      <c r="M4" s="5" t="inlineStr">
        <is>
          <t>tax</t>
        </is>
      </c>
      <c r="N4" s="5" t="inlineStr">
        <is>
          <t>net_income</t>
        </is>
      </c>
      <c r="O4" s="5" t="inlineStr">
        <is>
          <t>wc_cash_impact</t>
        </is>
      </c>
      <c r="P4" s="5" t="inlineStr">
        <is>
          <t>operating_cash_flow</t>
        </is>
      </c>
      <c r="Q4" s="5" t="inlineStr">
        <is>
          <t>capex</t>
        </is>
      </c>
      <c r="R4" s="5" t="inlineStr">
        <is>
          <t>principal</t>
        </is>
      </c>
      <c r="S4" s="5" t="inlineStr">
        <is>
          <t>free_cash_flow</t>
        </is>
      </c>
      <c r="T4" s="5" t="inlineStr">
        <is>
          <t>change_in_cash</t>
        </is>
      </c>
      <c r="U4" s="5" t="inlineStr">
        <is>
          <t>ending_cash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14" max="14"/>
    <col width="14" customWidth="1" min="15" max="15"/>
    <col width="12" customWidth="1" min="16" max="16"/>
    <col width="11" customWidth="1" min="17" max="17"/>
  </cols>
  <sheetData>
    <row r="1">
      <c r="A1" s="1" t="inlineStr">
        <is>
          <t>MIS (₹ lakh)</t>
        </is>
      </c>
    </row>
    <row r="2">
      <c r="A2" s="8" t="inlineStr">
        <is>
          <t>Actual/forecast vs budget</t>
        </is>
      </c>
    </row>
    <row r="3"/>
    <row r="4">
      <c r="A4" s="5" t="inlineStr">
        <is>
          <t>line</t>
        </is>
      </c>
      <c r="B4" s="5">
        <f>IF(Paste_K01!B5="","M1",Paste_K01!B5)</f>
        <v/>
      </c>
      <c r="C4" s="5">
        <f>IF(Paste_K01!B6="","M2",Paste_K01!B6)</f>
        <v/>
      </c>
      <c r="D4" s="5">
        <f>IF(Paste_K01!B7="","M3",Paste_K01!B7)</f>
        <v/>
      </c>
      <c r="E4" s="5">
        <f>IF(Paste_K01!B8="","M4",Paste_K01!B8)</f>
        <v/>
      </c>
      <c r="F4" s="5">
        <f>IF(Paste_K01!B9="","M5",Paste_K01!B9)</f>
        <v/>
      </c>
      <c r="G4" s="5">
        <f>IF(Paste_K01!B10="","M6",Paste_K01!B10)</f>
        <v/>
      </c>
      <c r="H4" s="5">
        <f>IF(Paste_K01!B11="","M7",Paste_K01!B11)</f>
        <v/>
      </c>
      <c r="I4" s="5">
        <f>IF(Paste_K01!B12="","M8",Paste_K01!B12)</f>
        <v/>
      </c>
      <c r="J4" s="5">
        <f>IF(Paste_K01!B13="","M9",Paste_K01!B13)</f>
        <v/>
      </c>
      <c r="K4" s="5">
        <f>IF(Paste_K01!B14="","M10",Paste_K01!B14)</f>
        <v/>
      </c>
      <c r="L4" s="5">
        <f>IF(Paste_K01!B15="","M11",Paste_K01!B15)</f>
        <v/>
      </c>
      <c r="M4" s="5">
        <f>IF(Paste_K01!B16="","M12",Paste_K01!B16)</f>
        <v/>
      </c>
      <c r="N4" s="5" t="inlineStr">
        <is>
          <t>12-month total (ending cash: last)</t>
        </is>
      </c>
      <c r="O4" s="5" t="inlineStr">
        <is>
          <t>budget (12 m)</t>
        </is>
      </c>
      <c r="P4" s="5" t="inlineStr">
        <is>
          <t>variance</t>
        </is>
      </c>
      <c r="Q4" s="5" t="inlineStr">
        <is>
          <t>variance %</t>
        </is>
      </c>
    </row>
    <row r="5">
      <c r="A5" s="3" t="inlineStr">
        <is>
          <t>revenue</t>
        </is>
      </c>
      <c r="B5" s="9">
        <f>IF(Paste_K01!E5="","",ROUND(Paste_K01!E5/100000,2))</f>
        <v/>
      </c>
      <c r="C5" s="9">
        <f>IF(Paste_K01!E6="","",ROUND(Paste_K01!E6/100000,2))</f>
        <v/>
      </c>
      <c r="D5" s="9">
        <f>IF(Paste_K01!E7="","",ROUND(Paste_K01!E7/100000,2))</f>
        <v/>
      </c>
      <c r="E5" s="9">
        <f>IF(Paste_K01!E8="","",ROUND(Paste_K01!E8/100000,2))</f>
        <v/>
      </c>
      <c r="F5" s="9">
        <f>IF(Paste_K01!E9="","",ROUND(Paste_K01!E9/100000,2))</f>
        <v/>
      </c>
      <c r="G5" s="9">
        <f>IF(Paste_K01!E10="","",ROUND(Paste_K01!E10/100000,2))</f>
        <v/>
      </c>
      <c r="H5" s="9">
        <f>IF(Paste_K01!E11="","",ROUND(Paste_K01!E11/100000,2))</f>
        <v/>
      </c>
      <c r="I5" s="9">
        <f>IF(Paste_K01!E12="","",ROUND(Paste_K01!E12/100000,2))</f>
        <v/>
      </c>
      <c r="J5" s="9">
        <f>IF(Paste_K01!E13="","",ROUND(Paste_K01!E13/100000,2))</f>
        <v/>
      </c>
      <c r="K5" s="9">
        <f>IF(Paste_K01!E14="","",ROUND(Paste_K01!E14/100000,2))</f>
        <v/>
      </c>
      <c r="L5" s="9">
        <f>IF(Paste_K01!E15="","",ROUND(Paste_K01!E15/100000,2))</f>
        <v/>
      </c>
      <c r="M5" s="9">
        <f>IF(Paste_K01!E16="","",ROUND(Paste_K01!E16/100000,2))</f>
        <v/>
      </c>
      <c r="N5" s="9">
        <f>ROUND(SUM(Paste_K01!E5:E16)/100000,2)</f>
        <v/>
      </c>
      <c r="O5" s="9">
        <f>IF(COUNT(Paste_Budget!E5:E16)=0,"",ROUND(SUM(Paste_Budget!E5:E16)/100000,2))</f>
        <v/>
      </c>
      <c r="P5" s="9">
        <f>IF(OR(N5="",O5=""),"",N5-O5)</f>
        <v/>
      </c>
      <c r="Q5" s="10">
        <f>IF(OR(P5="",N(O5)=0),"",P5/ABS(O5))</f>
        <v/>
      </c>
    </row>
    <row r="6">
      <c r="A6" s="3" t="inlineStr">
        <is>
          <t>gross_profit</t>
        </is>
      </c>
      <c r="B6" s="9">
        <f>IF(Paste_K01!G5="","",ROUND(Paste_K01!G5/100000,2))</f>
        <v/>
      </c>
      <c r="C6" s="9">
        <f>IF(Paste_K01!G6="","",ROUND(Paste_K01!G6/100000,2))</f>
        <v/>
      </c>
      <c r="D6" s="9">
        <f>IF(Paste_K01!G7="","",ROUND(Paste_K01!G7/100000,2))</f>
        <v/>
      </c>
      <c r="E6" s="9">
        <f>IF(Paste_K01!G8="","",ROUND(Paste_K01!G8/100000,2))</f>
        <v/>
      </c>
      <c r="F6" s="9">
        <f>IF(Paste_K01!G9="","",ROUND(Paste_K01!G9/100000,2))</f>
        <v/>
      </c>
      <c r="G6" s="9">
        <f>IF(Paste_K01!G10="","",ROUND(Paste_K01!G10/100000,2))</f>
        <v/>
      </c>
      <c r="H6" s="9">
        <f>IF(Paste_K01!G11="","",ROUND(Paste_K01!G11/100000,2))</f>
        <v/>
      </c>
      <c r="I6" s="9">
        <f>IF(Paste_K01!G12="","",ROUND(Paste_K01!G12/100000,2))</f>
        <v/>
      </c>
      <c r="J6" s="9">
        <f>IF(Paste_K01!G13="","",ROUND(Paste_K01!G13/100000,2))</f>
        <v/>
      </c>
      <c r="K6" s="9">
        <f>IF(Paste_K01!G14="","",ROUND(Paste_K01!G14/100000,2))</f>
        <v/>
      </c>
      <c r="L6" s="9">
        <f>IF(Paste_K01!G15="","",ROUND(Paste_K01!G15/100000,2))</f>
        <v/>
      </c>
      <c r="M6" s="9">
        <f>IF(Paste_K01!G16="","",ROUND(Paste_K01!G16/100000,2))</f>
        <v/>
      </c>
      <c r="N6" s="9">
        <f>ROUND(SUM(Paste_K01!G5:G16)/100000,2)</f>
        <v/>
      </c>
      <c r="O6" s="9">
        <f>IF(COUNT(Paste_Budget!G5:G16)=0,"",ROUND(SUM(Paste_Budget!G5:G16)/100000,2))</f>
        <v/>
      </c>
      <c r="P6" s="9">
        <f>IF(OR(N6="",O6=""),"",N6-O6)</f>
        <v/>
      </c>
      <c r="Q6" s="10">
        <f>IF(OR(P6="",N(O6)=0),"",P6/ABS(O6))</f>
        <v/>
      </c>
    </row>
    <row r="7">
      <c r="A7" s="3" t="inlineStr">
        <is>
          <t>ebitda</t>
        </is>
      </c>
      <c r="B7" s="9">
        <f>IF(Paste_K01!I5="","",ROUND(Paste_K01!I5/100000,2))</f>
        <v/>
      </c>
      <c r="C7" s="9">
        <f>IF(Paste_K01!I6="","",ROUND(Paste_K01!I6/100000,2))</f>
        <v/>
      </c>
      <c r="D7" s="9">
        <f>IF(Paste_K01!I7="","",ROUND(Paste_K01!I7/100000,2))</f>
        <v/>
      </c>
      <c r="E7" s="9">
        <f>IF(Paste_K01!I8="","",ROUND(Paste_K01!I8/100000,2))</f>
        <v/>
      </c>
      <c r="F7" s="9">
        <f>IF(Paste_K01!I9="","",ROUND(Paste_K01!I9/100000,2))</f>
        <v/>
      </c>
      <c r="G7" s="9">
        <f>IF(Paste_K01!I10="","",ROUND(Paste_K01!I10/100000,2))</f>
        <v/>
      </c>
      <c r="H7" s="9">
        <f>IF(Paste_K01!I11="","",ROUND(Paste_K01!I11/100000,2))</f>
        <v/>
      </c>
      <c r="I7" s="9">
        <f>IF(Paste_K01!I12="","",ROUND(Paste_K01!I12/100000,2))</f>
        <v/>
      </c>
      <c r="J7" s="9">
        <f>IF(Paste_K01!I13="","",ROUND(Paste_K01!I13/100000,2))</f>
        <v/>
      </c>
      <c r="K7" s="9">
        <f>IF(Paste_K01!I14="","",ROUND(Paste_K01!I14/100000,2))</f>
        <v/>
      </c>
      <c r="L7" s="9">
        <f>IF(Paste_K01!I15="","",ROUND(Paste_K01!I15/100000,2))</f>
        <v/>
      </c>
      <c r="M7" s="9">
        <f>IF(Paste_K01!I16="","",ROUND(Paste_K01!I16/100000,2))</f>
        <v/>
      </c>
      <c r="N7" s="9">
        <f>ROUND(SUM(Paste_K01!I5:I16)/100000,2)</f>
        <v/>
      </c>
      <c r="O7" s="9">
        <f>IF(COUNT(Paste_Budget!I5:I16)=0,"",ROUND(SUM(Paste_Budget!I5:I16)/100000,2))</f>
        <v/>
      </c>
      <c r="P7" s="9">
        <f>IF(OR(N7="",O7=""),"",N7-O7)</f>
        <v/>
      </c>
      <c r="Q7" s="10">
        <f>IF(OR(P7="",N(O7)=0),"",P7/ABS(O7))</f>
        <v/>
      </c>
    </row>
    <row r="8">
      <c r="A8" s="3" t="inlineStr">
        <is>
          <t>net_income</t>
        </is>
      </c>
      <c r="B8" s="9">
        <f>IF(Paste_K01!N5="","",ROUND(Paste_K01!N5/100000,2))</f>
        <v/>
      </c>
      <c r="C8" s="9">
        <f>IF(Paste_K01!N6="","",ROUND(Paste_K01!N6/100000,2))</f>
        <v/>
      </c>
      <c r="D8" s="9">
        <f>IF(Paste_K01!N7="","",ROUND(Paste_K01!N7/100000,2))</f>
        <v/>
      </c>
      <c r="E8" s="9">
        <f>IF(Paste_K01!N8="","",ROUND(Paste_K01!N8/100000,2))</f>
        <v/>
      </c>
      <c r="F8" s="9">
        <f>IF(Paste_K01!N9="","",ROUND(Paste_K01!N9/100000,2))</f>
        <v/>
      </c>
      <c r="G8" s="9">
        <f>IF(Paste_K01!N10="","",ROUND(Paste_K01!N10/100000,2))</f>
        <v/>
      </c>
      <c r="H8" s="9">
        <f>IF(Paste_K01!N11="","",ROUND(Paste_K01!N11/100000,2))</f>
        <v/>
      </c>
      <c r="I8" s="9">
        <f>IF(Paste_K01!N12="","",ROUND(Paste_K01!N12/100000,2))</f>
        <v/>
      </c>
      <c r="J8" s="9">
        <f>IF(Paste_K01!N13="","",ROUND(Paste_K01!N13/100000,2))</f>
        <v/>
      </c>
      <c r="K8" s="9">
        <f>IF(Paste_K01!N14="","",ROUND(Paste_K01!N14/100000,2))</f>
        <v/>
      </c>
      <c r="L8" s="9">
        <f>IF(Paste_K01!N15="","",ROUND(Paste_K01!N15/100000,2))</f>
        <v/>
      </c>
      <c r="M8" s="9">
        <f>IF(Paste_K01!N16="","",ROUND(Paste_K01!N16/100000,2))</f>
        <v/>
      </c>
      <c r="N8" s="9">
        <f>ROUND(SUM(Paste_K01!N5:N16)/100000,2)</f>
        <v/>
      </c>
      <c r="O8" s="9">
        <f>IF(COUNT(Paste_Budget!N5:N16)=0,"",ROUND(SUM(Paste_Budget!N5:N16)/100000,2))</f>
        <v/>
      </c>
      <c r="P8" s="9">
        <f>IF(OR(N8="",O8=""),"",N8-O8)</f>
        <v/>
      </c>
      <c r="Q8" s="10">
        <f>IF(OR(P8="",N(O8)=0),"",P8/ABS(O8))</f>
        <v/>
      </c>
    </row>
    <row r="9">
      <c r="A9" s="3" t="inlineStr">
        <is>
          <t>free_cash_flow</t>
        </is>
      </c>
      <c r="B9" s="9">
        <f>IF(Paste_K01!S5="","",ROUND(Paste_K01!S5/100000,2))</f>
        <v/>
      </c>
      <c r="C9" s="9">
        <f>IF(Paste_K01!S6="","",ROUND(Paste_K01!S6/100000,2))</f>
        <v/>
      </c>
      <c r="D9" s="9">
        <f>IF(Paste_K01!S7="","",ROUND(Paste_K01!S7/100000,2))</f>
        <v/>
      </c>
      <c r="E9" s="9">
        <f>IF(Paste_K01!S8="","",ROUND(Paste_K01!S8/100000,2))</f>
        <v/>
      </c>
      <c r="F9" s="9">
        <f>IF(Paste_K01!S9="","",ROUND(Paste_K01!S9/100000,2))</f>
        <v/>
      </c>
      <c r="G9" s="9">
        <f>IF(Paste_K01!S10="","",ROUND(Paste_K01!S10/100000,2))</f>
        <v/>
      </c>
      <c r="H9" s="9">
        <f>IF(Paste_K01!S11="","",ROUND(Paste_K01!S11/100000,2))</f>
        <v/>
      </c>
      <c r="I9" s="9">
        <f>IF(Paste_K01!S12="","",ROUND(Paste_K01!S12/100000,2))</f>
        <v/>
      </c>
      <c r="J9" s="9">
        <f>IF(Paste_K01!S13="","",ROUND(Paste_K01!S13/100000,2))</f>
        <v/>
      </c>
      <c r="K9" s="9">
        <f>IF(Paste_K01!S14="","",ROUND(Paste_K01!S14/100000,2))</f>
        <v/>
      </c>
      <c r="L9" s="9">
        <f>IF(Paste_K01!S15="","",ROUND(Paste_K01!S15/100000,2))</f>
        <v/>
      </c>
      <c r="M9" s="9">
        <f>IF(Paste_K01!S16="","",ROUND(Paste_K01!S16/100000,2))</f>
        <v/>
      </c>
      <c r="N9" s="9">
        <f>ROUND(SUM(Paste_K01!S5:S16)/100000,2)</f>
        <v/>
      </c>
      <c r="O9" s="9">
        <f>IF(COUNT(Paste_Budget!S5:S16)=0,"",ROUND(SUM(Paste_Budget!S5:S16)/100000,2))</f>
        <v/>
      </c>
      <c r="P9" s="9">
        <f>IF(OR(N9="",O9=""),"",N9-O9)</f>
        <v/>
      </c>
      <c r="Q9" s="10">
        <f>IF(OR(P9="",N(O9)=0),"",P9/ABS(O9))</f>
        <v/>
      </c>
    </row>
    <row r="10">
      <c r="A10" s="3" t="inlineStr">
        <is>
          <t>ending_cash</t>
        </is>
      </c>
      <c r="B10" s="9">
        <f>IF(Paste_K01!U5="","",ROUND(Paste_K01!U5/100000,2))</f>
        <v/>
      </c>
      <c r="C10" s="9">
        <f>IF(Paste_K01!U6="","",ROUND(Paste_K01!U6/100000,2))</f>
        <v/>
      </c>
      <c r="D10" s="9">
        <f>IF(Paste_K01!U7="","",ROUND(Paste_K01!U7/100000,2))</f>
        <v/>
      </c>
      <c r="E10" s="9">
        <f>IF(Paste_K01!U8="","",ROUND(Paste_K01!U8/100000,2))</f>
        <v/>
      </c>
      <c r="F10" s="9">
        <f>IF(Paste_K01!U9="","",ROUND(Paste_K01!U9/100000,2))</f>
        <v/>
      </c>
      <c r="G10" s="9">
        <f>IF(Paste_K01!U10="","",ROUND(Paste_K01!U10/100000,2))</f>
        <v/>
      </c>
      <c r="H10" s="9">
        <f>IF(Paste_K01!U11="","",ROUND(Paste_K01!U11/100000,2))</f>
        <v/>
      </c>
      <c r="I10" s="9">
        <f>IF(Paste_K01!U12="","",ROUND(Paste_K01!U12/100000,2))</f>
        <v/>
      </c>
      <c r="J10" s="9">
        <f>IF(Paste_K01!U13="","",ROUND(Paste_K01!U13/100000,2))</f>
        <v/>
      </c>
      <c r="K10" s="9">
        <f>IF(Paste_K01!U14="","",ROUND(Paste_K01!U14/100000,2))</f>
        <v/>
      </c>
      <c r="L10" s="9">
        <f>IF(Paste_K01!U15="","",ROUND(Paste_K01!U15/100000,2))</f>
        <v/>
      </c>
      <c r="M10" s="9">
        <f>IF(Paste_K01!U16="","",ROUND(Paste_K01!U16/100000,2))</f>
        <v/>
      </c>
      <c r="N10" s="9">
        <f>IF(COUNT(B10:M10)=0,"",INDEX(B10:M10,1,COUNT(B10:M10)))</f>
        <v/>
      </c>
      <c r="O10" s="9">
        <f>IF(COUNT(Paste_Budget!U5:U16)=0,"",ROUND(INDEX(Paste_Budget!U5:U16,COUNT(Paste_Budget!U5:U16),1)/100000,2))</f>
        <v/>
      </c>
      <c r="P10" s="9">
        <f>IF(OR(N10="",O10=""),"",N10-O10)</f>
        <v/>
      </c>
      <c r="Q10" s="10">
        <f>IF(OR(P10="",N(O10)=0),"",P10/ABS(O10))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2026-10-18T18:42:35Z</dcterms:created>
  <dcterms:modified xmlns:dcterms="http://purl.org/dc/terms/" xmlns:xsi="http://www.w3.org/2001/XMLSchema-instance" xsi:type="dcterms:W3CDTF">2026-10-18T18:42:35Z</dcterms:modified>
</cp:coreProperties>
</file>