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Grid" sheetId="5" state="visible" r:id="rId5"/>
    <sheet xmlns:r="http://schemas.openxmlformats.org/officeDocument/2006/relationships" name="Weekly" sheetId="6" state="visible" r:id="rId6"/>
    <sheet xmlns:r="http://schemas.openxmlformats.org/officeDocument/2006/relationships" name="Runway" sheetId="7" state="visible" r:id="rId7"/>
    <sheet xmlns:r="http://schemas.openxmlformats.org/officeDocument/2006/relationships" name="DateToWeek" sheetId="8" state="visible" r:id="rId8"/>
  </sheets>
  <definedNames>
    <definedName name="c13_open">'Setup'!$B$4</definedName>
    <definedName name="c13_weeks">'Setup'!$B$5</definedName>
    <definedName name="c13_start">'Setup'!$B$6</definedName>
    <definedName name="c13_buffer">'Setup'!$B$7</definedName>
    <definedName name="rw_min_cash">'Runway'!$B$4</definedName>
    <definedName name="rw_min_week">'Runway'!$B$5</definedName>
    <definedName name="rw_first_negative">'Runway'!$B$6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3" fillId="2" borderId="1" pivotButton="0" quotePrefix="0" xfId="0"/>
    <xf numFmtId="1" fontId="3" fillId="2" borderId="1" pivotButton="0" quotePrefix="0" xfId="0"/>
    <xf numFmtId="165" fontId="3" fillId="2" borderId="1" pivotButton="0" quotePrefix="0" xfId="0"/>
    <xf numFmtId="166" fontId="3" fillId="2" borderId="1" pivotButton="0" quotePrefix="0" xfId="0"/>
    <xf numFmtId="0" fontId="3" fillId="2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1" fontId="5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K02 · 13-Week Direct Cash Forecast + Runway (no-code kernel)</t>
        </is>
      </c>
    </row>
    <row r="2"/>
    <row r="3">
      <c r="A3" s="2" t="inlineStr">
        <is>
          <t>Replaces openfpa: pyfpa.cash13 (WeeklyFlow, Cash13Config, expand_flow, cash13_forecast) and runway_summary.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into companies/&lt;slug&gt;/models/. Enter opening_cash, weeks (default 13, max 52) and week-1 start date on 'Setup'.</t>
        </is>
      </c>
    </row>
    <row r="6">
      <c r="A6" s="2" t="inlineStr">
        <is>
          <t>2. List every KNOWN lumpy receipt and disbursement on 'Flows' (direction, name, amount as a positive magnitude, start_week, recurrence once/weekly/biweekly, optional end_week).</t>
        </is>
      </c>
    </row>
    <row r="7">
      <c r="A7" s="2" t="inlineStr">
        <is>
          <t xml:space="preserve">   Use 'DateToWeek' to convert a calendar due date (e.g. GST GSTR-3B on the 20th, TDS on the 7th, PF/ESI on the 15th, advance tax 15 Jun/Sep/Dec/Mar) into a week number.</t>
        </is>
      </c>
    </row>
    <row r="8">
      <c r="A8" s="2" t="inlineStr">
        <is>
          <t>3. Recalculate. Read 'Runway': min_cash, min_week, first_negative_week, and the suggested credit line (trough + buffer).</t>
        </is>
      </c>
    </row>
    <row r="9">
      <c r="A9" s="2" t="inlineStr">
        <is>
          <t>4. The position is RAW / UNFINANCED: no automatic overdraft or cash-credit draws. A visible shortfall is the point - it sizes the line (W05 cash runway).</t>
        </is>
      </c>
    </row>
    <row r="10">
      <c r="A10" s="3" t="inlineStr">
        <is>
          <t>Rules (identical to openfpa)</t>
        </is>
      </c>
    </row>
    <row r="11">
      <c r="A11" s="2" t="inlineStr">
        <is>
          <t>once = only start_week; weekly = every week start..end; biweekly = every 2nd week start..end; end defaults to the horizon; weeks outside 1..weeks are ignored.</t>
        </is>
      </c>
    </row>
    <row r="12">
      <c r="A12" s="2" t="inlineStr">
        <is>
          <t>net = receipts - disbursements; ending cash is cumulative from opening cash. min_week is the FIRST week at the minimum; first_negative_week is the first week ending below zero (blank = none).</t>
        </is>
      </c>
    </row>
    <row r="13">
      <c r="A13" s="2" t="inlineStr">
        <is>
          <t>Amounts must be &gt;= 0 and end_week &gt;= start_week - see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20" customWidth="1" min="4" max="4"/>
  </cols>
  <sheetData>
    <row r="1">
      <c r="A1" s="1" t="inlineStr">
        <is>
          <t>Checks - schema validation. OVERALL must be PASS.</t>
        </is>
      </c>
    </row>
    <row r="2"/>
    <row r="3">
      <c r="B3" s="4" t="inlineStr">
        <is>
          <t>OVERALL</t>
        </is>
      </c>
      <c r="C3" s="5">
        <f>IF(COUNTIF(C5:C13,"PASS")=COUNT(A5:A13),"PASS","FAIL")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detail</t>
        </is>
      </c>
    </row>
    <row r="5">
      <c r="A5" t="n">
        <v>1</v>
      </c>
      <c r="B5" t="inlineStr">
        <is>
          <t>weeks is an integer 1..52</t>
        </is>
      </c>
      <c r="C5" s="7">
        <f>IF(AND(Setup!$B$5&gt;=1,Setup!$B$5&lt;=52,INT(Setup!$B$5)=Setup!$B$5),"PASS","FAIL")</f>
        <v/>
      </c>
      <c r="D5" s="7">
        <f>Setup!$B$5</f>
        <v/>
      </c>
    </row>
    <row r="6">
      <c r="A6" t="n">
        <v>2</v>
      </c>
      <c r="B6" t="inlineStr">
        <is>
          <t>opening_cash is a number</t>
        </is>
      </c>
      <c r="C6" s="7">
        <f>IF(ISNUMBER(Setup!$B$4),"PASS","FAIL")</f>
        <v/>
      </c>
    </row>
    <row r="7">
      <c r="A7" t="n">
        <v>3</v>
      </c>
      <c r="B7" t="inlineStr">
        <is>
          <t>every direction is receipt or disbursement</t>
        </is>
      </c>
      <c r="C7" s="7">
        <f>IF(SUMPRODUCT((Flows!$A$5:$A$84&lt;&gt;"")*1)=COUNTIF(Flows!$A$5:$A$84,"receipt")+COUNTIF(Flows!$A$5:$A$84,"disbursement"),"PASS","FAIL")</f>
        <v/>
      </c>
    </row>
    <row r="8">
      <c r="A8" t="n">
        <v>4</v>
      </c>
      <c r="B8" t="inlineStr">
        <is>
          <t>each flow: amount &gt;= 0, start_week &gt;= 1, valid recurrence, end_week &gt;= start_week</t>
        </is>
      </c>
      <c r="C8" s="7">
        <f>IF((IF(Flows!A5="",0,IF(AND(ISNUMBER(Flows!C5),Flows!C5&gt;=0,ISNUMBER(Flows!D5),Flows!D5&gt;=1,OR(Flows!E5="",Flows!E5="once",Flows!E5="weekly",Flows!E5="biweekly"),OR(Flows!F5="",AND(ISNUMBER(Flows!F5),Flows!F5&gt;=Flows!D5))),0,1))+IF(Flows!A6="",0,IF(AND(ISNUMBER(Flows!C6),Flows!C6&gt;=0,ISNUMBER(Flows!D6),Flows!D6&gt;=1,OR(Flows!E6="",Flows!E6="once",Flows!E6="weekly",Flows!E6="biweekly"),OR(Flows!F6="",AND(ISNUMBER(Flows!F6),Flows!F6&gt;=Flows!D6))),0,1))+IF(Flows!A7="",0,IF(AND(ISNUMBER(Flows!C7),Flows!C7&gt;=0,ISNUMBER(Flows!D7),Flows!D7&gt;=1,OR(Flows!E7="",Flows!E7="once",Flows!E7="weekly",Flows!E7="biweekly"),OR(Flows!F7="",AND(ISNUMBER(Flows!F7),Flows!F7&gt;=Flows!D7))),0,1))+IF(Flows!A8="",0,IF(AND(ISNUMBER(Flows!C8),Flows!C8&gt;=0,ISNUMBER(Flows!D8),Flows!D8&gt;=1,OR(Flows!E8="",Flows!E8="once",Flows!E8="weekly",Flows!E8="biweekly"),OR(Flows!F8="",AND(ISNUMBER(Flows!F8),Flows!F8&gt;=Flows!D8))),0,1))+IF(Flows!A9="",0,IF(AND(ISNUMBER(Flows!C9),Flows!C9&gt;=0,ISNUMBER(Flows!D9),Flows!D9&gt;=1,OR(Flows!E9="",Flows!E9="once",Flows!E9="weekly",Flows!E9="biweekly"),OR(Flows!F9="",AND(ISNUMBER(Flows!F9),Flows!F9&gt;=Flows!D9))),0,1))+IF(Flows!A10="",0,IF(AND(ISNUMBER(Flows!C10),Flows!C10&gt;=0,ISNUMBER(Flows!D10),Flows!D10&gt;=1,OR(Flows!E10="",Flows!E10="once",Flows!E10="weekly",Flows!E10="biweekly"),OR(Flows!F10="",AND(ISNUMBER(Flows!F10),Flows!F10&gt;=Flows!D10))),0,1))+IF(Flows!A11="",0,IF(AND(ISNUMBER(Flows!C11),Flows!C11&gt;=0,ISNUMBER(Flows!D11),Flows!D11&gt;=1,OR(Flows!E11="",Flows!E11="once",Flows!E11="weekly",Flows!E11="biweekly"),OR(Flows!F11="",AND(ISNUMBER(Flows!F11),Flows!F11&gt;=Flows!D11))),0,1))+IF(Flows!A12="",0,IF(AND(ISNUMBER(Flows!C12),Flows!C12&gt;=0,ISNUMBER(Flows!D12),Flows!D12&gt;=1,OR(Flows!E12="",Flows!E12="once",Flows!E12="weekly",Flows!E12="biweekly"),OR(Flows!F12="",AND(ISNUMBER(Flows!F12),Flows!F12&gt;=Flows!D12))),0,1))+IF(Flows!A13="",0,IF(AND(ISNUMBER(Flows!C13),Flows!C13&gt;=0,ISNUMBER(Flows!D13),Flows!D13&gt;=1,OR(Flows!E13="",Flows!E13="once",Flows!E13="weekly",Flows!E13="biweekly"),OR(Flows!F13="",AND(ISNUMBER(Flows!F13),Flows!F13&gt;=Flows!D13))),0,1))+IF(Flows!A14="",0,IF(AND(ISNUMBER(Flows!C14),Flows!C14&gt;=0,ISNUMBER(Flows!D14),Flows!D14&gt;=1,OR(Flows!E14="",Flows!E14="once",Flows!E14="weekly",Flows!E14="biweekly"),OR(Flows!F14="",AND(ISNUMBER(Flows!F14),Flows!F14&gt;=Flows!D14))),0,1))+IF(Flows!A15="",0,IF(AND(ISNUMBER(Flows!C15),Flows!C15&gt;=0,ISNUMBER(Flows!D15),Flows!D15&gt;=1,OR(Flows!E15="",Flows!E15="once",Flows!E15="weekly",Flows!E15="biweekly"),OR(Flows!F15="",AND(ISNUMBER(Flows!F15),Flows!F15&gt;=Flows!D15))),0,1))+IF(Flows!A16="",0,IF(AND(ISNUMBER(Flows!C16),Flows!C16&gt;=0,ISNUMBER(Flows!D16),Flows!D16&gt;=1,OR(Flows!E16="",Flows!E16="once",Flows!E16="weekly",Flows!E16="biweekly"),OR(Flows!F16="",AND(ISNUMBER(Flows!F16),Flows!F16&gt;=Flows!D16))),0,1))+IF(Flows!A17="",0,IF(AND(ISNUMBER(Flows!C17),Flows!C17&gt;=0,ISNUMBER(Flows!D17),Flows!D17&gt;=1,OR(Flows!E17="",Flows!E17="once",Flows!E17="weekly",Flows!E17="biweekly"),OR(Flows!F17="",AND(ISNUMBER(Flows!F17),Flows!F17&gt;=Flows!D17))),0,1))+IF(Flows!A18="",0,IF(AND(ISNUMBER(Flows!C18),Flows!C18&gt;=0,ISNUMBER(Flows!D18),Flows!D18&gt;=1,OR(Flows!E18="",Flows!E18="once",Flows!E18="weekly",Flows!E18="biweekly"),OR(Flows!F18="",AND(ISNUMBER(Flows!F18),Flows!F18&gt;=Flows!D18))),0,1))+IF(Flows!A19="",0,IF(AND(ISNUMBER(Flows!C19),Flows!C19&gt;=0,ISNUMBER(Flows!D19),Flows!D19&gt;=1,OR(Flows!E19="",Flows!E19="once",Flows!E19="weekly",Flows!E19="biweekly"),OR(Flows!F19="",AND(ISNUMBER(Flows!F19),Flows!F19&gt;=Flows!D19))),0,1))+IF(Flows!A20="",0,IF(AND(ISNUMBER(Flows!C20),Flows!C20&gt;=0,ISNUMBER(Flows!D20),Flows!D20&gt;=1,OR(Flows!E20="",Flows!E20="once",Flows!E20="weekly",Flows!E20="biweekly"),OR(Flows!F20="",AND(ISNUMBER(Flows!F20),Flows!F20&gt;=Flows!D20))),0,1))+IF(Flows!A21="",0,IF(AND(ISNUMBER(Flows!C21),Flows!C21&gt;=0,ISNUMBER(Flows!D21),Flows!D21&gt;=1,OR(Flows!E21="",Flows!E21="once",Flows!E21="weekly",Flows!E21="biweekly"),OR(Flows!F21="",AND(ISNUMBER(Flows!F21),Flows!F21&gt;=Flows!D21))),0,1))+IF(Flows!A22="",0,IF(AND(ISNUMBER(Flows!C22),Flows!C22&gt;=0,ISNUMBER(Flows!D22),Flows!D22&gt;=1,OR(Flows!E22="",Flows!E22="once",Flows!E22="weekly",Flows!E22="biweekly"),OR(Flows!F22="",AND(ISNUMBER(Flows!F22),Flows!F22&gt;=Flows!D22))),0,1))+IF(Flows!A23="",0,IF(AND(ISNUMBER(Flows!C23),Flows!C23&gt;=0,ISNUMBER(Flows!D23),Flows!D23&gt;=1,OR(Flows!E23="",Flows!E23="once",Flows!E23="weekly",Flows!E23="biweekly"),OR(Flows!F23="",AND(ISNUMBER(Flows!F23),Flows!F23&gt;=Flows!D23))),0,1))+IF(Flows!A24="",0,IF(AND(ISNUMBER(Flows!C24),Flows!C24&gt;=0,ISNUMBER(Flows!D24),Flows!D24&gt;=1,OR(Flows!E24="",Flows!E24="once",Flows!E24="weekly",Flows!E24="biweekly"),OR(Flows!F24="",AND(ISNUMBER(Flows!F24),Flows!F24&gt;=Flows!D24))),0,1))+IF(Flows!A25="",0,IF(AND(ISNUMBER(Flows!C25),Flows!C25&gt;=0,ISNUMBER(Flows!D25),Flows!D25&gt;=1,OR(Flows!E25="",Flows!E25="once",Flows!E25="weekly",Flows!E25="biweekly"),OR(Flows!F25="",AND(ISNUMBER(Flows!F25),Flows!F25&gt;=Flows!D25))),0,1))+IF(Flows!A26="",0,IF(AND(ISNUMBER(Flows!C26),Flows!C26&gt;=0,ISNUMBER(Flows!D26),Flows!D26&gt;=1,OR(Flows!E26="",Flows!E26="once",Flows!E26="weekly",Flows!E26="biweekly"),OR(Flows!F26="",AND(ISNUMBER(Flows!F26),Flows!F26&gt;=Flows!D26))),0,1))+IF(Flows!A27="",0,IF(AND(ISNUMBER(Flows!C27),Flows!C27&gt;=0,ISNUMBER(Flows!D27),Flows!D27&gt;=1,OR(Flows!E27="",Flows!E27="once",Flows!E27="weekly",Flows!E27="biweekly"),OR(Flows!F27="",AND(ISNUMBER(Flows!F27),Flows!F27&gt;=Flows!D27))),0,1))+IF(Flows!A28="",0,IF(AND(ISNUMBER(Flows!C28),Flows!C28&gt;=0,ISNUMBER(Flows!D28),Flows!D28&gt;=1,OR(Flows!E28="",Flows!E28="once",Flows!E28="weekly",Flows!E28="biweekly"),OR(Flows!F28="",AND(ISNUMBER(Flows!F28),Flows!F28&gt;=Flows!D28))),0,1))+IF(Flows!A29="",0,IF(AND(ISNUMBER(Flows!C29),Flows!C29&gt;=0,ISNUMBER(Flows!D29),Flows!D29&gt;=1,OR(Flows!E29="",Flows!E29="once",Flows!E29="weekly",Flows!E29="biweekly"),OR(Flows!F29="",AND(ISNUMBER(Flows!F29),Flows!F29&gt;=Flows!D29))),0,1))+IF(Flows!A30="",0,IF(AND(ISNUMBER(Flows!C30),Flows!C30&gt;=0,ISNUMBER(Flows!D30),Flows!D30&gt;=1,OR(Flows!E30="",Flows!E30="once",Flows!E30="weekly",Flows!E30="biweekly"),OR(Flows!F30="",AND(ISNUMBER(Flows!F30),Flows!F30&gt;=Flows!D30))),0,1))+IF(Flows!A31="",0,IF(AND(ISNUMBER(Flows!C31),Flows!C31&gt;=0,ISNUMBER(Flows!D31),Flows!D31&gt;=1,OR(Flows!E31="",Flows!E31="once",Flows!E31="weekly",Flows!E31="biweekly"),OR(Flows!F31="",AND(ISNUMBER(Flows!F31),Flows!F31&gt;=Flows!D31))),0,1))+IF(Flows!A32="",0,IF(AND(ISNUMBER(Flows!C32),Flows!C32&gt;=0,ISNUMBER(Flows!D32),Flows!D32&gt;=1,OR(Flows!E32="",Flows!E32="once",Flows!E32="weekly",Flows!E32="biweekly"),OR(Flows!F32="",AND(ISNUMBER(Flows!F32),Flows!F32&gt;=Flows!D32))),0,1))+IF(Flows!A33="",0,IF(AND(ISNUMBER(Flows!C33),Flows!C33&gt;=0,ISNUMBER(Flows!D33),Flows!D33&gt;=1,OR(Flows!E33="",Flows!E33="once",Flows!E33="weekly",Flows!E33="biweekly"),OR(Flows!F33="",AND(ISNUMBER(Flows!F33),Flows!F33&gt;=Flows!D33))),0,1))+IF(Flows!A34="",0,IF(AND(ISNUMBER(Flows!C34),Flows!C34&gt;=0,ISNUMBER(Flows!D34),Flows!D34&gt;=1,OR(Flows!E34="",Flows!E34="once",Flows!E34="weekly",Flows!E34="biweekly"),OR(Flows!F34="",AND(ISNUMBER(Flows!F34),Flows!F34&gt;=Flows!D34))),0,1))+IF(Flows!A35="",0,IF(AND(ISNUMBER(Flows!C35),Flows!C35&gt;=0,ISNUMBER(Flows!D35),Flows!D35&gt;=1,OR(Flows!E35="",Flows!E35="once",Flows!E35="weekly",Flows!E35="biweekly"),OR(Flows!F35="",AND(ISNUMBER(Flows!F35),Flows!F35&gt;=Flows!D35))),0,1))+IF(Flows!A36="",0,IF(AND(ISNUMBER(Flows!C36),Flows!C36&gt;=0,ISNUMBER(Flows!D36),Flows!D36&gt;=1,OR(Flows!E36="",Flows!E36="once",Flows!E36="weekly",Flows!E36="biweekly"),OR(Flows!F36="",AND(ISNUMBER(Flows!F36),Flows!F36&gt;=Flows!D36))),0,1))+IF(Flows!A37="",0,IF(AND(ISNUMBER(Flows!C37),Flows!C37&gt;=0,ISNUMBER(Flows!D37),Flows!D37&gt;=1,OR(Flows!E37="",Flows!E37="once",Flows!E37="weekly",Flows!E37="biweekly"),OR(Flows!F37="",AND(ISNUMBER(Flows!F37),Flows!F37&gt;=Flows!D37))),0,1))+IF(Flows!A38="",0,IF(AND(ISNUMBER(Flows!C38),Flows!C38&gt;=0,ISNUMBER(Flows!D38),Flows!D38&gt;=1,OR(Flows!E38="",Flows!E38="once",Flows!E38="weekly",Flows!E38="biweekly"),OR(Flows!F38="",AND(ISNUMBER(Flows!F38),Flows!F38&gt;=Flows!D38))),0,1))+IF(Flows!A39="",0,IF(AND(ISNUMBER(Flows!C39),Flows!C39&gt;=0,ISNUMBER(Flows!D39),Flows!D39&gt;=1,OR(Flows!E39="",Flows!E39="once",Flows!E39="weekly",Flows!E39="biweekly"),OR(Flows!F39="",AND(ISNUMBER(Flows!F39),Flows!F39&gt;=Flows!D39))),0,1))+IF(Flows!A40="",0,IF(AND(ISNUMBER(Flows!C40),Flows!C40&gt;=0,ISNUMBER(Flows!D40),Flows!D40&gt;=1,OR(Flows!E40="",Flows!E40="once",Flows!E40="weekly",Flows!E40="biweekly"),OR(Flows!F40="",AND(ISNUMBER(Flows!F40),Flows!F40&gt;=Flows!D40))),0,1))+IF(Flows!A41="",0,IF(AND(ISNUMBER(Flows!C41),Flows!C41&gt;=0,ISNUMBER(Flows!D41),Flows!D41&gt;=1,OR(Flows!E41="",Flows!E41="once",Flows!E41="weekly",Flows!E41="biweekly"),OR(Flows!F41="",AND(ISNUMBER(Flows!F41),Flows!F41&gt;=Flows!D41))),0,1))+IF(Flows!A42="",0,IF(AND(ISNUMBER(Flows!C42),Flows!C42&gt;=0,ISNUMBER(Flows!D42),Flows!D42&gt;=1,OR(Flows!E42="",Flows!E42="once",Flows!E42="weekly",Flows!E42="biweekly"),OR(Flows!F42="",AND(ISNUMBER(Flows!F42),Flows!F42&gt;=Flows!D42))),0,1))+IF(Flows!A43="",0,IF(AND(ISNUMBER(Flows!C43),Flows!C43&gt;=0,ISNUMBER(Flows!D43),Flows!D43&gt;=1,OR(Flows!E43="",Flows!E43="once",Flows!E43="weekly",Flows!E43="biweekly"),OR(Flows!F43="",AND(ISNUMBER(Flows!F43),Flows!F43&gt;=Flows!D43))),0,1))+IF(Flows!A44="",0,IF(AND(ISNUMBER(Flows!C44),Flows!C44&gt;=0,ISNUMBER(Flows!D44),Flows!D44&gt;=1,OR(Flows!E44="",Flows!E44="once",Flows!E44="weekly",Flows!E44="biweekly"),OR(Flows!F44="",AND(ISNUMBER(Flows!F44),Flows!F44&gt;=Flows!D44))),0,1))+IF(Flows!A45="",0,IF(AND(ISNUMBER(Flows!C45),Flows!C45&gt;=0,ISNUMBER(Flows!D45),Flows!D45&gt;=1,OR(Flows!E45="",Flows!E45="once",Flows!E45="weekly",Flows!E45="biweekly"),OR(Flows!F45="",AND(ISNUMBER(Flows!F45),Flows!F45&gt;=Flows!D45))),0,1))+IF(Flows!A46="",0,IF(AND(ISNUMBER(Flows!C46),Flows!C46&gt;=0,ISNUMBER(Flows!D46),Flows!D46&gt;=1,OR(Flows!E46="",Flows!E46="once",Flows!E46="weekly",Flows!E46="biweekly"),OR(Flows!F46="",AND(ISNUMBER(Flows!F46),Flows!F46&gt;=Flows!D46))),0,1))+IF(Flows!A47="",0,IF(AND(ISNUMBER(Flows!C47),Flows!C47&gt;=0,ISNUMBER(Flows!D47),Flows!D47&gt;=1,OR(Flows!E47="",Flows!E47="once",Flows!E47="weekly",Flows!E47="biweekly"),OR(Flows!F47="",AND(ISNUMBER(Flows!F47),Flows!F47&gt;=Flows!D47))),0,1))+IF(Flows!A48="",0,IF(AND(ISNUMBER(Flows!C48),Flows!C48&gt;=0,ISNUMBER(Flows!D48),Flows!D48&gt;=1,OR(Flows!E48="",Flows!E48="once",Flows!E48="weekly",Flows!E48="biweekly"),OR(Flows!F48="",AND(ISNUMBER(Flows!F48),Flows!F48&gt;=Flows!D48))),0,1))+IF(Flows!A49="",0,IF(AND(ISNUMBER(Flows!C49),Flows!C49&gt;=0,ISNUMBER(Flows!D49),Flows!D49&gt;=1,OR(Flows!E49="",Flows!E49="once",Flows!E49="weekly",Flows!E49="biweekly"),OR(Flows!F49="",AND(ISNUMBER(Flows!F49),Flows!F49&gt;=Flows!D49))),0,1))+IF(Flows!A50="",0,IF(AND(ISNUMBER(Flows!C50),Flows!C50&gt;=0,ISNUMBER(Flows!D50),Flows!D50&gt;=1,OR(Flows!E50="",Flows!E50="once",Flows!E50="weekly",Flows!E50="biweekly"),OR(Flows!F50="",AND(ISNUMBER(Flows!F50),Flows!F50&gt;=Flows!D50))),0,1))+IF(Flows!A51="",0,IF(AND(ISNUMBER(Flows!C51),Flows!C51&gt;=0,ISNUMBER(Flows!D51),Flows!D51&gt;=1,OR(Flows!E51="",Flows!E51="once",Flows!E51="weekly",Flows!E51="biweekly"),OR(Flows!F51="",AND(ISNUMBER(Flows!F51),Flows!F51&gt;=Flows!D51))),0,1))+IF(Flows!A52="",0,IF(AND(ISNUMBER(Flows!C52),Flows!C52&gt;=0,ISNUMBER(Flows!D52),Flows!D52&gt;=1,OR(Flows!E52="",Flows!E52="once",Flows!E52="weekly",Flows!E52="biweekly"),OR(Flows!F52="",AND(ISNUMBER(Flows!F52),Flows!F52&gt;=Flows!D52))),0,1))+IF(Flows!A53="",0,IF(AND(ISNUMBER(Flows!C53),Flows!C53&gt;=0,ISNUMBER(Flows!D53),Flows!D53&gt;=1,OR(Flows!E53="",Flows!E53="once",Flows!E53="weekly",Flows!E53="biweekly"),OR(Flows!F53="",AND(ISNUMBER(Flows!F53),Flows!F53&gt;=Flows!D53))),0,1))+IF(Flows!A54="",0,IF(AND(ISNUMBER(Flows!C54),Flows!C54&gt;=0,ISNUMBER(Flows!D54),Flows!D54&gt;=1,OR(Flows!E54="",Flows!E54="once",Flows!E54="weekly",Flows!E54="biweekly"),OR(Flows!F54="",AND(ISNUMBER(Flows!F54),Flows!F54&gt;=Flows!D54))),0,1))+IF(Flows!A55="",0,IF(AND(ISNUMBER(Flows!C55),Flows!C55&gt;=0,ISNUMBER(Flows!D55),Flows!D55&gt;=1,OR(Flows!E55="",Flows!E55="once",Flows!E55="weekly",Flows!E55="biweekly"),OR(Flows!F55="",AND(ISNUMBER(Flows!F55),Flows!F55&gt;=Flows!D55))),0,1))+IF(Flows!A56="",0,IF(AND(ISNUMBER(Flows!C56),Flows!C56&gt;=0,ISNUMBER(Flows!D56),Flows!D56&gt;=1,OR(Flows!E56="",Flows!E56="once",Flows!E56="weekly",Flows!E56="biweekly"),OR(Flows!F56="",AND(ISNUMBER(Flows!F56),Flows!F56&gt;=Flows!D56))),0,1))+IF(Flows!A57="",0,IF(AND(ISNUMBER(Flows!C57),Flows!C57&gt;=0,ISNUMBER(Flows!D57),Flows!D57&gt;=1,OR(Flows!E57="",Flows!E57="once",Flows!E57="weekly",Flows!E57="biweekly"),OR(Flows!F57="",AND(ISNUMBER(Flows!F57),Flows!F57&gt;=Flows!D57))),0,1))+IF(Flows!A58="",0,IF(AND(ISNUMBER(Flows!C58),Flows!C58&gt;=0,ISNUMBER(Flows!D58),Flows!D58&gt;=1,OR(Flows!E58="",Flows!E58="once",Flows!E58="weekly",Flows!E58="biweekly"),OR(Flows!F58="",AND(ISNUMBER(Flows!F58),Flows!F58&gt;=Flows!D58))),0,1))+IF(Flows!A59="",0,IF(AND(ISNUMBER(Flows!C59),Flows!C59&gt;=0,ISNUMBER(Flows!D59),Flows!D59&gt;=1,OR(Flows!E59="",Flows!E59="once",Flows!E59="weekly",Flows!E59="biweekly"),OR(Flows!F59="",AND(ISNUMBER(Flows!F59),Flows!F59&gt;=Flows!D59))),0,1))+IF(Flows!A60="",0,IF(AND(ISNUMBER(Flows!C60),Flows!C60&gt;=0,ISNUMBER(Flows!D60),Flows!D60&gt;=1,OR(Flows!E60="",Flows!E60="once",Flows!E60="weekly",Flows!E60="biweekly"),OR(Flows!F60="",AND(ISNUMBER(Flows!F60),Flows!F60&gt;=Flows!D60))),0,1))+IF(Flows!A61="",0,IF(AND(ISNUMBER(Flows!C61),Flows!C61&gt;=0,ISNUMBER(Flows!D61),Flows!D61&gt;=1,OR(Flows!E61="",Flows!E61="once",Flows!E61="weekly",Flows!E61="biweekly"),OR(Flows!F61="",AND(ISNUMBER(Flows!F61),Flows!F61&gt;=Flows!D61))),0,1))+IF(Flows!A62="",0,IF(AND(ISNUMBER(Flows!C62),Flows!C62&gt;=0,ISNUMBER(Flows!D62),Flows!D62&gt;=1,OR(Flows!E62="",Flows!E62="once",Flows!E62="weekly",Flows!E62="biweekly"),OR(Flows!F62="",AND(ISNUMBER(Flows!F62),Flows!F62&gt;=Flows!D62))),0,1))+IF(Flows!A63="",0,IF(AND(ISNUMBER(Flows!C63),Flows!C63&gt;=0,ISNUMBER(Flows!D63),Flows!D63&gt;=1,OR(Flows!E63="",Flows!E63="once",Flows!E63="weekly",Flows!E63="biweekly"),OR(Flows!F63="",AND(ISNUMBER(Flows!F63),Flows!F63&gt;=Flows!D63))),0,1))+IF(Flows!A64="",0,IF(AND(ISNUMBER(Flows!C64),Flows!C64&gt;=0,ISNUMBER(Flows!D64),Flows!D64&gt;=1,OR(Flows!E64="",Flows!E64="once",Flows!E64="weekly",Flows!E64="biweekly"),OR(Flows!F64="",AND(ISNUMBER(Flows!F64),Flows!F64&gt;=Flows!D64))),0,1))+IF(Flows!A65="",0,IF(AND(ISNUMBER(Flows!C65),Flows!C65&gt;=0,ISNUMBER(Flows!D65),Flows!D65&gt;=1,OR(Flows!E65="",Flows!E65="once",Flows!E65="weekly",Flows!E65="biweekly"),OR(Flows!F65="",AND(ISNUMBER(Flows!F65),Flows!F65&gt;=Flows!D65))),0,1))+IF(Flows!A66="",0,IF(AND(ISNUMBER(Flows!C66),Flows!C66&gt;=0,ISNUMBER(Flows!D66),Flows!D66&gt;=1,OR(Flows!E66="",Flows!E66="once",Flows!E66="weekly",Flows!E66="biweekly"),OR(Flows!F66="",AND(ISNUMBER(Flows!F66),Flows!F66&gt;=Flows!D66))),0,1))+IF(Flows!A67="",0,IF(AND(ISNUMBER(Flows!C67),Flows!C67&gt;=0,ISNUMBER(Flows!D67),Flows!D67&gt;=1,OR(Flows!E67="",Flows!E67="once",Flows!E67="weekly",Flows!E67="biweekly"),OR(Flows!F67="",AND(ISNUMBER(Flows!F67),Flows!F67&gt;=Flows!D67))),0,1))+IF(Flows!A68="",0,IF(AND(ISNUMBER(Flows!C68),Flows!C68&gt;=0,ISNUMBER(Flows!D68),Flows!D68&gt;=1,OR(Flows!E68="",Flows!E68="once",Flows!E68="weekly",Flows!E68="biweekly"),OR(Flows!F68="",AND(ISNUMBER(Flows!F68),Flows!F68&gt;=Flows!D68))),0,1))+IF(Flows!A69="",0,IF(AND(ISNUMBER(Flows!C69),Flows!C69&gt;=0,ISNUMBER(Flows!D69),Flows!D69&gt;=1,OR(Flows!E69="",Flows!E69="once",Flows!E69="weekly",Flows!E69="biweekly"),OR(Flows!F69="",AND(ISNUMBER(Flows!F69),Flows!F69&gt;=Flows!D69))),0,1))+IF(Flows!A70="",0,IF(AND(ISNUMBER(Flows!C70),Flows!C70&gt;=0,ISNUMBER(Flows!D70),Flows!D70&gt;=1,OR(Flows!E70="",Flows!E70="once",Flows!E70="weekly",Flows!E70="biweekly"),OR(Flows!F70="",AND(ISNUMBER(Flows!F70),Flows!F70&gt;=Flows!D70))),0,1))+IF(Flows!A71="",0,IF(AND(ISNUMBER(Flows!C71),Flows!C71&gt;=0,ISNUMBER(Flows!D71),Flows!D71&gt;=1,OR(Flows!E71="",Flows!E71="once",Flows!E71="weekly",Flows!E71="biweekly"),OR(Flows!F71="",AND(ISNUMBER(Flows!F71),Flows!F71&gt;=Flows!D71))),0,1))+IF(Flows!A72="",0,IF(AND(ISNUMBER(Flows!C72),Flows!C72&gt;=0,ISNUMBER(Flows!D72),Flows!D72&gt;=1,OR(Flows!E72="",Flows!E72="once",Flows!E72="weekly",Flows!E72="biweekly"),OR(Flows!F72="",AND(ISNUMBER(Flows!F72),Flows!F72&gt;=Flows!D72))),0,1))+IF(Flows!A73="",0,IF(AND(ISNUMBER(Flows!C73),Flows!C73&gt;=0,ISNUMBER(Flows!D73),Flows!D73&gt;=1,OR(Flows!E73="",Flows!E73="once",Flows!E73="weekly",Flows!E73="biweekly"),OR(Flows!F73="",AND(ISNUMBER(Flows!F73),Flows!F73&gt;=Flows!D73))),0,1))+IF(Flows!A74="",0,IF(AND(ISNUMBER(Flows!C74),Flows!C74&gt;=0,ISNUMBER(Flows!D74),Flows!D74&gt;=1,OR(Flows!E74="",Flows!E74="once",Flows!E74="weekly",Flows!E74="biweekly"),OR(Flows!F74="",AND(ISNUMBER(Flows!F74),Flows!F74&gt;=Flows!D74))),0,1))+IF(Flows!A75="",0,IF(AND(ISNUMBER(Flows!C75),Flows!C75&gt;=0,ISNUMBER(Flows!D75),Flows!D75&gt;=1,OR(Flows!E75="",Flows!E75="once",Flows!E75="weekly",Flows!E75="biweekly"),OR(Flows!F75="",AND(ISNUMBER(Flows!F75),Flows!F75&gt;=Flows!D75))),0,1))+IF(Flows!A76="",0,IF(AND(ISNUMBER(Flows!C76),Flows!C76&gt;=0,ISNUMBER(Flows!D76),Flows!D76&gt;=1,OR(Flows!E76="",Flows!E76="once",Flows!E76="weekly",Flows!E76="biweekly"),OR(Flows!F76="",AND(ISNUMBER(Flows!F76),Flows!F76&gt;=Flows!D76))),0,1))+IF(Flows!A77="",0,IF(AND(ISNUMBER(Flows!C77),Flows!C77&gt;=0,ISNUMBER(Flows!D77),Flows!D77&gt;=1,OR(Flows!E77="",Flows!E77="once",Flows!E77="weekly",Flows!E77="biweekly"),OR(Flows!F77="",AND(ISNUMBER(Flows!F77),Flows!F77&gt;=Flows!D77))),0,1))+IF(Flows!A78="",0,IF(AND(ISNUMBER(Flows!C78),Flows!C78&gt;=0,ISNUMBER(Flows!D78),Flows!D78&gt;=1,OR(Flows!E78="",Flows!E78="once",Flows!E78="weekly",Flows!E78="biweekly"),OR(Flows!F78="",AND(ISNUMBER(Flows!F78),Flows!F78&gt;=Flows!D78))),0,1))+IF(Flows!A79="",0,IF(AND(ISNUMBER(Flows!C79),Flows!C79&gt;=0,ISNUMBER(Flows!D79),Flows!D79&gt;=1,OR(Flows!E79="",Flows!E79="once",Flows!E79="weekly",Flows!E79="biweekly"),OR(Flows!F79="",AND(ISNUMBER(Flows!F79),Flows!F79&gt;=Flows!D79))),0,1))+IF(Flows!A80="",0,IF(AND(ISNUMBER(Flows!C80),Flows!C80&gt;=0,ISNUMBER(Flows!D80),Flows!D80&gt;=1,OR(Flows!E80="",Flows!E80="once",Flows!E80="weekly",Flows!E80="biweekly"),OR(Flows!F80="",AND(ISNUMBER(Flows!F80),Flows!F80&gt;=Flows!D80))),0,1))+IF(Flows!A81="",0,IF(AND(ISNUMBER(Flows!C81),Flows!C81&gt;=0,ISNUMBER(Flows!D81),Flows!D81&gt;=1,OR(Flows!E81="",Flows!E81="once",Flows!E81="weekly",Flows!E81="biweekly"),OR(Flows!F81="",AND(ISNUMBER(Flows!F81),Flows!F81&gt;=Flows!D81))),0,1))+IF(Flows!A82="",0,IF(AND(ISNUMBER(Flows!C82),Flows!C82&gt;=0,ISNUMBER(Flows!D82),Flows!D82&gt;=1,OR(Flows!E82="",Flows!E82="once",Flows!E82="weekly",Flows!E82="biweekly"),OR(Flows!F82="",AND(ISNUMBER(Flows!F82),Flows!F82&gt;=Flows!D82))),0,1))+IF(Flows!A83="",0,IF(AND(ISNUMBER(Flows!C83),Flows!C83&gt;=0,ISNUMBER(Flows!D83),Flows!D83&gt;=1,OR(Flows!E83="",Flows!E83="once",Flows!E83="weekly",Flows!E83="biweekly"),OR(Flows!F83="",AND(ISNUMBER(Flows!F83),Flows!F83&gt;=Flows!D83))),0,1))+IF(Flows!A84="",0,IF(AND(ISNUMBER(Flows!C84),Flows!C84&gt;=0,ISNUMBER(Flows!D84),Flows!D84&gt;=1,OR(Flows!E84="",Flows!E84="once",Flows!E84="weekly",Flows!E84="biweekly"),OR(Flows!F84="",AND(ISNUMBER(Flows!F84),Flows!F84&gt;=Flows!D84))),0,1)))=0,"PASS","FAIL")</f>
        <v/>
      </c>
      <c r="D8" s="7">
        <f>(IF(Flows!A5="",0,IF(AND(ISNUMBER(Flows!C5),Flows!C5&gt;=0,ISNUMBER(Flows!D5),Flows!D5&gt;=1,OR(Flows!E5="",Flows!E5="once",Flows!E5="weekly",Flows!E5="biweekly"),OR(Flows!F5="",AND(ISNUMBER(Flows!F5),Flows!F5&gt;=Flows!D5))),0,1))+IF(Flows!A6="",0,IF(AND(ISNUMBER(Flows!C6),Flows!C6&gt;=0,ISNUMBER(Flows!D6),Flows!D6&gt;=1,OR(Flows!E6="",Flows!E6="once",Flows!E6="weekly",Flows!E6="biweekly"),OR(Flows!F6="",AND(ISNUMBER(Flows!F6),Flows!F6&gt;=Flows!D6))),0,1))+IF(Flows!A7="",0,IF(AND(ISNUMBER(Flows!C7),Flows!C7&gt;=0,ISNUMBER(Flows!D7),Flows!D7&gt;=1,OR(Flows!E7="",Flows!E7="once",Flows!E7="weekly",Flows!E7="biweekly"),OR(Flows!F7="",AND(ISNUMBER(Flows!F7),Flows!F7&gt;=Flows!D7))),0,1))+IF(Flows!A8="",0,IF(AND(ISNUMBER(Flows!C8),Flows!C8&gt;=0,ISNUMBER(Flows!D8),Flows!D8&gt;=1,OR(Flows!E8="",Flows!E8="once",Flows!E8="weekly",Flows!E8="biweekly"),OR(Flows!F8="",AND(ISNUMBER(Flows!F8),Flows!F8&gt;=Flows!D8))),0,1))+IF(Flows!A9="",0,IF(AND(ISNUMBER(Flows!C9),Flows!C9&gt;=0,ISNUMBER(Flows!D9),Flows!D9&gt;=1,OR(Flows!E9="",Flows!E9="once",Flows!E9="weekly",Flows!E9="biweekly"),OR(Flows!F9="",AND(ISNUMBER(Flows!F9),Flows!F9&gt;=Flows!D9))),0,1))+IF(Flows!A10="",0,IF(AND(ISNUMBER(Flows!C10),Flows!C10&gt;=0,ISNUMBER(Flows!D10),Flows!D10&gt;=1,OR(Flows!E10="",Flows!E10="once",Flows!E10="weekly",Flows!E10="biweekly"),OR(Flows!F10="",AND(ISNUMBER(Flows!F10),Flows!F10&gt;=Flows!D10))),0,1))+IF(Flows!A11="",0,IF(AND(ISNUMBER(Flows!C11),Flows!C11&gt;=0,ISNUMBER(Flows!D11),Flows!D11&gt;=1,OR(Flows!E11="",Flows!E11="once",Flows!E11="weekly",Flows!E11="biweekly"),OR(Flows!F11="",AND(ISNUMBER(Flows!F11),Flows!F11&gt;=Flows!D11))),0,1))+IF(Flows!A12="",0,IF(AND(ISNUMBER(Flows!C12),Flows!C12&gt;=0,ISNUMBER(Flows!D12),Flows!D12&gt;=1,OR(Flows!E12="",Flows!E12="once",Flows!E12="weekly",Flows!E12="biweekly"),OR(Flows!F12="",AND(ISNUMBER(Flows!F12),Flows!F12&gt;=Flows!D12))),0,1))+IF(Flows!A13="",0,IF(AND(ISNUMBER(Flows!C13),Flows!C13&gt;=0,ISNUMBER(Flows!D13),Flows!D13&gt;=1,OR(Flows!E13="",Flows!E13="once",Flows!E13="weekly",Flows!E13="biweekly"),OR(Flows!F13="",AND(ISNUMBER(Flows!F13),Flows!F13&gt;=Flows!D13))),0,1))+IF(Flows!A14="",0,IF(AND(ISNUMBER(Flows!C14),Flows!C14&gt;=0,ISNUMBER(Flows!D14),Flows!D14&gt;=1,OR(Flows!E14="",Flows!E14="once",Flows!E14="weekly",Flows!E14="biweekly"),OR(Flows!F14="",AND(ISNUMBER(Flows!F14),Flows!F14&gt;=Flows!D14))),0,1))+IF(Flows!A15="",0,IF(AND(ISNUMBER(Flows!C15),Flows!C15&gt;=0,ISNUMBER(Flows!D15),Flows!D15&gt;=1,OR(Flows!E15="",Flows!E15="once",Flows!E15="weekly",Flows!E15="biweekly"),OR(Flows!F15="",AND(ISNUMBER(Flows!F15),Flows!F15&gt;=Flows!D15))),0,1))+IF(Flows!A16="",0,IF(AND(ISNUMBER(Flows!C16),Flows!C16&gt;=0,ISNUMBER(Flows!D16),Flows!D16&gt;=1,OR(Flows!E16="",Flows!E16="once",Flows!E16="weekly",Flows!E16="biweekly"),OR(Flows!F16="",AND(ISNUMBER(Flows!F16),Flows!F16&gt;=Flows!D16))),0,1))+IF(Flows!A17="",0,IF(AND(ISNUMBER(Flows!C17),Flows!C17&gt;=0,ISNUMBER(Flows!D17),Flows!D17&gt;=1,OR(Flows!E17="",Flows!E17="once",Flows!E17="weekly",Flows!E17="biweekly"),OR(Flows!F17="",AND(ISNUMBER(Flows!F17),Flows!F17&gt;=Flows!D17))),0,1))+IF(Flows!A18="",0,IF(AND(ISNUMBER(Flows!C18),Flows!C18&gt;=0,ISNUMBER(Flows!D18),Flows!D18&gt;=1,OR(Flows!E18="",Flows!E18="once",Flows!E18="weekly",Flows!E18="biweekly"),OR(Flows!F18="",AND(ISNUMBER(Flows!F18),Flows!F18&gt;=Flows!D18))),0,1))+IF(Flows!A19="",0,IF(AND(ISNUMBER(Flows!C19),Flows!C19&gt;=0,ISNUMBER(Flows!D19),Flows!D19&gt;=1,OR(Flows!E19="",Flows!E19="once",Flows!E19="weekly",Flows!E19="biweekly"),OR(Flows!F19="",AND(ISNUMBER(Flows!F19),Flows!F19&gt;=Flows!D19))),0,1))+IF(Flows!A20="",0,IF(AND(ISNUMBER(Flows!C20),Flows!C20&gt;=0,ISNUMBER(Flows!D20),Flows!D20&gt;=1,OR(Flows!E20="",Flows!E20="once",Flows!E20="weekly",Flows!E20="biweekly"),OR(Flows!F20="",AND(ISNUMBER(Flows!F20),Flows!F20&gt;=Flows!D20))),0,1))+IF(Flows!A21="",0,IF(AND(ISNUMBER(Flows!C21),Flows!C21&gt;=0,ISNUMBER(Flows!D21),Flows!D21&gt;=1,OR(Flows!E21="",Flows!E21="once",Flows!E21="weekly",Flows!E21="biweekly"),OR(Flows!F21="",AND(ISNUMBER(Flows!F21),Flows!F21&gt;=Flows!D21))),0,1))+IF(Flows!A22="",0,IF(AND(ISNUMBER(Flows!C22),Flows!C22&gt;=0,ISNUMBER(Flows!D22),Flows!D22&gt;=1,OR(Flows!E22="",Flows!E22="once",Flows!E22="weekly",Flows!E22="biweekly"),OR(Flows!F22="",AND(ISNUMBER(Flows!F22),Flows!F22&gt;=Flows!D22))),0,1))+IF(Flows!A23="",0,IF(AND(ISNUMBER(Flows!C23),Flows!C23&gt;=0,ISNUMBER(Flows!D23),Flows!D23&gt;=1,OR(Flows!E23="",Flows!E23="once",Flows!E23="weekly",Flows!E23="biweekly"),OR(Flows!F23="",AND(ISNUMBER(Flows!F23),Flows!F23&gt;=Flows!D23))),0,1))+IF(Flows!A24="",0,IF(AND(ISNUMBER(Flows!C24),Flows!C24&gt;=0,ISNUMBER(Flows!D24),Flows!D24&gt;=1,OR(Flows!E24="",Flows!E24="once",Flows!E24="weekly",Flows!E24="biweekly"),OR(Flows!F24="",AND(ISNUMBER(Flows!F24),Flows!F24&gt;=Flows!D24))),0,1))+IF(Flows!A25="",0,IF(AND(ISNUMBER(Flows!C25),Flows!C25&gt;=0,ISNUMBER(Flows!D25),Flows!D25&gt;=1,OR(Flows!E25="",Flows!E25="once",Flows!E25="weekly",Flows!E25="biweekly"),OR(Flows!F25="",AND(ISNUMBER(Flows!F25),Flows!F25&gt;=Flows!D25))),0,1))+IF(Flows!A26="",0,IF(AND(ISNUMBER(Flows!C26),Flows!C26&gt;=0,ISNUMBER(Flows!D26),Flows!D26&gt;=1,OR(Flows!E26="",Flows!E26="once",Flows!E26="weekly",Flows!E26="biweekly"),OR(Flows!F26="",AND(ISNUMBER(Flows!F26),Flows!F26&gt;=Flows!D26))),0,1))+IF(Flows!A27="",0,IF(AND(ISNUMBER(Flows!C27),Flows!C27&gt;=0,ISNUMBER(Flows!D27),Flows!D27&gt;=1,OR(Flows!E27="",Flows!E27="once",Flows!E27="weekly",Flows!E27="biweekly"),OR(Flows!F27="",AND(ISNUMBER(Flows!F27),Flows!F27&gt;=Flows!D27))),0,1))+IF(Flows!A28="",0,IF(AND(ISNUMBER(Flows!C28),Flows!C28&gt;=0,ISNUMBER(Flows!D28),Flows!D28&gt;=1,OR(Flows!E28="",Flows!E28="once",Flows!E28="weekly",Flows!E28="biweekly"),OR(Flows!F28="",AND(ISNUMBER(Flows!F28),Flows!F28&gt;=Flows!D28))),0,1))+IF(Flows!A29="",0,IF(AND(ISNUMBER(Flows!C29),Flows!C29&gt;=0,ISNUMBER(Flows!D29),Flows!D29&gt;=1,OR(Flows!E29="",Flows!E29="once",Flows!E29="weekly",Flows!E29="biweekly"),OR(Flows!F29="",AND(ISNUMBER(Flows!F29),Flows!F29&gt;=Flows!D29))),0,1))+IF(Flows!A30="",0,IF(AND(ISNUMBER(Flows!C30),Flows!C30&gt;=0,ISNUMBER(Flows!D30),Flows!D30&gt;=1,OR(Flows!E30="",Flows!E30="once",Flows!E30="weekly",Flows!E30="biweekly"),OR(Flows!F30="",AND(ISNUMBER(Flows!F30),Flows!F30&gt;=Flows!D30))),0,1))+IF(Flows!A31="",0,IF(AND(ISNUMBER(Flows!C31),Flows!C31&gt;=0,ISNUMBER(Flows!D31),Flows!D31&gt;=1,OR(Flows!E31="",Flows!E31="once",Flows!E31="weekly",Flows!E31="biweekly"),OR(Flows!F31="",AND(ISNUMBER(Flows!F31),Flows!F31&gt;=Flows!D31))),0,1))+IF(Flows!A32="",0,IF(AND(ISNUMBER(Flows!C32),Flows!C32&gt;=0,ISNUMBER(Flows!D32),Flows!D32&gt;=1,OR(Flows!E32="",Flows!E32="once",Flows!E32="weekly",Flows!E32="biweekly"),OR(Flows!F32="",AND(ISNUMBER(Flows!F32),Flows!F32&gt;=Flows!D32))),0,1))+IF(Flows!A33="",0,IF(AND(ISNUMBER(Flows!C33),Flows!C33&gt;=0,ISNUMBER(Flows!D33),Flows!D33&gt;=1,OR(Flows!E33="",Flows!E33="once",Flows!E33="weekly",Flows!E33="biweekly"),OR(Flows!F33="",AND(ISNUMBER(Flows!F33),Flows!F33&gt;=Flows!D33))),0,1))+IF(Flows!A34="",0,IF(AND(ISNUMBER(Flows!C34),Flows!C34&gt;=0,ISNUMBER(Flows!D34),Flows!D34&gt;=1,OR(Flows!E34="",Flows!E34="once",Flows!E34="weekly",Flows!E34="biweekly"),OR(Flows!F34="",AND(ISNUMBER(Flows!F34),Flows!F34&gt;=Flows!D34))),0,1))+IF(Flows!A35="",0,IF(AND(ISNUMBER(Flows!C35),Flows!C35&gt;=0,ISNUMBER(Flows!D35),Flows!D35&gt;=1,OR(Flows!E35="",Flows!E35="once",Flows!E35="weekly",Flows!E35="biweekly"),OR(Flows!F35="",AND(ISNUMBER(Flows!F35),Flows!F35&gt;=Flows!D35))),0,1))+IF(Flows!A36="",0,IF(AND(ISNUMBER(Flows!C36),Flows!C36&gt;=0,ISNUMBER(Flows!D36),Flows!D36&gt;=1,OR(Flows!E36="",Flows!E36="once",Flows!E36="weekly",Flows!E36="biweekly"),OR(Flows!F36="",AND(ISNUMBER(Flows!F36),Flows!F36&gt;=Flows!D36))),0,1))+IF(Flows!A37="",0,IF(AND(ISNUMBER(Flows!C37),Flows!C37&gt;=0,ISNUMBER(Flows!D37),Flows!D37&gt;=1,OR(Flows!E37="",Flows!E37="once",Flows!E37="weekly",Flows!E37="biweekly"),OR(Flows!F37="",AND(ISNUMBER(Flows!F37),Flows!F37&gt;=Flows!D37))),0,1))+IF(Flows!A38="",0,IF(AND(ISNUMBER(Flows!C38),Flows!C38&gt;=0,ISNUMBER(Flows!D38),Flows!D38&gt;=1,OR(Flows!E38="",Flows!E38="once",Flows!E38="weekly",Flows!E38="biweekly"),OR(Flows!F38="",AND(ISNUMBER(Flows!F38),Flows!F38&gt;=Flows!D38))),0,1))+IF(Flows!A39="",0,IF(AND(ISNUMBER(Flows!C39),Flows!C39&gt;=0,ISNUMBER(Flows!D39),Flows!D39&gt;=1,OR(Flows!E39="",Flows!E39="once",Flows!E39="weekly",Flows!E39="biweekly"),OR(Flows!F39="",AND(ISNUMBER(Flows!F39),Flows!F39&gt;=Flows!D39))),0,1))+IF(Flows!A40="",0,IF(AND(ISNUMBER(Flows!C40),Flows!C40&gt;=0,ISNUMBER(Flows!D40),Flows!D40&gt;=1,OR(Flows!E40="",Flows!E40="once",Flows!E40="weekly",Flows!E40="biweekly"),OR(Flows!F40="",AND(ISNUMBER(Flows!F40),Flows!F40&gt;=Flows!D40))),0,1))+IF(Flows!A41="",0,IF(AND(ISNUMBER(Flows!C41),Flows!C41&gt;=0,ISNUMBER(Flows!D41),Flows!D41&gt;=1,OR(Flows!E41="",Flows!E41="once",Flows!E41="weekly",Flows!E41="biweekly"),OR(Flows!F41="",AND(ISNUMBER(Flows!F41),Flows!F41&gt;=Flows!D41))),0,1))+IF(Flows!A42="",0,IF(AND(ISNUMBER(Flows!C42),Flows!C42&gt;=0,ISNUMBER(Flows!D42),Flows!D42&gt;=1,OR(Flows!E42="",Flows!E42="once",Flows!E42="weekly",Flows!E42="biweekly"),OR(Flows!F42="",AND(ISNUMBER(Flows!F42),Flows!F42&gt;=Flows!D42))),0,1))+IF(Flows!A43="",0,IF(AND(ISNUMBER(Flows!C43),Flows!C43&gt;=0,ISNUMBER(Flows!D43),Flows!D43&gt;=1,OR(Flows!E43="",Flows!E43="once",Flows!E43="weekly",Flows!E43="biweekly"),OR(Flows!F43="",AND(ISNUMBER(Flows!F43),Flows!F43&gt;=Flows!D43))),0,1))+IF(Flows!A44="",0,IF(AND(ISNUMBER(Flows!C44),Flows!C44&gt;=0,ISNUMBER(Flows!D44),Flows!D44&gt;=1,OR(Flows!E44="",Flows!E44="once",Flows!E44="weekly",Flows!E44="biweekly"),OR(Flows!F44="",AND(ISNUMBER(Flows!F44),Flows!F44&gt;=Flows!D44))),0,1))+IF(Flows!A45="",0,IF(AND(ISNUMBER(Flows!C45),Flows!C45&gt;=0,ISNUMBER(Flows!D45),Flows!D45&gt;=1,OR(Flows!E45="",Flows!E45="once",Flows!E45="weekly",Flows!E45="biweekly"),OR(Flows!F45="",AND(ISNUMBER(Flows!F45),Flows!F45&gt;=Flows!D45))),0,1))+IF(Flows!A46="",0,IF(AND(ISNUMBER(Flows!C46),Flows!C46&gt;=0,ISNUMBER(Flows!D46),Flows!D46&gt;=1,OR(Flows!E46="",Flows!E46="once",Flows!E46="weekly",Flows!E46="biweekly"),OR(Flows!F46="",AND(ISNUMBER(Flows!F46),Flows!F46&gt;=Flows!D46))),0,1))+IF(Flows!A47="",0,IF(AND(ISNUMBER(Flows!C47),Flows!C47&gt;=0,ISNUMBER(Flows!D47),Flows!D47&gt;=1,OR(Flows!E47="",Flows!E47="once",Flows!E47="weekly",Flows!E47="biweekly"),OR(Flows!F47="",AND(ISNUMBER(Flows!F47),Flows!F47&gt;=Flows!D47))),0,1))+IF(Flows!A48="",0,IF(AND(ISNUMBER(Flows!C48),Flows!C48&gt;=0,ISNUMBER(Flows!D48),Flows!D48&gt;=1,OR(Flows!E48="",Flows!E48="once",Flows!E48="weekly",Flows!E48="biweekly"),OR(Flows!F48="",AND(ISNUMBER(Flows!F48),Flows!F48&gt;=Flows!D48))),0,1))+IF(Flows!A49="",0,IF(AND(ISNUMBER(Flows!C49),Flows!C49&gt;=0,ISNUMBER(Flows!D49),Flows!D49&gt;=1,OR(Flows!E49="",Flows!E49="once",Flows!E49="weekly",Flows!E49="biweekly"),OR(Flows!F49="",AND(ISNUMBER(Flows!F49),Flows!F49&gt;=Flows!D49))),0,1))+IF(Flows!A50="",0,IF(AND(ISNUMBER(Flows!C50),Flows!C50&gt;=0,ISNUMBER(Flows!D50),Flows!D50&gt;=1,OR(Flows!E50="",Flows!E50="once",Flows!E50="weekly",Flows!E50="biweekly"),OR(Flows!F50="",AND(ISNUMBER(Flows!F50),Flows!F50&gt;=Flows!D50))),0,1))+IF(Flows!A51="",0,IF(AND(ISNUMBER(Flows!C51),Flows!C51&gt;=0,ISNUMBER(Flows!D51),Flows!D51&gt;=1,OR(Flows!E51="",Flows!E51="once",Flows!E51="weekly",Flows!E51="biweekly"),OR(Flows!F51="",AND(ISNUMBER(Flows!F51),Flows!F51&gt;=Flows!D51))),0,1))+IF(Flows!A52="",0,IF(AND(ISNUMBER(Flows!C52),Flows!C52&gt;=0,ISNUMBER(Flows!D52),Flows!D52&gt;=1,OR(Flows!E52="",Flows!E52="once",Flows!E52="weekly",Flows!E52="biweekly"),OR(Flows!F52="",AND(ISNUMBER(Flows!F52),Flows!F52&gt;=Flows!D52))),0,1))+IF(Flows!A53="",0,IF(AND(ISNUMBER(Flows!C53),Flows!C53&gt;=0,ISNUMBER(Flows!D53),Flows!D53&gt;=1,OR(Flows!E53="",Flows!E53="once",Flows!E53="weekly",Flows!E53="biweekly"),OR(Flows!F53="",AND(ISNUMBER(Flows!F53),Flows!F53&gt;=Flows!D53))),0,1))+IF(Flows!A54="",0,IF(AND(ISNUMBER(Flows!C54),Flows!C54&gt;=0,ISNUMBER(Flows!D54),Flows!D54&gt;=1,OR(Flows!E54="",Flows!E54="once",Flows!E54="weekly",Flows!E54="biweekly"),OR(Flows!F54="",AND(ISNUMBER(Flows!F54),Flows!F54&gt;=Flows!D54))),0,1))+IF(Flows!A55="",0,IF(AND(ISNUMBER(Flows!C55),Flows!C55&gt;=0,ISNUMBER(Flows!D55),Flows!D55&gt;=1,OR(Flows!E55="",Flows!E55="once",Flows!E55="weekly",Flows!E55="biweekly"),OR(Flows!F55="",AND(ISNUMBER(Flows!F55),Flows!F55&gt;=Flows!D55))),0,1))+IF(Flows!A56="",0,IF(AND(ISNUMBER(Flows!C56),Flows!C56&gt;=0,ISNUMBER(Flows!D56),Flows!D56&gt;=1,OR(Flows!E56="",Flows!E56="once",Flows!E56="weekly",Flows!E56="biweekly"),OR(Flows!F56="",AND(ISNUMBER(Flows!F56),Flows!F56&gt;=Flows!D56))),0,1))+IF(Flows!A57="",0,IF(AND(ISNUMBER(Flows!C57),Flows!C57&gt;=0,ISNUMBER(Flows!D57),Flows!D57&gt;=1,OR(Flows!E57="",Flows!E57="once",Flows!E57="weekly",Flows!E57="biweekly"),OR(Flows!F57="",AND(ISNUMBER(Flows!F57),Flows!F57&gt;=Flows!D57))),0,1))+IF(Flows!A58="",0,IF(AND(ISNUMBER(Flows!C58),Flows!C58&gt;=0,ISNUMBER(Flows!D58),Flows!D58&gt;=1,OR(Flows!E58="",Flows!E58="once",Flows!E58="weekly",Flows!E58="biweekly"),OR(Flows!F58="",AND(ISNUMBER(Flows!F58),Flows!F58&gt;=Flows!D58))),0,1))+IF(Flows!A59="",0,IF(AND(ISNUMBER(Flows!C59),Flows!C59&gt;=0,ISNUMBER(Flows!D59),Flows!D59&gt;=1,OR(Flows!E59="",Flows!E59="once",Flows!E59="weekly",Flows!E59="biweekly"),OR(Flows!F59="",AND(ISNUMBER(Flows!F59),Flows!F59&gt;=Flows!D59))),0,1))+IF(Flows!A60="",0,IF(AND(ISNUMBER(Flows!C60),Flows!C60&gt;=0,ISNUMBER(Flows!D60),Flows!D60&gt;=1,OR(Flows!E60="",Flows!E60="once",Flows!E60="weekly",Flows!E60="biweekly"),OR(Flows!F60="",AND(ISNUMBER(Flows!F60),Flows!F60&gt;=Flows!D60))),0,1))+IF(Flows!A61="",0,IF(AND(ISNUMBER(Flows!C61),Flows!C61&gt;=0,ISNUMBER(Flows!D61),Flows!D61&gt;=1,OR(Flows!E61="",Flows!E61="once",Flows!E61="weekly",Flows!E61="biweekly"),OR(Flows!F61="",AND(ISNUMBER(Flows!F61),Flows!F61&gt;=Flows!D61))),0,1))+IF(Flows!A62="",0,IF(AND(ISNUMBER(Flows!C62),Flows!C62&gt;=0,ISNUMBER(Flows!D62),Flows!D62&gt;=1,OR(Flows!E62="",Flows!E62="once",Flows!E62="weekly",Flows!E62="biweekly"),OR(Flows!F62="",AND(ISNUMBER(Flows!F62),Flows!F62&gt;=Flows!D62))),0,1))+IF(Flows!A63="",0,IF(AND(ISNUMBER(Flows!C63),Flows!C63&gt;=0,ISNUMBER(Flows!D63),Flows!D63&gt;=1,OR(Flows!E63="",Flows!E63="once",Flows!E63="weekly",Flows!E63="biweekly"),OR(Flows!F63="",AND(ISNUMBER(Flows!F63),Flows!F63&gt;=Flows!D63))),0,1))+IF(Flows!A64="",0,IF(AND(ISNUMBER(Flows!C64),Flows!C64&gt;=0,ISNUMBER(Flows!D64),Flows!D64&gt;=1,OR(Flows!E64="",Flows!E64="once",Flows!E64="weekly",Flows!E64="biweekly"),OR(Flows!F64="",AND(ISNUMBER(Flows!F64),Flows!F64&gt;=Flows!D64))),0,1))+IF(Flows!A65="",0,IF(AND(ISNUMBER(Flows!C65),Flows!C65&gt;=0,ISNUMBER(Flows!D65),Flows!D65&gt;=1,OR(Flows!E65="",Flows!E65="once",Flows!E65="weekly",Flows!E65="biweekly"),OR(Flows!F65="",AND(ISNUMBER(Flows!F65),Flows!F65&gt;=Flows!D65))),0,1))+IF(Flows!A66="",0,IF(AND(ISNUMBER(Flows!C66),Flows!C66&gt;=0,ISNUMBER(Flows!D66),Flows!D66&gt;=1,OR(Flows!E66="",Flows!E66="once",Flows!E66="weekly",Flows!E66="biweekly"),OR(Flows!F66="",AND(ISNUMBER(Flows!F66),Flows!F66&gt;=Flows!D66))),0,1))+IF(Flows!A67="",0,IF(AND(ISNUMBER(Flows!C67),Flows!C67&gt;=0,ISNUMBER(Flows!D67),Flows!D67&gt;=1,OR(Flows!E67="",Flows!E67="once",Flows!E67="weekly",Flows!E67="biweekly"),OR(Flows!F67="",AND(ISNUMBER(Flows!F67),Flows!F67&gt;=Flows!D67))),0,1))+IF(Flows!A68="",0,IF(AND(ISNUMBER(Flows!C68),Flows!C68&gt;=0,ISNUMBER(Flows!D68),Flows!D68&gt;=1,OR(Flows!E68="",Flows!E68="once",Flows!E68="weekly",Flows!E68="biweekly"),OR(Flows!F68="",AND(ISNUMBER(Flows!F68),Flows!F68&gt;=Flows!D68))),0,1))+IF(Flows!A69="",0,IF(AND(ISNUMBER(Flows!C69),Flows!C69&gt;=0,ISNUMBER(Flows!D69),Flows!D69&gt;=1,OR(Flows!E69="",Flows!E69="once",Flows!E69="weekly",Flows!E69="biweekly"),OR(Flows!F69="",AND(ISNUMBER(Flows!F69),Flows!F69&gt;=Flows!D69))),0,1))+IF(Flows!A70="",0,IF(AND(ISNUMBER(Flows!C70),Flows!C70&gt;=0,ISNUMBER(Flows!D70),Flows!D70&gt;=1,OR(Flows!E70="",Flows!E70="once",Flows!E70="weekly",Flows!E70="biweekly"),OR(Flows!F70="",AND(ISNUMBER(Flows!F70),Flows!F70&gt;=Flows!D70))),0,1))+IF(Flows!A71="",0,IF(AND(ISNUMBER(Flows!C71),Flows!C71&gt;=0,ISNUMBER(Flows!D71),Flows!D71&gt;=1,OR(Flows!E71="",Flows!E71="once",Flows!E71="weekly",Flows!E71="biweekly"),OR(Flows!F71="",AND(ISNUMBER(Flows!F71),Flows!F71&gt;=Flows!D71))),0,1))+IF(Flows!A72="",0,IF(AND(ISNUMBER(Flows!C72),Flows!C72&gt;=0,ISNUMBER(Flows!D72),Flows!D72&gt;=1,OR(Flows!E72="",Flows!E72="once",Flows!E72="weekly",Flows!E72="biweekly"),OR(Flows!F72="",AND(ISNUMBER(Flows!F72),Flows!F72&gt;=Flows!D72))),0,1))+IF(Flows!A73="",0,IF(AND(ISNUMBER(Flows!C73),Flows!C73&gt;=0,ISNUMBER(Flows!D73),Flows!D73&gt;=1,OR(Flows!E73="",Flows!E73="once",Flows!E73="weekly",Flows!E73="biweekly"),OR(Flows!F73="",AND(ISNUMBER(Flows!F73),Flows!F73&gt;=Flows!D73))),0,1))+IF(Flows!A74="",0,IF(AND(ISNUMBER(Flows!C74),Flows!C74&gt;=0,ISNUMBER(Flows!D74),Flows!D74&gt;=1,OR(Flows!E74="",Flows!E74="once",Flows!E74="weekly",Flows!E74="biweekly"),OR(Flows!F74="",AND(ISNUMBER(Flows!F74),Flows!F74&gt;=Flows!D74))),0,1))+IF(Flows!A75="",0,IF(AND(ISNUMBER(Flows!C75),Flows!C75&gt;=0,ISNUMBER(Flows!D75),Flows!D75&gt;=1,OR(Flows!E75="",Flows!E75="once",Flows!E75="weekly",Flows!E75="biweekly"),OR(Flows!F75="",AND(ISNUMBER(Flows!F75),Flows!F75&gt;=Flows!D75))),0,1))+IF(Flows!A76="",0,IF(AND(ISNUMBER(Flows!C76),Flows!C76&gt;=0,ISNUMBER(Flows!D76),Flows!D76&gt;=1,OR(Flows!E76="",Flows!E76="once",Flows!E76="weekly",Flows!E76="biweekly"),OR(Flows!F76="",AND(ISNUMBER(Flows!F76),Flows!F76&gt;=Flows!D76))),0,1))+IF(Flows!A77="",0,IF(AND(ISNUMBER(Flows!C77),Flows!C77&gt;=0,ISNUMBER(Flows!D77),Flows!D77&gt;=1,OR(Flows!E77="",Flows!E77="once",Flows!E77="weekly",Flows!E77="biweekly"),OR(Flows!F77="",AND(ISNUMBER(Flows!F77),Flows!F77&gt;=Flows!D77))),0,1))+IF(Flows!A78="",0,IF(AND(ISNUMBER(Flows!C78),Flows!C78&gt;=0,ISNUMBER(Flows!D78),Flows!D78&gt;=1,OR(Flows!E78="",Flows!E78="once",Flows!E78="weekly",Flows!E78="biweekly"),OR(Flows!F78="",AND(ISNUMBER(Flows!F78),Flows!F78&gt;=Flows!D78))),0,1))+IF(Flows!A79="",0,IF(AND(ISNUMBER(Flows!C79),Flows!C79&gt;=0,ISNUMBER(Flows!D79),Flows!D79&gt;=1,OR(Flows!E79="",Flows!E79="once",Flows!E79="weekly",Flows!E79="biweekly"),OR(Flows!F79="",AND(ISNUMBER(Flows!F79),Flows!F79&gt;=Flows!D79))),0,1))+IF(Flows!A80="",0,IF(AND(ISNUMBER(Flows!C80),Flows!C80&gt;=0,ISNUMBER(Flows!D80),Flows!D80&gt;=1,OR(Flows!E80="",Flows!E80="once",Flows!E80="weekly",Flows!E80="biweekly"),OR(Flows!F80="",AND(ISNUMBER(Flows!F80),Flows!F80&gt;=Flows!D80))),0,1))+IF(Flows!A81="",0,IF(AND(ISNUMBER(Flows!C81),Flows!C81&gt;=0,ISNUMBER(Flows!D81),Flows!D81&gt;=1,OR(Flows!E81="",Flows!E81="once",Flows!E81="weekly",Flows!E81="biweekly"),OR(Flows!F81="",AND(ISNUMBER(Flows!F81),Flows!F81&gt;=Flows!D81))),0,1))+IF(Flows!A82="",0,IF(AND(ISNUMBER(Flows!C82),Flows!C82&gt;=0,ISNUMBER(Flows!D82),Flows!D82&gt;=1,OR(Flows!E82="",Flows!E82="once",Flows!E82="weekly",Flows!E82="biweekly"),OR(Flows!F82="",AND(ISNUMBER(Flows!F82),Flows!F82&gt;=Flows!D82))),0,1))+IF(Flows!A83="",0,IF(AND(ISNUMBER(Flows!C83),Flows!C83&gt;=0,ISNUMBER(Flows!D83),Flows!D83&gt;=1,OR(Flows!E83="",Flows!E83="once",Flows!E83="weekly",Flows!E83="biweekly"),OR(Flows!F83="",AND(ISNUMBER(Flows!F83),Flows!F83&gt;=Flows!D83))),0,1))+IF(Flows!A84="",0,IF(AND(ISNUMBER(Flows!C84),Flows!C84&gt;=0,ISNUMBER(Flows!D84),Flows!D84&gt;=1,OR(Flows!E84="",Flows!E84="once",Flows!E84="weekly",Flows!E84="biweekly"),OR(Flows!F84="",AND(ISNUMBER(Flows!F84),Flows!F84&gt;=Flows!D84))),0,1)))&amp;" bad rows"</f>
        <v/>
      </c>
    </row>
    <row r="9">
      <c r="A9" t="n">
        <v>5</v>
      </c>
      <c r="B9" t="inlineStr">
        <is>
          <t>ending cash roll-forward = opening + sum(net)</t>
        </is>
      </c>
      <c r="C9" s="7">
        <f>IF(ABS(Runway!B8-(Setup!$B$4+SUMPRODUCT(Weekly!E5:E56*Weekly!G5:G56)))&lt;0.005,"PASS","FAIL")</f>
        <v/>
      </c>
    </row>
    <row r="10">
      <c r="A10" t="n">
        <v>6</v>
      </c>
      <c r="B10" t="inlineStr">
        <is>
          <t>receipts + disbursements in grid = weekly totals</t>
        </is>
      </c>
      <c r="C10" s="7">
        <f>IF(ABS(SUM(Weekly!C5:D56)-SUM(Grid!F4:BE83))&lt;0.005,"PASS","FAIL")</f>
        <v/>
      </c>
    </row>
    <row r="11">
      <c r="A11" t="n">
        <v>7</v>
      </c>
      <c r="B11" t="inlineStr">
        <is>
          <t>GOLDEN parity with original openfpa: min_cash = -146000</t>
        </is>
      </c>
      <c r="C11" s="7">
        <f>IF(ABS(Runway!$B$4-(-146000))&lt;0.005,"PASS","FAIL")</f>
        <v/>
      </c>
      <c r="D11" s="7">
        <f>Runway!$B$4</f>
        <v/>
      </c>
    </row>
    <row r="12">
      <c r="A12" t="n">
        <v>8</v>
      </c>
      <c r="B12" t="inlineStr">
        <is>
          <t>GOLDEN parity with original openfpa: min_week = 7</t>
        </is>
      </c>
      <c r="C12" s="7">
        <f>IF(ABS(Runway!$B$5-(7))&lt;0.005,"PASS","FAIL")</f>
        <v/>
      </c>
      <c r="D12" s="7">
        <f>Runway!$B$5</f>
        <v/>
      </c>
    </row>
    <row r="13">
      <c r="A13" t="n">
        <v>9</v>
      </c>
      <c r="B13" t="inlineStr">
        <is>
          <t>GOLDEN parity with original openfpa: first_negative_week = 3</t>
        </is>
      </c>
      <c r="C13" s="7">
        <f>IF(ABS(Runway!$B$6-(3))&lt;0.005,"PASS","FAIL")</f>
        <v/>
      </c>
      <c r="D13" s="7">
        <f>Runway!$B$6</f>
        <v/>
      </c>
    </row>
  </sheetData>
  <conditionalFormatting sqref="C3:C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opening_cash</t>
        </is>
      </c>
      <c r="B4" s="8" t="n">
        <v>150000</v>
      </c>
    </row>
    <row r="5">
      <c r="A5" t="inlineStr">
        <is>
          <t>weeks (1-52)</t>
        </is>
      </c>
      <c r="B5" s="9" t="n">
        <v>13</v>
      </c>
    </row>
    <row r="6">
      <c r="A6" t="inlineStr">
        <is>
          <t>week 1 start date (Monday recommended)</t>
        </is>
      </c>
      <c r="B6" s="10" t="n">
        <v>46027</v>
      </c>
    </row>
    <row r="7">
      <c r="A7" t="inlineStr">
        <is>
          <t>credit-line buffer over trough</t>
        </is>
      </c>
      <c r="B7" s="11" t="n">
        <v>0.15</v>
      </c>
    </row>
    <row r="8">
      <c r="A8" t="inlineStr">
        <is>
          <t>currency symbol</t>
        </is>
      </c>
      <c r="B8" s="12" t="inlineStr">
        <is>
          <t>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1" customWidth="1" min="4" max="4"/>
    <col width="16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Flows (one row per scheduled flow; amount is a positive magnitude)</t>
        </is>
      </c>
    </row>
    <row r="2"/>
    <row r="3"/>
    <row r="4">
      <c r="A4" s="6" t="inlineStr">
        <is>
          <t>direction (receipt/disbursement)</t>
        </is>
      </c>
      <c r="B4" s="6" t="inlineStr">
        <is>
          <t>name</t>
        </is>
      </c>
      <c r="C4" s="6" t="inlineStr">
        <is>
          <t>amount</t>
        </is>
      </c>
      <c r="D4" s="6" t="inlineStr">
        <is>
          <t>start_week</t>
        </is>
      </c>
      <c r="E4" s="6" t="inlineStr">
        <is>
          <t>recurrence (once/weekly/biweekly)</t>
        </is>
      </c>
      <c r="F4" s="6" t="inlineStr">
        <is>
          <t>end_week (optional)</t>
        </is>
      </c>
      <c r="G4" s="6" t="inlineStr">
        <is>
          <t>category (optional)</t>
        </is>
      </c>
      <c r="H4" s="6" t="inlineStr">
        <is>
          <t>source / evidence</t>
        </is>
      </c>
    </row>
    <row r="5">
      <c r="A5" s="12" t="inlineStr">
        <is>
          <t>receipt</t>
        </is>
      </c>
      <c r="B5" s="12" t="inlineStr">
        <is>
          <t>D2C daily sales</t>
        </is>
      </c>
      <c r="C5" s="8" t="n">
        <v>38000</v>
      </c>
      <c r="D5" s="9" t="n">
        <v>1</v>
      </c>
      <c r="E5" s="12" t="inlineStr">
        <is>
          <t>weekly</t>
        </is>
      </c>
      <c r="F5" s="9" t="n"/>
      <c r="G5" s="12" t="n"/>
      <c r="H5" s="12" t="n"/>
    </row>
    <row r="6">
      <c r="A6" s="12" t="inlineStr">
        <is>
          <t>receipt</t>
        </is>
      </c>
      <c r="B6" s="12" t="inlineStr">
        <is>
          <t>Amazon payout</t>
        </is>
      </c>
      <c r="C6" s="8" t="n">
        <v>95000</v>
      </c>
      <c r="D6" s="9" t="n">
        <v>2</v>
      </c>
      <c r="E6" s="12" t="inlineStr">
        <is>
          <t>biweekly</t>
        </is>
      </c>
      <c r="F6" s="9" t="n"/>
      <c r="G6" s="12" t="n"/>
      <c r="H6" s="12" t="n"/>
    </row>
    <row r="7">
      <c r="A7" s="12" t="inlineStr">
        <is>
          <t>receipt</t>
        </is>
      </c>
      <c r="B7" s="12" t="inlineStr">
        <is>
          <t>Wholesale AR collection</t>
        </is>
      </c>
      <c r="C7" s="8" t="n">
        <v>120000</v>
      </c>
      <c r="D7" s="9" t="n">
        <v>4</v>
      </c>
      <c r="E7" s="12" t="inlineStr">
        <is>
          <t>once</t>
        </is>
      </c>
      <c r="F7" s="9" t="n"/>
      <c r="G7" s="12" t="n"/>
      <c r="H7" s="12" t="n"/>
    </row>
    <row r="8">
      <c r="A8" s="12" t="inlineStr">
        <is>
          <t>receipt</t>
        </is>
      </c>
      <c r="B8" s="12" t="inlineStr">
        <is>
          <t>Wholesale AR collection</t>
        </is>
      </c>
      <c r="C8" s="8" t="n">
        <v>120000</v>
      </c>
      <c r="D8" s="9" t="n">
        <v>9</v>
      </c>
      <c r="E8" s="12" t="inlineStr">
        <is>
          <t>once</t>
        </is>
      </c>
      <c r="F8" s="9" t="n"/>
      <c r="G8" s="12" t="n"/>
      <c r="H8" s="12" t="n"/>
    </row>
    <row r="9">
      <c r="A9" s="12" t="inlineStr">
        <is>
          <t>disbursement</t>
        </is>
      </c>
      <c r="B9" s="12" t="inlineStr">
        <is>
          <t>Payroll</t>
        </is>
      </c>
      <c r="C9" s="8" t="n">
        <v>55000</v>
      </c>
      <c r="D9" s="9" t="n">
        <v>1</v>
      </c>
      <c r="E9" s="12" t="inlineStr">
        <is>
          <t>biweekly</t>
        </is>
      </c>
      <c r="F9" s="9" t="n"/>
      <c r="G9" s="12" t="n"/>
      <c r="H9" s="12" t="n"/>
    </row>
    <row r="10">
      <c r="A10" s="12" t="inlineStr">
        <is>
          <t>disbursement</t>
        </is>
      </c>
      <c r="B10" s="12" t="inlineStr">
        <is>
          <t>Inventory PO deposit</t>
        </is>
      </c>
      <c r="C10" s="8" t="n">
        <v>220000</v>
      </c>
      <c r="D10" s="9" t="n">
        <v>3</v>
      </c>
      <c r="E10" s="12" t="inlineStr">
        <is>
          <t>once</t>
        </is>
      </c>
      <c r="F10" s="9" t="n"/>
      <c r="G10" s="12" t="n"/>
      <c r="H10" s="12" t="n"/>
    </row>
    <row r="11">
      <c r="A11" s="12" t="inlineStr">
        <is>
          <t>disbursement</t>
        </is>
      </c>
      <c r="B11" s="12" t="inlineStr">
        <is>
          <t>Inventory PO balance</t>
        </is>
      </c>
      <c r="C11" s="8" t="n">
        <v>240000</v>
      </c>
      <c r="D11" s="9" t="n">
        <v>6</v>
      </c>
      <c r="E11" s="12" t="inlineStr">
        <is>
          <t>once</t>
        </is>
      </c>
      <c r="F11" s="9" t="n"/>
      <c r="G11" s="12" t="n"/>
      <c r="H11" s="12" t="n"/>
    </row>
    <row r="12">
      <c r="A12" s="12" t="inlineStr">
        <is>
          <t>disbursement</t>
        </is>
      </c>
      <c r="B12" s="12" t="inlineStr">
        <is>
          <t>Operating overhead</t>
        </is>
      </c>
      <c r="C12" s="8" t="n">
        <v>23000</v>
      </c>
      <c r="D12" s="9" t="n">
        <v>1</v>
      </c>
      <c r="E12" s="12" t="inlineStr">
        <is>
          <t>weekly</t>
        </is>
      </c>
      <c r="F12" s="9" t="n"/>
      <c r="G12" s="12" t="n"/>
      <c r="H12" s="12" t="n"/>
    </row>
    <row r="13">
      <c r="A13" s="12" t="inlineStr">
        <is>
          <t>disbursement</t>
        </is>
      </c>
      <c r="B13" s="12" t="inlineStr">
        <is>
          <t>Marketing</t>
        </is>
      </c>
      <c r="C13" s="8" t="n">
        <v>18000</v>
      </c>
      <c r="D13" s="9" t="n">
        <v>1</v>
      </c>
      <c r="E13" s="12" t="inlineStr">
        <is>
          <t>weekly</t>
        </is>
      </c>
      <c r="F13" s="9" t="n"/>
      <c r="G13" s="12" t="n"/>
      <c r="H13" s="12" t="n"/>
    </row>
    <row r="14">
      <c r="A14" s="12" t="inlineStr">
        <is>
          <t>disbursement</t>
        </is>
      </c>
      <c r="B14" s="12" t="inlineStr">
        <is>
          <t>Quarterly tax estimate</t>
        </is>
      </c>
      <c r="C14" s="8" t="n">
        <v>60000</v>
      </c>
      <c r="D14" s="9" t="n">
        <v>11</v>
      </c>
      <c r="E14" s="12" t="inlineStr">
        <is>
          <t>once</t>
        </is>
      </c>
      <c r="F14" s="9" t="n"/>
      <c r="G14" s="12" t="n"/>
      <c r="H14" s="12" t="n"/>
    </row>
    <row r="15">
      <c r="A15" s="12" t="n"/>
      <c r="B15" s="12" t="n"/>
      <c r="C15" s="8" t="n"/>
      <c r="D15" s="9" t="n"/>
      <c r="E15" s="12" t="n"/>
      <c r="F15" s="9" t="n"/>
      <c r="G15" s="12" t="n"/>
      <c r="H15" s="12" t="n"/>
    </row>
    <row r="16">
      <c r="A16" s="12" t="n"/>
      <c r="B16" s="12" t="n"/>
      <c r="C16" s="8" t="n"/>
      <c r="D16" s="9" t="n"/>
      <c r="E16" s="12" t="n"/>
      <c r="F16" s="9" t="n"/>
      <c r="G16" s="12" t="n"/>
      <c r="H16" s="12" t="n"/>
    </row>
    <row r="17">
      <c r="A17" s="12" t="n"/>
      <c r="B17" s="12" t="n"/>
      <c r="C17" s="8" t="n"/>
      <c r="D17" s="9" t="n"/>
      <c r="E17" s="12" t="n"/>
      <c r="F17" s="9" t="n"/>
      <c r="G17" s="12" t="n"/>
      <c r="H17" s="12" t="n"/>
    </row>
    <row r="18">
      <c r="A18" s="12" t="n"/>
      <c r="B18" s="12" t="n"/>
      <c r="C18" s="8" t="n"/>
      <c r="D18" s="9" t="n"/>
      <c r="E18" s="12" t="n"/>
      <c r="F18" s="9" t="n"/>
      <c r="G18" s="12" t="n"/>
      <c r="H18" s="12" t="n"/>
    </row>
    <row r="19">
      <c r="A19" s="12" t="n"/>
      <c r="B19" s="12" t="n"/>
      <c r="C19" s="8" t="n"/>
      <c r="D19" s="9" t="n"/>
      <c r="E19" s="12" t="n"/>
      <c r="F19" s="9" t="n"/>
      <c r="G19" s="12" t="n"/>
      <c r="H19" s="12" t="n"/>
    </row>
    <row r="20">
      <c r="A20" s="12" t="n"/>
      <c r="B20" s="12" t="n"/>
      <c r="C20" s="8" t="n"/>
      <c r="D20" s="9" t="n"/>
      <c r="E20" s="12" t="n"/>
      <c r="F20" s="9" t="n"/>
      <c r="G20" s="12" t="n"/>
      <c r="H20" s="12" t="n"/>
    </row>
    <row r="21">
      <c r="A21" s="12" t="n"/>
      <c r="B21" s="12" t="n"/>
      <c r="C21" s="8" t="n"/>
      <c r="D21" s="9" t="n"/>
      <c r="E21" s="12" t="n"/>
      <c r="F21" s="9" t="n"/>
      <c r="G21" s="12" t="n"/>
      <c r="H21" s="12" t="n"/>
    </row>
    <row r="22">
      <c r="A22" s="12" t="n"/>
      <c r="B22" s="12" t="n"/>
      <c r="C22" s="8" t="n"/>
      <c r="D22" s="9" t="n"/>
      <c r="E22" s="12" t="n"/>
      <c r="F22" s="9" t="n"/>
      <c r="G22" s="12" t="n"/>
      <c r="H22" s="12" t="n"/>
    </row>
    <row r="23">
      <c r="A23" s="12" t="n"/>
      <c r="B23" s="12" t="n"/>
      <c r="C23" s="8" t="n"/>
      <c r="D23" s="9" t="n"/>
      <c r="E23" s="12" t="n"/>
      <c r="F23" s="9" t="n"/>
      <c r="G23" s="12" t="n"/>
      <c r="H23" s="12" t="n"/>
    </row>
    <row r="24">
      <c r="A24" s="12" t="n"/>
      <c r="B24" s="12" t="n"/>
      <c r="C24" s="8" t="n"/>
      <c r="D24" s="9" t="n"/>
      <c r="E24" s="12" t="n"/>
      <c r="F24" s="9" t="n"/>
      <c r="G24" s="12" t="n"/>
      <c r="H24" s="12" t="n"/>
    </row>
    <row r="25">
      <c r="A25" s="12" t="n"/>
      <c r="B25" s="12" t="n"/>
      <c r="C25" s="8" t="n"/>
      <c r="D25" s="9" t="n"/>
      <c r="E25" s="12" t="n"/>
      <c r="F25" s="9" t="n"/>
      <c r="G25" s="12" t="n"/>
      <c r="H25" s="12" t="n"/>
    </row>
    <row r="26">
      <c r="A26" s="12" t="n"/>
      <c r="B26" s="12" t="n"/>
      <c r="C26" s="8" t="n"/>
      <c r="D26" s="9" t="n"/>
      <c r="E26" s="12" t="n"/>
      <c r="F26" s="9" t="n"/>
      <c r="G26" s="12" t="n"/>
      <c r="H26" s="12" t="n"/>
    </row>
    <row r="27">
      <c r="A27" s="12" t="n"/>
      <c r="B27" s="12" t="n"/>
      <c r="C27" s="8" t="n"/>
      <c r="D27" s="9" t="n"/>
      <c r="E27" s="12" t="n"/>
      <c r="F27" s="9" t="n"/>
      <c r="G27" s="12" t="n"/>
      <c r="H27" s="12" t="n"/>
    </row>
    <row r="28">
      <c r="A28" s="12" t="n"/>
      <c r="B28" s="12" t="n"/>
      <c r="C28" s="8" t="n"/>
      <c r="D28" s="9" t="n"/>
      <c r="E28" s="12" t="n"/>
      <c r="F28" s="9" t="n"/>
      <c r="G28" s="12" t="n"/>
      <c r="H28" s="12" t="n"/>
    </row>
    <row r="29">
      <c r="A29" s="12" t="n"/>
      <c r="B29" s="12" t="n"/>
      <c r="C29" s="8" t="n"/>
      <c r="D29" s="9" t="n"/>
      <c r="E29" s="12" t="n"/>
      <c r="F29" s="9" t="n"/>
      <c r="G29" s="12" t="n"/>
      <c r="H29" s="12" t="n"/>
    </row>
    <row r="30">
      <c r="A30" s="12" t="n"/>
      <c r="B30" s="12" t="n"/>
      <c r="C30" s="8" t="n"/>
      <c r="D30" s="9" t="n"/>
      <c r="E30" s="12" t="n"/>
      <c r="F30" s="9" t="n"/>
      <c r="G30" s="12" t="n"/>
      <c r="H30" s="12" t="n"/>
    </row>
    <row r="31">
      <c r="A31" s="12" t="n"/>
      <c r="B31" s="12" t="n"/>
      <c r="C31" s="8" t="n"/>
      <c r="D31" s="9" t="n"/>
      <c r="E31" s="12" t="n"/>
      <c r="F31" s="9" t="n"/>
      <c r="G31" s="12" t="n"/>
      <c r="H31" s="12" t="n"/>
    </row>
    <row r="32">
      <c r="A32" s="12" t="n"/>
      <c r="B32" s="12" t="n"/>
      <c r="C32" s="8" t="n"/>
      <c r="D32" s="9" t="n"/>
      <c r="E32" s="12" t="n"/>
      <c r="F32" s="9" t="n"/>
      <c r="G32" s="12" t="n"/>
      <c r="H32" s="12" t="n"/>
    </row>
    <row r="33">
      <c r="A33" s="12" t="n"/>
      <c r="B33" s="12" t="n"/>
      <c r="C33" s="8" t="n"/>
      <c r="D33" s="9" t="n"/>
      <c r="E33" s="12" t="n"/>
      <c r="F33" s="9" t="n"/>
      <c r="G33" s="12" t="n"/>
      <c r="H33" s="12" t="n"/>
    </row>
    <row r="34">
      <c r="A34" s="12" t="n"/>
      <c r="B34" s="12" t="n"/>
      <c r="C34" s="8" t="n"/>
      <c r="D34" s="9" t="n"/>
      <c r="E34" s="12" t="n"/>
      <c r="F34" s="9" t="n"/>
      <c r="G34" s="12" t="n"/>
      <c r="H34" s="12" t="n"/>
    </row>
    <row r="35">
      <c r="A35" s="12" t="n"/>
      <c r="B35" s="12" t="n"/>
      <c r="C35" s="8" t="n"/>
      <c r="D35" s="9" t="n"/>
      <c r="E35" s="12" t="n"/>
      <c r="F35" s="9" t="n"/>
      <c r="G35" s="12" t="n"/>
      <c r="H35" s="12" t="n"/>
    </row>
    <row r="36">
      <c r="A36" s="12" t="n"/>
      <c r="B36" s="12" t="n"/>
      <c r="C36" s="8" t="n"/>
      <c r="D36" s="9" t="n"/>
      <c r="E36" s="12" t="n"/>
      <c r="F36" s="9" t="n"/>
      <c r="G36" s="12" t="n"/>
      <c r="H36" s="12" t="n"/>
    </row>
    <row r="37">
      <c r="A37" s="12" t="n"/>
      <c r="B37" s="12" t="n"/>
      <c r="C37" s="8" t="n"/>
      <c r="D37" s="9" t="n"/>
      <c r="E37" s="12" t="n"/>
      <c r="F37" s="9" t="n"/>
      <c r="G37" s="12" t="n"/>
      <c r="H37" s="12" t="n"/>
    </row>
    <row r="38">
      <c r="A38" s="12" t="n"/>
      <c r="B38" s="12" t="n"/>
      <c r="C38" s="8" t="n"/>
      <c r="D38" s="9" t="n"/>
      <c r="E38" s="12" t="n"/>
      <c r="F38" s="9" t="n"/>
      <c r="G38" s="12" t="n"/>
      <c r="H38" s="12" t="n"/>
    </row>
    <row r="39">
      <c r="A39" s="12" t="n"/>
      <c r="B39" s="12" t="n"/>
      <c r="C39" s="8" t="n"/>
      <c r="D39" s="9" t="n"/>
      <c r="E39" s="12" t="n"/>
      <c r="F39" s="9" t="n"/>
      <c r="G39" s="12" t="n"/>
      <c r="H39" s="12" t="n"/>
    </row>
    <row r="40">
      <c r="A40" s="12" t="n"/>
      <c r="B40" s="12" t="n"/>
      <c r="C40" s="8" t="n"/>
      <c r="D40" s="9" t="n"/>
      <c r="E40" s="12" t="n"/>
      <c r="F40" s="9" t="n"/>
      <c r="G40" s="12" t="n"/>
      <c r="H40" s="12" t="n"/>
    </row>
    <row r="41">
      <c r="A41" s="12" t="n"/>
      <c r="B41" s="12" t="n"/>
      <c r="C41" s="8" t="n"/>
      <c r="D41" s="9" t="n"/>
      <c r="E41" s="12" t="n"/>
      <c r="F41" s="9" t="n"/>
      <c r="G41" s="12" t="n"/>
      <c r="H41" s="12" t="n"/>
    </row>
    <row r="42">
      <c r="A42" s="12" t="n"/>
      <c r="B42" s="12" t="n"/>
      <c r="C42" s="8" t="n"/>
      <c r="D42" s="9" t="n"/>
      <c r="E42" s="12" t="n"/>
      <c r="F42" s="9" t="n"/>
      <c r="G42" s="12" t="n"/>
      <c r="H42" s="12" t="n"/>
    </row>
    <row r="43">
      <c r="A43" s="12" t="n"/>
      <c r="B43" s="12" t="n"/>
      <c r="C43" s="8" t="n"/>
      <c r="D43" s="9" t="n"/>
      <c r="E43" s="12" t="n"/>
      <c r="F43" s="9" t="n"/>
      <c r="G43" s="12" t="n"/>
      <c r="H43" s="12" t="n"/>
    </row>
    <row r="44">
      <c r="A44" s="12" t="n"/>
      <c r="B44" s="12" t="n"/>
      <c r="C44" s="8" t="n"/>
      <c r="D44" s="9" t="n"/>
      <c r="E44" s="12" t="n"/>
      <c r="F44" s="9" t="n"/>
      <c r="G44" s="12" t="n"/>
      <c r="H44" s="12" t="n"/>
    </row>
    <row r="45">
      <c r="A45" s="12" t="n"/>
      <c r="B45" s="12" t="n"/>
      <c r="C45" s="8" t="n"/>
      <c r="D45" s="9" t="n"/>
      <c r="E45" s="12" t="n"/>
      <c r="F45" s="9" t="n"/>
      <c r="G45" s="12" t="n"/>
      <c r="H45" s="12" t="n"/>
    </row>
    <row r="46">
      <c r="A46" s="12" t="n"/>
      <c r="B46" s="12" t="n"/>
      <c r="C46" s="8" t="n"/>
      <c r="D46" s="9" t="n"/>
      <c r="E46" s="12" t="n"/>
      <c r="F46" s="9" t="n"/>
      <c r="G46" s="12" t="n"/>
      <c r="H46" s="12" t="n"/>
    </row>
    <row r="47">
      <c r="A47" s="12" t="n"/>
      <c r="B47" s="12" t="n"/>
      <c r="C47" s="8" t="n"/>
      <c r="D47" s="9" t="n"/>
      <c r="E47" s="12" t="n"/>
      <c r="F47" s="9" t="n"/>
      <c r="G47" s="12" t="n"/>
      <c r="H47" s="12" t="n"/>
    </row>
    <row r="48">
      <c r="A48" s="12" t="n"/>
      <c r="B48" s="12" t="n"/>
      <c r="C48" s="8" t="n"/>
      <c r="D48" s="9" t="n"/>
      <c r="E48" s="12" t="n"/>
      <c r="F48" s="9" t="n"/>
      <c r="G48" s="12" t="n"/>
      <c r="H48" s="12" t="n"/>
    </row>
    <row r="49">
      <c r="A49" s="12" t="n"/>
      <c r="B49" s="12" t="n"/>
      <c r="C49" s="8" t="n"/>
      <c r="D49" s="9" t="n"/>
      <c r="E49" s="12" t="n"/>
      <c r="F49" s="9" t="n"/>
      <c r="G49" s="12" t="n"/>
      <c r="H49" s="12" t="n"/>
    </row>
    <row r="50">
      <c r="A50" s="12" t="n"/>
      <c r="B50" s="12" t="n"/>
      <c r="C50" s="8" t="n"/>
      <c r="D50" s="9" t="n"/>
      <c r="E50" s="12" t="n"/>
      <c r="F50" s="9" t="n"/>
      <c r="G50" s="12" t="n"/>
      <c r="H50" s="12" t="n"/>
    </row>
    <row r="51">
      <c r="A51" s="12" t="n"/>
      <c r="B51" s="12" t="n"/>
      <c r="C51" s="8" t="n"/>
      <c r="D51" s="9" t="n"/>
      <c r="E51" s="12" t="n"/>
      <c r="F51" s="9" t="n"/>
      <c r="G51" s="12" t="n"/>
      <c r="H51" s="12" t="n"/>
    </row>
    <row r="52">
      <c r="A52" s="12" t="n"/>
      <c r="B52" s="12" t="n"/>
      <c r="C52" s="8" t="n"/>
      <c r="D52" s="9" t="n"/>
      <c r="E52" s="12" t="n"/>
      <c r="F52" s="9" t="n"/>
      <c r="G52" s="12" t="n"/>
      <c r="H52" s="12" t="n"/>
    </row>
    <row r="53">
      <c r="A53" s="12" t="n"/>
      <c r="B53" s="12" t="n"/>
      <c r="C53" s="8" t="n"/>
      <c r="D53" s="9" t="n"/>
      <c r="E53" s="12" t="n"/>
      <c r="F53" s="9" t="n"/>
      <c r="G53" s="12" t="n"/>
      <c r="H53" s="12" t="n"/>
    </row>
    <row r="54">
      <c r="A54" s="12" t="n"/>
      <c r="B54" s="12" t="n"/>
      <c r="C54" s="8" t="n"/>
      <c r="D54" s="9" t="n"/>
      <c r="E54" s="12" t="n"/>
      <c r="F54" s="9" t="n"/>
      <c r="G54" s="12" t="n"/>
      <c r="H54" s="12" t="n"/>
    </row>
    <row r="55">
      <c r="A55" s="12" t="n"/>
      <c r="B55" s="12" t="n"/>
      <c r="C55" s="8" t="n"/>
      <c r="D55" s="9" t="n"/>
      <c r="E55" s="12" t="n"/>
      <c r="F55" s="9" t="n"/>
      <c r="G55" s="12" t="n"/>
      <c r="H55" s="12" t="n"/>
    </row>
    <row r="56">
      <c r="A56" s="12" t="n"/>
      <c r="B56" s="12" t="n"/>
      <c r="C56" s="8" t="n"/>
      <c r="D56" s="9" t="n"/>
      <c r="E56" s="12" t="n"/>
      <c r="F56" s="9" t="n"/>
      <c r="G56" s="12" t="n"/>
      <c r="H56" s="12" t="n"/>
    </row>
    <row r="57">
      <c r="A57" s="12" t="n"/>
      <c r="B57" s="12" t="n"/>
      <c r="C57" s="8" t="n"/>
      <c r="D57" s="9" t="n"/>
      <c r="E57" s="12" t="n"/>
      <c r="F57" s="9" t="n"/>
      <c r="G57" s="12" t="n"/>
      <c r="H57" s="12" t="n"/>
    </row>
    <row r="58">
      <c r="A58" s="12" t="n"/>
      <c r="B58" s="12" t="n"/>
      <c r="C58" s="8" t="n"/>
      <c r="D58" s="9" t="n"/>
      <c r="E58" s="12" t="n"/>
      <c r="F58" s="9" t="n"/>
      <c r="G58" s="12" t="n"/>
      <c r="H58" s="12" t="n"/>
    </row>
    <row r="59">
      <c r="A59" s="12" t="n"/>
      <c r="B59" s="12" t="n"/>
      <c r="C59" s="8" t="n"/>
      <c r="D59" s="9" t="n"/>
      <c r="E59" s="12" t="n"/>
      <c r="F59" s="9" t="n"/>
      <c r="G59" s="12" t="n"/>
      <c r="H59" s="12" t="n"/>
    </row>
    <row r="60">
      <c r="A60" s="12" t="n"/>
      <c r="B60" s="12" t="n"/>
      <c r="C60" s="8" t="n"/>
      <c r="D60" s="9" t="n"/>
      <c r="E60" s="12" t="n"/>
      <c r="F60" s="9" t="n"/>
      <c r="G60" s="12" t="n"/>
      <c r="H60" s="12" t="n"/>
    </row>
    <row r="61">
      <c r="A61" s="12" t="n"/>
      <c r="B61" s="12" t="n"/>
      <c r="C61" s="8" t="n"/>
      <c r="D61" s="9" t="n"/>
      <c r="E61" s="12" t="n"/>
      <c r="F61" s="9" t="n"/>
      <c r="G61" s="12" t="n"/>
      <c r="H61" s="12" t="n"/>
    </row>
    <row r="62">
      <c r="A62" s="12" t="n"/>
      <c r="B62" s="12" t="n"/>
      <c r="C62" s="8" t="n"/>
      <c r="D62" s="9" t="n"/>
      <c r="E62" s="12" t="n"/>
      <c r="F62" s="9" t="n"/>
      <c r="G62" s="12" t="n"/>
      <c r="H62" s="12" t="n"/>
    </row>
    <row r="63">
      <c r="A63" s="12" t="n"/>
      <c r="B63" s="12" t="n"/>
      <c r="C63" s="8" t="n"/>
      <c r="D63" s="9" t="n"/>
      <c r="E63" s="12" t="n"/>
      <c r="F63" s="9" t="n"/>
      <c r="G63" s="12" t="n"/>
      <c r="H63" s="12" t="n"/>
    </row>
    <row r="64">
      <c r="A64" s="12" t="n"/>
      <c r="B64" s="12" t="n"/>
      <c r="C64" s="8" t="n"/>
      <c r="D64" s="9" t="n"/>
      <c r="E64" s="12" t="n"/>
      <c r="F64" s="9" t="n"/>
      <c r="G64" s="12" t="n"/>
      <c r="H64" s="12" t="n"/>
    </row>
    <row r="65">
      <c r="A65" s="12" t="n"/>
      <c r="B65" s="12" t="n"/>
      <c r="C65" s="8" t="n"/>
      <c r="D65" s="9" t="n"/>
      <c r="E65" s="12" t="n"/>
      <c r="F65" s="9" t="n"/>
      <c r="G65" s="12" t="n"/>
      <c r="H65" s="12" t="n"/>
    </row>
    <row r="66">
      <c r="A66" s="12" t="n"/>
      <c r="B66" s="12" t="n"/>
      <c r="C66" s="8" t="n"/>
      <c r="D66" s="9" t="n"/>
      <c r="E66" s="12" t="n"/>
      <c r="F66" s="9" t="n"/>
      <c r="G66" s="12" t="n"/>
      <c r="H66" s="12" t="n"/>
    </row>
    <row r="67">
      <c r="A67" s="12" t="n"/>
      <c r="B67" s="12" t="n"/>
      <c r="C67" s="8" t="n"/>
      <c r="D67" s="9" t="n"/>
      <c r="E67" s="12" t="n"/>
      <c r="F67" s="9" t="n"/>
      <c r="G67" s="12" t="n"/>
      <c r="H67" s="12" t="n"/>
    </row>
    <row r="68">
      <c r="A68" s="12" t="n"/>
      <c r="B68" s="12" t="n"/>
      <c r="C68" s="8" t="n"/>
      <c r="D68" s="9" t="n"/>
      <c r="E68" s="12" t="n"/>
      <c r="F68" s="9" t="n"/>
      <c r="G68" s="12" t="n"/>
      <c r="H68" s="12" t="n"/>
    </row>
    <row r="69">
      <c r="A69" s="12" t="n"/>
      <c r="B69" s="12" t="n"/>
      <c r="C69" s="8" t="n"/>
      <c r="D69" s="9" t="n"/>
      <c r="E69" s="12" t="n"/>
      <c r="F69" s="9" t="n"/>
      <c r="G69" s="12" t="n"/>
      <c r="H69" s="12" t="n"/>
    </row>
    <row r="70">
      <c r="A70" s="12" t="n"/>
      <c r="B70" s="12" t="n"/>
      <c r="C70" s="8" t="n"/>
      <c r="D70" s="9" t="n"/>
      <c r="E70" s="12" t="n"/>
      <c r="F70" s="9" t="n"/>
      <c r="G70" s="12" t="n"/>
      <c r="H70" s="12" t="n"/>
    </row>
    <row r="71">
      <c r="A71" s="12" t="n"/>
      <c r="B71" s="12" t="n"/>
      <c r="C71" s="8" t="n"/>
      <c r="D71" s="9" t="n"/>
      <c r="E71" s="12" t="n"/>
      <c r="F71" s="9" t="n"/>
      <c r="G71" s="12" t="n"/>
      <c r="H71" s="12" t="n"/>
    </row>
    <row r="72">
      <c r="A72" s="12" t="n"/>
      <c r="B72" s="12" t="n"/>
      <c r="C72" s="8" t="n"/>
      <c r="D72" s="9" t="n"/>
      <c r="E72" s="12" t="n"/>
      <c r="F72" s="9" t="n"/>
      <c r="G72" s="12" t="n"/>
      <c r="H72" s="12" t="n"/>
    </row>
    <row r="73">
      <c r="A73" s="12" t="n"/>
      <c r="B73" s="12" t="n"/>
      <c r="C73" s="8" t="n"/>
      <c r="D73" s="9" t="n"/>
      <c r="E73" s="12" t="n"/>
      <c r="F73" s="9" t="n"/>
      <c r="G73" s="12" t="n"/>
      <c r="H73" s="12" t="n"/>
    </row>
    <row r="74">
      <c r="A74" s="12" t="n"/>
      <c r="B74" s="12" t="n"/>
      <c r="C74" s="8" t="n"/>
      <c r="D74" s="9" t="n"/>
      <c r="E74" s="12" t="n"/>
      <c r="F74" s="9" t="n"/>
      <c r="G74" s="12" t="n"/>
      <c r="H74" s="12" t="n"/>
    </row>
    <row r="75">
      <c r="A75" s="12" t="n"/>
      <c r="B75" s="12" t="n"/>
      <c r="C75" s="8" t="n"/>
      <c r="D75" s="9" t="n"/>
      <c r="E75" s="12" t="n"/>
      <c r="F75" s="9" t="n"/>
      <c r="G75" s="12" t="n"/>
      <c r="H75" s="12" t="n"/>
    </row>
    <row r="76">
      <c r="A76" s="12" t="n"/>
      <c r="B76" s="12" t="n"/>
      <c r="C76" s="8" t="n"/>
      <c r="D76" s="9" t="n"/>
      <c r="E76" s="12" t="n"/>
      <c r="F76" s="9" t="n"/>
      <c r="G76" s="12" t="n"/>
      <c r="H76" s="12" t="n"/>
    </row>
    <row r="77">
      <c r="A77" s="12" t="n"/>
      <c r="B77" s="12" t="n"/>
      <c r="C77" s="8" t="n"/>
      <c r="D77" s="9" t="n"/>
      <c r="E77" s="12" t="n"/>
      <c r="F77" s="9" t="n"/>
      <c r="G77" s="12" t="n"/>
      <c r="H77" s="12" t="n"/>
    </row>
    <row r="78">
      <c r="A78" s="12" t="n"/>
      <c r="B78" s="12" t="n"/>
      <c r="C78" s="8" t="n"/>
      <c r="D78" s="9" t="n"/>
      <c r="E78" s="12" t="n"/>
      <c r="F78" s="9" t="n"/>
      <c r="G78" s="12" t="n"/>
      <c r="H78" s="12" t="n"/>
    </row>
    <row r="79">
      <c r="A79" s="12" t="n"/>
      <c r="B79" s="12" t="n"/>
      <c r="C79" s="8" t="n"/>
      <c r="D79" s="9" t="n"/>
      <c r="E79" s="12" t="n"/>
      <c r="F79" s="9" t="n"/>
      <c r="G79" s="12" t="n"/>
      <c r="H79" s="12" t="n"/>
    </row>
    <row r="80">
      <c r="A80" s="12" t="n"/>
      <c r="B80" s="12" t="n"/>
      <c r="C80" s="8" t="n"/>
      <c r="D80" s="9" t="n"/>
      <c r="E80" s="12" t="n"/>
      <c r="F80" s="9" t="n"/>
      <c r="G80" s="12" t="n"/>
      <c r="H80" s="12" t="n"/>
    </row>
    <row r="81">
      <c r="A81" s="12" t="n"/>
      <c r="B81" s="12" t="n"/>
      <c r="C81" s="8" t="n"/>
      <c r="D81" s="9" t="n"/>
      <c r="E81" s="12" t="n"/>
      <c r="F81" s="9" t="n"/>
      <c r="G81" s="12" t="n"/>
      <c r="H81" s="12" t="n"/>
    </row>
    <row r="82">
      <c r="A82" s="12" t="n"/>
      <c r="B82" s="12" t="n"/>
      <c r="C82" s="8" t="n"/>
      <c r="D82" s="9" t="n"/>
      <c r="E82" s="12" t="n"/>
      <c r="F82" s="9" t="n"/>
      <c r="G82" s="12" t="n"/>
      <c r="H82" s="12" t="n"/>
    </row>
    <row r="83">
      <c r="A83" s="12" t="n"/>
      <c r="B83" s="12" t="n"/>
      <c r="C83" s="8" t="n"/>
      <c r="D83" s="9" t="n"/>
      <c r="E83" s="12" t="n"/>
      <c r="F83" s="9" t="n"/>
      <c r="G83" s="12" t="n"/>
      <c r="H83" s="12" t="n"/>
    </row>
    <row r="84">
      <c r="A84" s="12" t="n"/>
      <c r="B84" s="12" t="n"/>
      <c r="C84" s="8" t="n"/>
      <c r="D84" s="9" t="n"/>
      <c r="E84" s="12" t="n"/>
      <c r="F84" s="9" t="n"/>
      <c r="G84" s="12" t="n"/>
      <c r="H84" s="12" t="n"/>
    </row>
  </sheetData>
  <dataValidations count="2">
    <dataValidation sqref="A5:A84" showDropDown="0" showInputMessage="0" showErrorMessage="0" allowBlank="1" type="list">
      <formula1>"receipt,disbursement"</formula1>
    </dataValidation>
    <dataValidation sqref="E5:E84" showDropDown="0" showInputMessage="0" showErrorMessage="0" allowBlank="1" type="list">
      <formula1>"once,weekly,biweekly"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83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</cols>
  <sheetData>
    <row r="1">
      <c r="A1" s="1" t="inlineStr">
        <is>
          <t>Grid - expand_flow: amount landing in each week per flow (formulas)</t>
        </is>
      </c>
    </row>
    <row r="2"/>
    <row r="3">
      <c r="A3" s="6" t="inlineStr">
        <is>
          <t>direction</t>
        </is>
      </c>
      <c r="B3" s="6" t="inlineStr">
        <is>
          <t>name</t>
        </is>
      </c>
      <c r="C3" s="6" t="inlineStr">
        <is>
          <t>start</t>
        </is>
      </c>
      <c r="D3" s="6" t="inlineStr">
        <is>
          <t>end (resolved)</t>
        </is>
      </c>
      <c r="E3" s="6" t="inlineStr">
        <is>
          <t>recurrence</t>
        </is>
      </c>
      <c r="F3" s="4" t="n">
        <v>1</v>
      </c>
      <c r="G3" s="4" t="n">
        <v>2</v>
      </c>
      <c r="H3" s="4" t="n">
        <v>3</v>
      </c>
      <c r="I3" s="4" t="n">
        <v>4</v>
      </c>
      <c r="J3" s="4" t="n">
        <v>5</v>
      </c>
      <c r="K3" s="4" t="n">
        <v>6</v>
      </c>
      <c r="L3" s="4" t="n">
        <v>7</v>
      </c>
      <c r="M3" s="4" t="n">
        <v>8</v>
      </c>
      <c r="N3" s="4" t="n">
        <v>9</v>
      </c>
      <c r="O3" s="4" t="n">
        <v>10</v>
      </c>
      <c r="P3" s="4" t="n">
        <v>11</v>
      </c>
      <c r="Q3" s="4" t="n">
        <v>12</v>
      </c>
      <c r="R3" s="4" t="n">
        <v>13</v>
      </c>
      <c r="S3" s="4" t="n">
        <v>14</v>
      </c>
      <c r="T3" s="4" t="n">
        <v>15</v>
      </c>
      <c r="U3" s="4" t="n">
        <v>16</v>
      </c>
      <c r="V3" s="4" t="n">
        <v>17</v>
      </c>
      <c r="W3" s="4" t="n">
        <v>18</v>
      </c>
      <c r="X3" s="4" t="n">
        <v>19</v>
      </c>
      <c r="Y3" s="4" t="n">
        <v>20</v>
      </c>
      <c r="Z3" s="4" t="n">
        <v>21</v>
      </c>
      <c r="AA3" s="4" t="n">
        <v>22</v>
      </c>
      <c r="AB3" s="4" t="n">
        <v>23</v>
      </c>
      <c r="AC3" s="4" t="n">
        <v>24</v>
      </c>
      <c r="AD3" s="4" t="n">
        <v>25</v>
      </c>
      <c r="AE3" s="4" t="n">
        <v>26</v>
      </c>
      <c r="AF3" s="4" t="n">
        <v>27</v>
      </c>
      <c r="AG3" s="4" t="n">
        <v>28</v>
      </c>
      <c r="AH3" s="4" t="n">
        <v>29</v>
      </c>
      <c r="AI3" s="4" t="n">
        <v>30</v>
      </c>
      <c r="AJ3" s="4" t="n">
        <v>31</v>
      </c>
      <c r="AK3" s="4" t="n">
        <v>32</v>
      </c>
      <c r="AL3" s="4" t="n">
        <v>33</v>
      </c>
      <c r="AM3" s="4" t="n">
        <v>34</v>
      </c>
      <c r="AN3" s="4" t="n">
        <v>35</v>
      </c>
      <c r="AO3" s="4" t="n">
        <v>36</v>
      </c>
      <c r="AP3" s="4" t="n">
        <v>37</v>
      </c>
      <c r="AQ3" s="4" t="n">
        <v>38</v>
      </c>
      <c r="AR3" s="4" t="n">
        <v>39</v>
      </c>
      <c r="AS3" s="4" t="n">
        <v>40</v>
      </c>
      <c r="AT3" s="4" t="n">
        <v>41</v>
      </c>
      <c r="AU3" s="4" t="n">
        <v>42</v>
      </c>
      <c r="AV3" s="4" t="n">
        <v>43</v>
      </c>
      <c r="AW3" s="4" t="n">
        <v>44</v>
      </c>
      <c r="AX3" s="4" t="n">
        <v>45</v>
      </c>
      <c r="AY3" s="4" t="n">
        <v>46</v>
      </c>
      <c r="AZ3" s="4" t="n">
        <v>47</v>
      </c>
      <c r="BA3" s="4" t="n">
        <v>48</v>
      </c>
      <c r="BB3" s="4" t="n">
        <v>49</v>
      </c>
      <c r="BC3" s="4" t="n">
        <v>50</v>
      </c>
      <c r="BD3" s="4" t="n">
        <v>51</v>
      </c>
      <c r="BE3" s="4" t="n">
        <v>52</v>
      </c>
    </row>
    <row r="4">
      <c r="A4" s="7">
        <f>IF(Flows!A5="","",LOWER(Flows!A5))</f>
        <v/>
      </c>
      <c r="B4" s="7">
        <f>IF(Flows!B5="","",Flows!B5)</f>
        <v/>
      </c>
      <c r="C4" s="7">
        <f>N(Flows!D5)</f>
        <v/>
      </c>
      <c r="D4" s="7">
        <f>IF(Flows!F5="",Setup!$B$5,Flows!F5)</f>
        <v/>
      </c>
      <c r="E4" s="7">
        <f>IF(Flows!E5="","once",LOWER(Flows!E5))</f>
        <v/>
      </c>
      <c r="F4" s="13">
        <f>IF(OR($A4="",Flows!$C5=""),0,IF(AND(1&lt;=Setup!$B$5,1&gt;=$C4,OR(AND($E4="once",1=$C4),AND($E4="weekly",1&lt;=$D4),AND($E4="biweekly",1&lt;=$D4,MOD(1-$C4,2)=0))),Flows!$C5,0))</f>
        <v/>
      </c>
      <c r="G4" s="13">
        <f>IF(OR($A4="",Flows!$C5=""),0,IF(AND(2&lt;=Setup!$B$5,2&gt;=$C4,OR(AND($E4="once",2=$C4),AND($E4="weekly",2&lt;=$D4),AND($E4="biweekly",2&lt;=$D4,MOD(2-$C4,2)=0))),Flows!$C5,0))</f>
        <v/>
      </c>
      <c r="H4" s="13">
        <f>IF(OR($A4="",Flows!$C5=""),0,IF(AND(3&lt;=Setup!$B$5,3&gt;=$C4,OR(AND($E4="once",3=$C4),AND($E4="weekly",3&lt;=$D4),AND($E4="biweekly",3&lt;=$D4,MOD(3-$C4,2)=0))),Flows!$C5,0))</f>
        <v/>
      </c>
      <c r="I4" s="13">
        <f>IF(OR($A4="",Flows!$C5=""),0,IF(AND(4&lt;=Setup!$B$5,4&gt;=$C4,OR(AND($E4="once",4=$C4),AND($E4="weekly",4&lt;=$D4),AND($E4="biweekly",4&lt;=$D4,MOD(4-$C4,2)=0))),Flows!$C5,0))</f>
        <v/>
      </c>
      <c r="J4" s="13">
        <f>IF(OR($A4="",Flows!$C5=""),0,IF(AND(5&lt;=Setup!$B$5,5&gt;=$C4,OR(AND($E4="once",5=$C4),AND($E4="weekly",5&lt;=$D4),AND($E4="biweekly",5&lt;=$D4,MOD(5-$C4,2)=0))),Flows!$C5,0))</f>
        <v/>
      </c>
      <c r="K4" s="13">
        <f>IF(OR($A4="",Flows!$C5=""),0,IF(AND(6&lt;=Setup!$B$5,6&gt;=$C4,OR(AND($E4="once",6=$C4),AND($E4="weekly",6&lt;=$D4),AND($E4="biweekly",6&lt;=$D4,MOD(6-$C4,2)=0))),Flows!$C5,0))</f>
        <v/>
      </c>
      <c r="L4" s="13">
        <f>IF(OR($A4="",Flows!$C5=""),0,IF(AND(7&lt;=Setup!$B$5,7&gt;=$C4,OR(AND($E4="once",7=$C4),AND($E4="weekly",7&lt;=$D4),AND($E4="biweekly",7&lt;=$D4,MOD(7-$C4,2)=0))),Flows!$C5,0))</f>
        <v/>
      </c>
      <c r="M4" s="13">
        <f>IF(OR($A4="",Flows!$C5=""),0,IF(AND(8&lt;=Setup!$B$5,8&gt;=$C4,OR(AND($E4="once",8=$C4),AND($E4="weekly",8&lt;=$D4),AND($E4="biweekly",8&lt;=$D4,MOD(8-$C4,2)=0))),Flows!$C5,0))</f>
        <v/>
      </c>
      <c r="N4" s="13">
        <f>IF(OR($A4="",Flows!$C5=""),0,IF(AND(9&lt;=Setup!$B$5,9&gt;=$C4,OR(AND($E4="once",9=$C4),AND($E4="weekly",9&lt;=$D4),AND($E4="biweekly",9&lt;=$D4,MOD(9-$C4,2)=0))),Flows!$C5,0))</f>
        <v/>
      </c>
      <c r="O4" s="13">
        <f>IF(OR($A4="",Flows!$C5=""),0,IF(AND(10&lt;=Setup!$B$5,10&gt;=$C4,OR(AND($E4="once",10=$C4),AND($E4="weekly",10&lt;=$D4),AND($E4="biweekly",10&lt;=$D4,MOD(10-$C4,2)=0))),Flows!$C5,0))</f>
        <v/>
      </c>
      <c r="P4" s="13">
        <f>IF(OR($A4="",Flows!$C5=""),0,IF(AND(11&lt;=Setup!$B$5,11&gt;=$C4,OR(AND($E4="once",11=$C4),AND($E4="weekly",11&lt;=$D4),AND($E4="biweekly",11&lt;=$D4,MOD(11-$C4,2)=0))),Flows!$C5,0))</f>
        <v/>
      </c>
      <c r="Q4" s="13">
        <f>IF(OR($A4="",Flows!$C5=""),0,IF(AND(12&lt;=Setup!$B$5,12&gt;=$C4,OR(AND($E4="once",12=$C4),AND($E4="weekly",12&lt;=$D4),AND($E4="biweekly",12&lt;=$D4,MOD(12-$C4,2)=0))),Flows!$C5,0))</f>
        <v/>
      </c>
      <c r="R4" s="13">
        <f>IF(OR($A4="",Flows!$C5=""),0,IF(AND(13&lt;=Setup!$B$5,13&gt;=$C4,OR(AND($E4="once",13=$C4),AND($E4="weekly",13&lt;=$D4),AND($E4="biweekly",13&lt;=$D4,MOD(13-$C4,2)=0))),Flows!$C5,0))</f>
        <v/>
      </c>
      <c r="S4" s="13">
        <f>IF(OR($A4="",Flows!$C5=""),0,IF(AND(14&lt;=Setup!$B$5,14&gt;=$C4,OR(AND($E4="once",14=$C4),AND($E4="weekly",14&lt;=$D4),AND($E4="biweekly",14&lt;=$D4,MOD(14-$C4,2)=0))),Flows!$C5,0))</f>
        <v/>
      </c>
      <c r="T4" s="13">
        <f>IF(OR($A4="",Flows!$C5=""),0,IF(AND(15&lt;=Setup!$B$5,15&gt;=$C4,OR(AND($E4="once",15=$C4),AND($E4="weekly",15&lt;=$D4),AND($E4="biweekly",15&lt;=$D4,MOD(15-$C4,2)=0))),Flows!$C5,0))</f>
        <v/>
      </c>
      <c r="U4" s="13">
        <f>IF(OR($A4="",Flows!$C5=""),0,IF(AND(16&lt;=Setup!$B$5,16&gt;=$C4,OR(AND($E4="once",16=$C4),AND($E4="weekly",16&lt;=$D4),AND($E4="biweekly",16&lt;=$D4,MOD(16-$C4,2)=0))),Flows!$C5,0))</f>
        <v/>
      </c>
      <c r="V4" s="13">
        <f>IF(OR($A4="",Flows!$C5=""),0,IF(AND(17&lt;=Setup!$B$5,17&gt;=$C4,OR(AND($E4="once",17=$C4),AND($E4="weekly",17&lt;=$D4),AND($E4="biweekly",17&lt;=$D4,MOD(17-$C4,2)=0))),Flows!$C5,0))</f>
        <v/>
      </c>
      <c r="W4" s="13">
        <f>IF(OR($A4="",Flows!$C5=""),0,IF(AND(18&lt;=Setup!$B$5,18&gt;=$C4,OR(AND($E4="once",18=$C4),AND($E4="weekly",18&lt;=$D4),AND($E4="biweekly",18&lt;=$D4,MOD(18-$C4,2)=0))),Flows!$C5,0))</f>
        <v/>
      </c>
      <c r="X4" s="13">
        <f>IF(OR($A4="",Flows!$C5=""),0,IF(AND(19&lt;=Setup!$B$5,19&gt;=$C4,OR(AND($E4="once",19=$C4),AND($E4="weekly",19&lt;=$D4),AND($E4="biweekly",19&lt;=$D4,MOD(19-$C4,2)=0))),Flows!$C5,0))</f>
        <v/>
      </c>
      <c r="Y4" s="13">
        <f>IF(OR($A4="",Flows!$C5=""),0,IF(AND(20&lt;=Setup!$B$5,20&gt;=$C4,OR(AND($E4="once",20=$C4),AND($E4="weekly",20&lt;=$D4),AND($E4="biweekly",20&lt;=$D4,MOD(20-$C4,2)=0))),Flows!$C5,0))</f>
        <v/>
      </c>
      <c r="Z4" s="13">
        <f>IF(OR($A4="",Flows!$C5=""),0,IF(AND(21&lt;=Setup!$B$5,21&gt;=$C4,OR(AND($E4="once",21=$C4),AND($E4="weekly",21&lt;=$D4),AND($E4="biweekly",21&lt;=$D4,MOD(21-$C4,2)=0))),Flows!$C5,0))</f>
        <v/>
      </c>
      <c r="AA4" s="13">
        <f>IF(OR($A4="",Flows!$C5=""),0,IF(AND(22&lt;=Setup!$B$5,22&gt;=$C4,OR(AND($E4="once",22=$C4),AND($E4="weekly",22&lt;=$D4),AND($E4="biweekly",22&lt;=$D4,MOD(22-$C4,2)=0))),Flows!$C5,0))</f>
        <v/>
      </c>
      <c r="AB4" s="13">
        <f>IF(OR($A4="",Flows!$C5=""),0,IF(AND(23&lt;=Setup!$B$5,23&gt;=$C4,OR(AND($E4="once",23=$C4),AND($E4="weekly",23&lt;=$D4),AND($E4="biweekly",23&lt;=$D4,MOD(23-$C4,2)=0))),Flows!$C5,0))</f>
        <v/>
      </c>
      <c r="AC4" s="13">
        <f>IF(OR($A4="",Flows!$C5=""),0,IF(AND(24&lt;=Setup!$B$5,24&gt;=$C4,OR(AND($E4="once",24=$C4),AND($E4="weekly",24&lt;=$D4),AND($E4="biweekly",24&lt;=$D4,MOD(24-$C4,2)=0))),Flows!$C5,0))</f>
        <v/>
      </c>
      <c r="AD4" s="13">
        <f>IF(OR($A4="",Flows!$C5=""),0,IF(AND(25&lt;=Setup!$B$5,25&gt;=$C4,OR(AND($E4="once",25=$C4),AND($E4="weekly",25&lt;=$D4),AND($E4="biweekly",25&lt;=$D4,MOD(25-$C4,2)=0))),Flows!$C5,0))</f>
        <v/>
      </c>
      <c r="AE4" s="13">
        <f>IF(OR($A4="",Flows!$C5=""),0,IF(AND(26&lt;=Setup!$B$5,26&gt;=$C4,OR(AND($E4="once",26=$C4),AND($E4="weekly",26&lt;=$D4),AND($E4="biweekly",26&lt;=$D4,MOD(26-$C4,2)=0))),Flows!$C5,0))</f>
        <v/>
      </c>
      <c r="AF4" s="13">
        <f>IF(OR($A4="",Flows!$C5=""),0,IF(AND(27&lt;=Setup!$B$5,27&gt;=$C4,OR(AND($E4="once",27=$C4),AND($E4="weekly",27&lt;=$D4),AND($E4="biweekly",27&lt;=$D4,MOD(27-$C4,2)=0))),Flows!$C5,0))</f>
        <v/>
      </c>
      <c r="AG4" s="13">
        <f>IF(OR($A4="",Flows!$C5=""),0,IF(AND(28&lt;=Setup!$B$5,28&gt;=$C4,OR(AND($E4="once",28=$C4),AND($E4="weekly",28&lt;=$D4),AND($E4="biweekly",28&lt;=$D4,MOD(28-$C4,2)=0))),Flows!$C5,0))</f>
        <v/>
      </c>
      <c r="AH4" s="13">
        <f>IF(OR($A4="",Flows!$C5=""),0,IF(AND(29&lt;=Setup!$B$5,29&gt;=$C4,OR(AND($E4="once",29=$C4),AND($E4="weekly",29&lt;=$D4),AND($E4="biweekly",29&lt;=$D4,MOD(29-$C4,2)=0))),Flows!$C5,0))</f>
        <v/>
      </c>
      <c r="AI4" s="13">
        <f>IF(OR($A4="",Flows!$C5=""),0,IF(AND(30&lt;=Setup!$B$5,30&gt;=$C4,OR(AND($E4="once",30=$C4),AND($E4="weekly",30&lt;=$D4),AND($E4="biweekly",30&lt;=$D4,MOD(30-$C4,2)=0))),Flows!$C5,0))</f>
        <v/>
      </c>
      <c r="AJ4" s="13">
        <f>IF(OR($A4="",Flows!$C5=""),0,IF(AND(31&lt;=Setup!$B$5,31&gt;=$C4,OR(AND($E4="once",31=$C4),AND($E4="weekly",31&lt;=$D4),AND($E4="biweekly",31&lt;=$D4,MOD(31-$C4,2)=0))),Flows!$C5,0))</f>
        <v/>
      </c>
      <c r="AK4" s="13">
        <f>IF(OR($A4="",Flows!$C5=""),0,IF(AND(32&lt;=Setup!$B$5,32&gt;=$C4,OR(AND($E4="once",32=$C4),AND($E4="weekly",32&lt;=$D4),AND($E4="biweekly",32&lt;=$D4,MOD(32-$C4,2)=0))),Flows!$C5,0))</f>
        <v/>
      </c>
      <c r="AL4" s="13">
        <f>IF(OR($A4="",Flows!$C5=""),0,IF(AND(33&lt;=Setup!$B$5,33&gt;=$C4,OR(AND($E4="once",33=$C4),AND($E4="weekly",33&lt;=$D4),AND($E4="biweekly",33&lt;=$D4,MOD(33-$C4,2)=0))),Flows!$C5,0))</f>
        <v/>
      </c>
      <c r="AM4" s="13">
        <f>IF(OR($A4="",Flows!$C5=""),0,IF(AND(34&lt;=Setup!$B$5,34&gt;=$C4,OR(AND($E4="once",34=$C4),AND($E4="weekly",34&lt;=$D4),AND($E4="biweekly",34&lt;=$D4,MOD(34-$C4,2)=0))),Flows!$C5,0))</f>
        <v/>
      </c>
      <c r="AN4" s="13">
        <f>IF(OR($A4="",Flows!$C5=""),0,IF(AND(35&lt;=Setup!$B$5,35&gt;=$C4,OR(AND($E4="once",35=$C4),AND($E4="weekly",35&lt;=$D4),AND($E4="biweekly",35&lt;=$D4,MOD(35-$C4,2)=0))),Flows!$C5,0))</f>
        <v/>
      </c>
      <c r="AO4" s="13">
        <f>IF(OR($A4="",Flows!$C5=""),0,IF(AND(36&lt;=Setup!$B$5,36&gt;=$C4,OR(AND($E4="once",36=$C4),AND($E4="weekly",36&lt;=$D4),AND($E4="biweekly",36&lt;=$D4,MOD(36-$C4,2)=0))),Flows!$C5,0))</f>
        <v/>
      </c>
      <c r="AP4" s="13">
        <f>IF(OR($A4="",Flows!$C5=""),0,IF(AND(37&lt;=Setup!$B$5,37&gt;=$C4,OR(AND($E4="once",37=$C4),AND($E4="weekly",37&lt;=$D4),AND($E4="biweekly",37&lt;=$D4,MOD(37-$C4,2)=0))),Flows!$C5,0))</f>
        <v/>
      </c>
      <c r="AQ4" s="13">
        <f>IF(OR($A4="",Flows!$C5=""),0,IF(AND(38&lt;=Setup!$B$5,38&gt;=$C4,OR(AND($E4="once",38=$C4),AND($E4="weekly",38&lt;=$D4),AND($E4="biweekly",38&lt;=$D4,MOD(38-$C4,2)=0))),Flows!$C5,0))</f>
        <v/>
      </c>
      <c r="AR4" s="13">
        <f>IF(OR($A4="",Flows!$C5=""),0,IF(AND(39&lt;=Setup!$B$5,39&gt;=$C4,OR(AND($E4="once",39=$C4),AND($E4="weekly",39&lt;=$D4),AND($E4="biweekly",39&lt;=$D4,MOD(39-$C4,2)=0))),Flows!$C5,0))</f>
        <v/>
      </c>
      <c r="AS4" s="13">
        <f>IF(OR($A4="",Flows!$C5=""),0,IF(AND(40&lt;=Setup!$B$5,40&gt;=$C4,OR(AND($E4="once",40=$C4),AND($E4="weekly",40&lt;=$D4),AND($E4="biweekly",40&lt;=$D4,MOD(40-$C4,2)=0))),Flows!$C5,0))</f>
        <v/>
      </c>
      <c r="AT4" s="13">
        <f>IF(OR($A4="",Flows!$C5=""),0,IF(AND(41&lt;=Setup!$B$5,41&gt;=$C4,OR(AND($E4="once",41=$C4),AND($E4="weekly",41&lt;=$D4),AND($E4="biweekly",41&lt;=$D4,MOD(41-$C4,2)=0))),Flows!$C5,0))</f>
        <v/>
      </c>
      <c r="AU4" s="13">
        <f>IF(OR($A4="",Flows!$C5=""),0,IF(AND(42&lt;=Setup!$B$5,42&gt;=$C4,OR(AND($E4="once",42=$C4),AND($E4="weekly",42&lt;=$D4),AND($E4="biweekly",42&lt;=$D4,MOD(42-$C4,2)=0))),Flows!$C5,0))</f>
        <v/>
      </c>
      <c r="AV4" s="13">
        <f>IF(OR($A4="",Flows!$C5=""),0,IF(AND(43&lt;=Setup!$B$5,43&gt;=$C4,OR(AND($E4="once",43=$C4),AND($E4="weekly",43&lt;=$D4),AND($E4="biweekly",43&lt;=$D4,MOD(43-$C4,2)=0))),Flows!$C5,0))</f>
        <v/>
      </c>
      <c r="AW4" s="13">
        <f>IF(OR($A4="",Flows!$C5=""),0,IF(AND(44&lt;=Setup!$B$5,44&gt;=$C4,OR(AND($E4="once",44=$C4),AND($E4="weekly",44&lt;=$D4),AND($E4="biweekly",44&lt;=$D4,MOD(44-$C4,2)=0))),Flows!$C5,0))</f>
        <v/>
      </c>
      <c r="AX4" s="13">
        <f>IF(OR($A4="",Flows!$C5=""),0,IF(AND(45&lt;=Setup!$B$5,45&gt;=$C4,OR(AND($E4="once",45=$C4),AND($E4="weekly",45&lt;=$D4),AND($E4="biweekly",45&lt;=$D4,MOD(45-$C4,2)=0))),Flows!$C5,0))</f>
        <v/>
      </c>
      <c r="AY4" s="13">
        <f>IF(OR($A4="",Flows!$C5=""),0,IF(AND(46&lt;=Setup!$B$5,46&gt;=$C4,OR(AND($E4="once",46=$C4),AND($E4="weekly",46&lt;=$D4),AND($E4="biweekly",46&lt;=$D4,MOD(46-$C4,2)=0))),Flows!$C5,0))</f>
        <v/>
      </c>
      <c r="AZ4" s="13">
        <f>IF(OR($A4="",Flows!$C5=""),0,IF(AND(47&lt;=Setup!$B$5,47&gt;=$C4,OR(AND($E4="once",47=$C4),AND($E4="weekly",47&lt;=$D4),AND($E4="biweekly",47&lt;=$D4,MOD(47-$C4,2)=0))),Flows!$C5,0))</f>
        <v/>
      </c>
      <c r="BA4" s="13">
        <f>IF(OR($A4="",Flows!$C5=""),0,IF(AND(48&lt;=Setup!$B$5,48&gt;=$C4,OR(AND($E4="once",48=$C4),AND($E4="weekly",48&lt;=$D4),AND($E4="biweekly",48&lt;=$D4,MOD(48-$C4,2)=0))),Flows!$C5,0))</f>
        <v/>
      </c>
      <c r="BB4" s="13">
        <f>IF(OR($A4="",Flows!$C5=""),0,IF(AND(49&lt;=Setup!$B$5,49&gt;=$C4,OR(AND($E4="once",49=$C4),AND($E4="weekly",49&lt;=$D4),AND($E4="biweekly",49&lt;=$D4,MOD(49-$C4,2)=0))),Flows!$C5,0))</f>
        <v/>
      </c>
      <c r="BC4" s="13">
        <f>IF(OR($A4="",Flows!$C5=""),0,IF(AND(50&lt;=Setup!$B$5,50&gt;=$C4,OR(AND($E4="once",50=$C4),AND($E4="weekly",50&lt;=$D4),AND($E4="biweekly",50&lt;=$D4,MOD(50-$C4,2)=0))),Flows!$C5,0))</f>
        <v/>
      </c>
      <c r="BD4" s="13">
        <f>IF(OR($A4="",Flows!$C5=""),0,IF(AND(51&lt;=Setup!$B$5,51&gt;=$C4,OR(AND($E4="once",51=$C4),AND($E4="weekly",51&lt;=$D4),AND($E4="biweekly",51&lt;=$D4,MOD(51-$C4,2)=0))),Flows!$C5,0))</f>
        <v/>
      </c>
      <c r="BE4" s="13">
        <f>IF(OR($A4="",Flows!$C5=""),0,IF(AND(52&lt;=Setup!$B$5,52&gt;=$C4,OR(AND($E4="once",52=$C4),AND($E4="weekly",52&lt;=$D4),AND($E4="biweekly",52&lt;=$D4,MOD(52-$C4,2)=0))),Flows!$C5,0))</f>
        <v/>
      </c>
    </row>
    <row r="5">
      <c r="A5" s="7">
        <f>IF(Flows!A6="","",LOWER(Flows!A6))</f>
        <v/>
      </c>
      <c r="B5" s="7">
        <f>IF(Flows!B6="","",Flows!B6)</f>
        <v/>
      </c>
      <c r="C5" s="7">
        <f>N(Flows!D6)</f>
        <v/>
      </c>
      <c r="D5" s="7">
        <f>IF(Flows!F6="",Setup!$B$5,Flows!F6)</f>
        <v/>
      </c>
      <c r="E5" s="7">
        <f>IF(Flows!E6="","once",LOWER(Flows!E6))</f>
        <v/>
      </c>
      <c r="F5" s="13">
        <f>IF(OR($A5="",Flows!$C6=""),0,IF(AND(1&lt;=Setup!$B$5,1&gt;=$C5,OR(AND($E5="once",1=$C5),AND($E5="weekly",1&lt;=$D5),AND($E5="biweekly",1&lt;=$D5,MOD(1-$C5,2)=0))),Flows!$C6,0))</f>
        <v/>
      </c>
      <c r="G5" s="13">
        <f>IF(OR($A5="",Flows!$C6=""),0,IF(AND(2&lt;=Setup!$B$5,2&gt;=$C5,OR(AND($E5="once",2=$C5),AND($E5="weekly",2&lt;=$D5),AND($E5="biweekly",2&lt;=$D5,MOD(2-$C5,2)=0))),Flows!$C6,0))</f>
        <v/>
      </c>
      <c r="H5" s="13">
        <f>IF(OR($A5="",Flows!$C6=""),0,IF(AND(3&lt;=Setup!$B$5,3&gt;=$C5,OR(AND($E5="once",3=$C5),AND($E5="weekly",3&lt;=$D5),AND($E5="biweekly",3&lt;=$D5,MOD(3-$C5,2)=0))),Flows!$C6,0))</f>
        <v/>
      </c>
      <c r="I5" s="13">
        <f>IF(OR($A5="",Flows!$C6=""),0,IF(AND(4&lt;=Setup!$B$5,4&gt;=$C5,OR(AND($E5="once",4=$C5),AND($E5="weekly",4&lt;=$D5),AND($E5="biweekly",4&lt;=$D5,MOD(4-$C5,2)=0))),Flows!$C6,0))</f>
        <v/>
      </c>
      <c r="J5" s="13">
        <f>IF(OR($A5="",Flows!$C6=""),0,IF(AND(5&lt;=Setup!$B$5,5&gt;=$C5,OR(AND($E5="once",5=$C5),AND($E5="weekly",5&lt;=$D5),AND($E5="biweekly",5&lt;=$D5,MOD(5-$C5,2)=0))),Flows!$C6,0))</f>
        <v/>
      </c>
      <c r="K5" s="13">
        <f>IF(OR($A5="",Flows!$C6=""),0,IF(AND(6&lt;=Setup!$B$5,6&gt;=$C5,OR(AND($E5="once",6=$C5),AND($E5="weekly",6&lt;=$D5),AND($E5="biweekly",6&lt;=$D5,MOD(6-$C5,2)=0))),Flows!$C6,0))</f>
        <v/>
      </c>
      <c r="L5" s="13">
        <f>IF(OR($A5="",Flows!$C6=""),0,IF(AND(7&lt;=Setup!$B$5,7&gt;=$C5,OR(AND($E5="once",7=$C5),AND($E5="weekly",7&lt;=$D5),AND($E5="biweekly",7&lt;=$D5,MOD(7-$C5,2)=0))),Flows!$C6,0))</f>
        <v/>
      </c>
      <c r="M5" s="13">
        <f>IF(OR($A5="",Flows!$C6=""),0,IF(AND(8&lt;=Setup!$B$5,8&gt;=$C5,OR(AND($E5="once",8=$C5),AND($E5="weekly",8&lt;=$D5),AND($E5="biweekly",8&lt;=$D5,MOD(8-$C5,2)=0))),Flows!$C6,0))</f>
        <v/>
      </c>
      <c r="N5" s="13">
        <f>IF(OR($A5="",Flows!$C6=""),0,IF(AND(9&lt;=Setup!$B$5,9&gt;=$C5,OR(AND($E5="once",9=$C5),AND($E5="weekly",9&lt;=$D5),AND($E5="biweekly",9&lt;=$D5,MOD(9-$C5,2)=0))),Flows!$C6,0))</f>
        <v/>
      </c>
      <c r="O5" s="13">
        <f>IF(OR($A5="",Flows!$C6=""),0,IF(AND(10&lt;=Setup!$B$5,10&gt;=$C5,OR(AND($E5="once",10=$C5),AND($E5="weekly",10&lt;=$D5),AND($E5="biweekly",10&lt;=$D5,MOD(10-$C5,2)=0))),Flows!$C6,0))</f>
        <v/>
      </c>
      <c r="P5" s="13">
        <f>IF(OR($A5="",Flows!$C6=""),0,IF(AND(11&lt;=Setup!$B$5,11&gt;=$C5,OR(AND($E5="once",11=$C5),AND($E5="weekly",11&lt;=$D5),AND($E5="biweekly",11&lt;=$D5,MOD(11-$C5,2)=0))),Flows!$C6,0))</f>
        <v/>
      </c>
      <c r="Q5" s="13">
        <f>IF(OR($A5="",Flows!$C6=""),0,IF(AND(12&lt;=Setup!$B$5,12&gt;=$C5,OR(AND($E5="once",12=$C5),AND($E5="weekly",12&lt;=$D5),AND($E5="biweekly",12&lt;=$D5,MOD(12-$C5,2)=0))),Flows!$C6,0))</f>
        <v/>
      </c>
      <c r="R5" s="13">
        <f>IF(OR($A5="",Flows!$C6=""),0,IF(AND(13&lt;=Setup!$B$5,13&gt;=$C5,OR(AND($E5="once",13=$C5),AND($E5="weekly",13&lt;=$D5),AND($E5="biweekly",13&lt;=$D5,MOD(13-$C5,2)=0))),Flows!$C6,0))</f>
        <v/>
      </c>
      <c r="S5" s="13">
        <f>IF(OR($A5="",Flows!$C6=""),0,IF(AND(14&lt;=Setup!$B$5,14&gt;=$C5,OR(AND($E5="once",14=$C5),AND($E5="weekly",14&lt;=$D5),AND($E5="biweekly",14&lt;=$D5,MOD(14-$C5,2)=0))),Flows!$C6,0))</f>
        <v/>
      </c>
      <c r="T5" s="13">
        <f>IF(OR($A5="",Flows!$C6=""),0,IF(AND(15&lt;=Setup!$B$5,15&gt;=$C5,OR(AND($E5="once",15=$C5),AND($E5="weekly",15&lt;=$D5),AND($E5="biweekly",15&lt;=$D5,MOD(15-$C5,2)=0))),Flows!$C6,0))</f>
        <v/>
      </c>
      <c r="U5" s="13">
        <f>IF(OR($A5="",Flows!$C6=""),0,IF(AND(16&lt;=Setup!$B$5,16&gt;=$C5,OR(AND($E5="once",16=$C5),AND($E5="weekly",16&lt;=$D5),AND($E5="biweekly",16&lt;=$D5,MOD(16-$C5,2)=0))),Flows!$C6,0))</f>
        <v/>
      </c>
      <c r="V5" s="13">
        <f>IF(OR($A5="",Flows!$C6=""),0,IF(AND(17&lt;=Setup!$B$5,17&gt;=$C5,OR(AND($E5="once",17=$C5),AND($E5="weekly",17&lt;=$D5),AND($E5="biweekly",17&lt;=$D5,MOD(17-$C5,2)=0))),Flows!$C6,0))</f>
        <v/>
      </c>
      <c r="W5" s="13">
        <f>IF(OR($A5="",Flows!$C6=""),0,IF(AND(18&lt;=Setup!$B$5,18&gt;=$C5,OR(AND($E5="once",18=$C5),AND($E5="weekly",18&lt;=$D5),AND($E5="biweekly",18&lt;=$D5,MOD(18-$C5,2)=0))),Flows!$C6,0))</f>
        <v/>
      </c>
      <c r="X5" s="13">
        <f>IF(OR($A5="",Flows!$C6=""),0,IF(AND(19&lt;=Setup!$B$5,19&gt;=$C5,OR(AND($E5="once",19=$C5),AND($E5="weekly",19&lt;=$D5),AND($E5="biweekly",19&lt;=$D5,MOD(19-$C5,2)=0))),Flows!$C6,0))</f>
        <v/>
      </c>
      <c r="Y5" s="13">
        <f>IF(OR($A5="",Flows!$C6=""),0,IF(AND(20&lt;=Setup!$B$5,20&gt;=$C5,OR(AND($E5="once",20=$C5),AND($E5="weekly",20&lt;=$D5),AND($E5="biweekly",20&lt;=$D5,MOD(20-$C5,2)=0))),Flows!$C6,0))</f>
        <v/>
      </c>
      <c r="Z5" s="13">
        <f>IF(OR($A5="",Flows!$C6=""),0,IF(AND(21&lt;=Setup!$B$5,21&gt;=$C5,OR(AND($E5="once",21=$C5),AND($E5="weekly",21&lt;=$D5),AND($E5="biweekly",21&lt;=$D5,MOD(21-$C5,2)=0))),Flows!$C6,0))</f>
        <v/>
      </c>
      <c r="AA5" s="13">
        <f>IF(OR($A5="",Flows!$C6=""),0,IF(AND(22&lt;=Setup!$B$5,22&gt;=$C5,OR(AND($E5="once",22=$C5),AND($E5="weekly",22&lt;=$D5),AND($E5="biweekly",22&lt;=$D5,MOD(22-$C5,2)=0))),Flows!$C6,0))</f>
        <v/>
      </c>
      <c r="AB5" s="13">
        <f>IF(OR($A5="",Flows!$C6=""),0,IF(AND(23&lt;=Setup!$B$5,23&gt;=$C5,OR(AND($E5="once",23=$C5),AND($E5="weekly",23&lt;=$D5),AND($E5="biweekly",23&lt;=$D5,MOD(23-$C5,2)=0))),Flows!$C6,0))</f>
        <v/>
      </c>
      <c r="AC5" s="13">
        <f>IF(OR($A5="",Flows!$C6=""),0,IF(AND(24&lt;=Setup!$B$5,24&gt;=$C5,OR(AND($E5="once",24=$C5),AND($E5="weekly",24&lt;=$D5),AND($E5="biweekly",24&lt;=$D5,MOD(24-$C5,2)=0))),Flows!$C6,0))</f>
        <v/>
      </c>
      <c r="AD5" s="13">
        <f>IF(OR($A5="",Flows!$C6=""),0,IF(AND(25&lt;=Setup!$B$5,25&gt;=$C5,OR(AND($E5="once",25=$C5),AND($E5="weekly",25&lt;=$D5),AND($E5="biweekly",25&lt;=$D5,MOD(25-$C5,2)=0))),Flows!$C6,0))</f>
        <v/>
      </c>
      <c r="AE5" s="13">
        <f>IF(OR($A5="",Flows!$C6=""),0,IF(AND(26&lt;=Setup!$B$5,26&gt;=$C5,OR(AND($E5="once",26=$C5),AND($E5="weekly",26&lt;=$D5),AND($E5="biweekly",26&lt;=$D5,MOD(26-$C5,2)=0))),Flows!$C6,0))</f>
        <v/>
      </c>
      <c r="AF5" s="13">
        <f>IF(OR($A5="",Flows!$C6=""),0,IF(AND(27&lt;=Setup!$B$5,27&gt;=$C5,OR(AND($E5="once",27=$C5),AND($E5="weekly",27&lt;=$D5),AND($E5="biweekly",27&lt;=$D5,MOD(27-$C5,2)=0))),Flows!$C6,0))</f>
        <v/>
      </c>
      <c r="AG5" s="13">
        <f>IF(OR($A5="",Flows!$C6=""),0,IF(AND(28&lt;=Setup!$B$5,28&gt;=$C5,OR(AND($E5="once",28=$C5),AND($E5="weekly",28&lt;=$D5),AND($E5="biweekly",28&lt;=$D5,MOD(28-$C5,2)=0))),Flows!$C6,0))</f>
        <v/>
      </c>
      <c r="AH5" s="13">
        <f>IF(OR($A5="",Flows!$C6=""),0,IF(AND(29&lt;=Setup!$B$5,29&gt;=$C5,OR(AND($E5="once",29=$C5),AND($E5="weekly",29&lt;=$D5),AND($E5="biweekly",29&lt;=$D5,MOD(29-$C5,2)=0))),Flows!$C6,0))</f>
        <v/>
      </c>
      <c r="AI5" s="13">
        <f>IF(OR($A5="",Flows!$C6=""),0,IF(AND(30&lt;=Setup!$B$5,30&gt;=$C5,OR(AND($E5="once",30=$C5),AND($E5="weekly",30&lt;=$D5),AND($E5="biweekly",30&lt;=$D5,MOD(30-$C5,2)=0))),Flows!$C6,0))</f>
        <v/>
      </c>
      <c r="AJ5" s="13">
        <f>IF(OR($A5="",Flows!$C6=""),0,IF(AND(31&lt;=Setup!$B$5,31&gt;=$C5,OR(AND($E5="once",31=$C5),AND($E5="weekly",31&lt;=$D5),AND($E5="biweekly",31&lt;=$D5,MOD(31-$C5,2)=0))),Flows!$C6,0))</f>
        <v/>
      </c>
      <c r="AK5" s="13">
        <f>IF(OR($A5="",Flows!$C6=""),0,IF(AND(32&lt;=Setup!$B$5,32&gt;=$C5,OR(AND($E5="once",32=$C5),AND($E5="weekly",32&lt;=$D5),AND($E5="biweekly",32&lt;=$D5,MOD(32-$C5,2)=0))),Flows!$C6,0))</f>
        <v/>
      </c>
      <c r="AL5" s="13">
        <f>IF(OR($A5="",Flows!$C6=""),0,IF(AND(33&lt;=Setup!$B$5,33&gt;=$C5,OR(AND($E5="once",33=$C5),AND($E5="weekly",33&lt;=$D5),AND($E5="biweekly",33&lt;=$D5,MOD(33-$C5,2)=0))),Flows!$C6,0))</f>
        <v/>
      </c>
      <c r="AM5" s="13">
        <f>IF(OR($A5="",Flows!$C6=""),0,IF(AND(34&lt;=Setup!$B$5,34&gt;=$C5,OR(AND($E5="once",34=$C5),AND($E5="weekly",34&lt;=$D5),AND($E5="biweekly",34&lt;=$D5,MOD(34-$C5,2)=0))),Flows!$C6,0))</f>
        <v/>
      </c>
      <c r="AN5" s="13">
        <f>IF(OR($A5="",Flows!$C6=""),0,IF(AND(35&lt;=Setup!$B$5,35&gt;=$C5,OR(AND($E5="once",35=$C5),AND($E5="weekly",35&lt;=$D5),AND($E5="biweekly",35&lt;=$D5,MOD(35-$C5,2)=0))),Flows!$C6,0))</f>
        <v/>
      </c>
      <c r="AO5" s="13">
        <f>IF(OR($A5="",Flows!$C6=""),0,IF(AND(36&lt;=Setup!$B$5,36&gt;=$C5,OR(AND($E5="once",36=$C5),AND($E5="weekly",36&lt;=$D5),AND($E5="biweekly",36&lt;=$D5,MOD(36-$C5,2)=0))),Flows!$C6,0))</f>
        <v/>
      </c>
      <c r="AP5" s="13">
        <f>IF(OR($A5="",Flows!$C6=""),0,IF(AND(37&lt;=Setup!$B$5,37&gt;=$C5,OR(AND($E5="once",37=$C5),AND($E5="weekly",37&lt;=$D5),AND($E5="biweekly",37&lt;=$D5,MOD(37-$C5,2)=0))),Flows!$C6,0))</f>
        <v/>
      </c>
      <c r="AQ5" s="13">
        <f>IF(OR($A5="",Flows!$C6=""),0,IF(AND(38&lt;=Setup!$B$5,38&gt;=$C5,OR(AND($E5="once",38=$C5),AND($E5="weekly",38&lt;=$D5),AND($E5="biweekly",38&lt;=$D5,MOD(38-$C5,2)=0))),Flows!$C6,0))</f>
        <v/>
      </c>
      <c r="AR5" s="13">
        <f>IF(OR($A5="",Flows!$C6=""),0,IF(AND(39&lt;=Setup!$B$5,39&gt;=$C5,OR(AND($E5="once",39=$C5),AND($E5="weekly",39&lt;=$D5),AND($E5="biweekly",39&lt;=$D5,MOD(39-$C5,2)=0))),Flows!$C6,0))</f>
        <v/>
      </c>
      <c r="AS5" s="13">
        <f>IF(OR($A5="",Flows!$C6=""),0,IF(AND(40&lt;=Setup!$B$5,40&gt;=$C5,OR(AND($E5="once",40=$C5),AND($E5="weekly",40&lt;=$D5),AND($E5="biweekly",40&lt;=$D5,MOD(40-$C5,2)=0))),Flows!$C6,0))</f>
        <v/>
      </c>
      <c r="AT5" s="13">
        <f>IF(OR($A5="",Flows!$C6=""),0,IF(AND(41&lt;=Setup!$B$5,41&gt;=$C5,OR(AND($E5="once",41=$C5),AND($E5="weekly",41&lt;=$D5),AND($E5="biweekly",41&lt;=$D5,MOD(41-$C5,2)=0))),Flows!$C6,0))</f>
        <v/>
      </c>
      <c r="AU5" s="13">
        <f>IF(OR($A5="",Flows!$C6=""),0,IF(AND(42&lt;=Setup!$B$5,42&gt;=$C5,OR(AND($E5="once",42=$C5),AND($E5="weekly",42&lt;=$D5),AND($E5="biweekly",42&lt;=$D5,MOD(42-$C5,2)=0))),Flows!$C6,0))</f>
        <v/>
      </c>
      <c r="AV5" s="13">
        <f>IF(OR($A5="",Flows!$C6=""),0,IF(AND(43&lt;=Setup!$B$5,43&gt;=$C5,OR(AND($E5="once",43=$C5),AND($E5="weekly",43&lt;=$D5),AND($E5="biweekly",43&lt;=$D5,MOD(43-$C5,2)=0))),Flows!$C6,0))</f>
        <v/>
      </c>
      <c r="AW5" s="13">
        <f>IF(OR($A5="",Flows!$C6=""),0,IF(AND(44&lt;=Setup!$B$5,44&gt;=$C5,OR(AND($E5="once",44=$C5),AND($E5="weekly",44&lt;=$D5),AND($E5="biweekly",44&lt;=$D5,MOD(44-$C5,2)=0))),Flows!$C6,0))</f>
        <v/>
      </c>
      <c r="AX5" s="13">
        <f>IF(OR($A5="",Flows!$C6=""),0,IF(AND(45&lt;=Setup!$B$5,45&gt;=$C5,OR(AND($E5="once",45=$C5),AND($E5="weekly",45&lt;=$D5),AND($E5="biweekly",45&lt;=$D5,MOD(45-$C5,2)=0))),Flows!$C6,0))</f>
        <v/>
      </c>
      <c r="AY5" s="13">
        <f>IF(OR($A5="",Flows!$C6=""),0,IF(AND(46&lt;=Setup!$B$5,46&gt;=$C5,OR(AND($E5="once",46=$C5),AND($E5="weekly",46&lt;=$D5),AND($E5="biweekly",46&lt;=$D5,MOD(46-$C5,2)=0))),Flows!$C6,0))</f>
        <v/>
      </c>
      <c r="AZ5" s="13">
        <f>IF(OR($A5="",Flows!$C6=""),0,IF(AND(47&lt;=Setup!$B$5,47&gt;=$C5,OR(AND($E5="once",47=$C5),AND($E5="weekly",47&lt;=$D5),AND($E5="biweekly",47&lt;=$D5,MOD(47-$C5,2)=0))),Flows!$C6,0))</f>
        <v/>
      </c>
      <c r="BA5" s="13">
        <f>IF(OR($A5="",Flows!$C6=""),0,IF(AND(48&lt;=Setup!$B$5,48&gt;=$C5,OR(AND($E5="once",48=$C5),AND($E5="weekly",48&lt;=$D5),AND($E5="biweekly",48&lt;=$D5,MOD(48-$C5,2)=0))),Flows!$C6,0))</f>
        <v/>
      </c>
      <c r="BB5" s="13">
        <f>IF(OR($A5="",Flows!$C6=""),0,IF(AND(49&lt;=Setup!$B$5,49&gt;=$C5,OR(AND($E5="once",49=$C5),AND($E5="weekly",49&lt;=$D5),AND($E5="biweekly",49&lt;=$D5,MOD(49-$C5,2)=0))),Flows!$C6,0))</f>
        <v/>
      </c>
      <c r="BC5" s="13">
        <f>IF(OR($A5="",Flows!$C6=""),0,IF(AND(50&lt;=Setup!$B$5,50&gt;=$C5,OR(AND($E5="once",50=$C5),AND($E5="weekly",50&lt;=$D5),AND($E5="biweekly",50&lt;=$D5,MOD(50-$C5,2)=0))),Flows!$C6,0))</f>
        <v/>
      </c>
      <c r="BD5" s="13">
        <f>IF(OR($A5="",Flows!$C6=""),0,IF(AND(51&lt;=Setup!$B$5,51&gt;=$C5,OR(AND($E5="once",51=$C5),AND($E5="weekly",51&lt;=$D5),AND($E5="biweekly",51&lt;=$D5,MOD(51-$C5,2)=0))),Flows!$C6,0))</f>
        <v/>
      </c>
      <c r="BE5" s="13">
        <f>IF(OR($A5="",Flows!$C6=""),0,IF(AND(52&lt;=Setup!$B$5,52&gt;=$C5,OR(AND($E5="once",52=$C5),AND($E5="weekly",52&lt;=$D5),AND($E5="biweekly",52&lt;=$D5,MOD(52-$C5,2)=0))),Flows!$C6,0))</f>
        <v/>
      </c>
    </row>
    <row r="6">
      <c r="A6" s="7">
        <f>IF(Flows!A7="","",LOWER(Flows!A7))</f>
        <v/>
      </c>
      <c r="B6" s="7">
        <f>IF(Flows!B7="","",Flows!B7)</f>
        <v/>
      </c>
      <c r="C6" s="7">
        <f>N(Flows!D7)</f>
        <v/>
      </c>
      <c r="D6" s="7">
        <f>IF(Flows!F7="",Setup!$B$5,Flows!F7)</f>
        <v/>
      </c>
      <c r="E6" s="7">
        <f>IF(Flows!E7="","once",LOWER(Flows!E7))</f>
        <v/>
      </c>
      <c r="F6" s="13">
        <f>IF(OR($A6="",Flows!$C7=""),0,IF(AND(1&lt;=Setup!$B$5,1&gt;=$C6,OR(AND($E6="once",1=$C6),AND($E6="weekly",1&lt;=$D6),AND($E6="biweekly",1&lt;=$D6,MOD(1-$C6,2)=0))),Flows!$C7,0))</f>
        <v/>
      </c>
      <c r="G6" s="13">
        <f>IF(OR($A6="",Flows!$C7=""),0,IF(AND(2&lt;=Setup!$B$5,2&gt;=$C6,OR(AND($E6="once",2=$C6),AND($E6="weekly",2&lt;=$D6),AND($E6="biweekly",2&lt;=$D6,MOD(2-$C6,2)=0))),Flows!$C7,0))</f>
        <v/>
      </c>
      <c r="H6" s="13">
        <f>IF(OR($A6="",Flows!$C7=""),0,IF(AND(3&lt;=Setup!$B$5,3&gt;=$C6,OR(AND($E6="once",3=$C6),AND($E6="weekly",3&lt;=$D6),AND($E6="biweekly",3&lt;=$D6,MOD(3-$C6,2)=0))),Flows!$C7,0))</f>
        <v/>
      </c>
      <c r="I6" s="13">
        <f>IF(OR($A6="",Flows!$C7=""),0,IF(AND(4&lt;=Setup!$B$5,4&gt;=$C6,OR(AND($E6="once",4=$C6),AND($E6="weekly",4&lt;=$D6),AND($E6="biweekly",4&lt;=$D6,MOD(4-$C6,2)=0))),Flows!$C7,0))</f>
        <v/>
      </c>
      <c r="J6" s="13">
        <f>IF(OR($A6="",Flows!$C7=""),0,IF(AND(5&lt;=Setup!$B$5,5&gt;=$C6,OR(AND($E6="once",5=$C6),AND($E6="weekly",5&lt;=$D6),AND($E6="biweekly",5&lt;=$D6,MOD(5-$C6,2)=0))),Flows!$C7,0))</f>
        <v/>
      </c>
      <c r="K6" s="13">
        <f>IF(OR($A6="",Flows!$C7=""),0,IF(AND(6&lt;=Setup!$B$5,6&gt;=$C6,OR(AND($E6="once",6=$C6),AND($E6="weekly",6&lt;=$D6),AND($E6="biweekly",6&lt;=$D6,MOD(6-$C6,2)=0))),Flows!$C7,0))</f>
        <v/>
      </c>
      <c r="L6" s="13">
        <f>IF(OR($A6="",Flows!$C7=""),0,IF(AND(7&lt;=Setup!$B$5,7&gt;=$C6,OR(AND($E6="once",7=$C6),AND($E6="weekly",7&lt;=$D6),AND($E6="biweekly",7&lt;=$D6,MOD(7-$C6,2)=0))),Flows!$C7,0))</f>
        <v/>
      </c>
      <c r="M6" s="13">
        <f>IF(OR($A6="",Flows!$C7=""),0,IF(AND(8&lt;=Setup!$B$5,8&gt;=$C6,OR(AND($E6="once",8=$C6),AND($E6="weekly",8&lt;=$D6),AND($E6="biweekly",8&lt;=$D6,MOD(8-$C6,2)=0))),Flows!$C7,0))</f>
        <v/>
      </c>
      <c r="N6" s="13">
        <f>IF(OR($A6="",Flows!$C7=""),0,IF(AND(9&lt;=Setup!$B$5,9&gt;=$C6,OR(AND($E6="once",9=$C6),AND($E6="weekly",9&lt;=$D6),AND($E6="biweekly",9&lt;=$D6,MOD(9-$C6,2)=0))),Flows!$C7,0))</f>
        <v/>
      </c>
      <c r="O6" s="13">
        <f>IF(OR($A6="",Flows!$C7=""),0,IF(AND(10&lt;=Setup!$B$5,10&gt;=$C6,OR(AND($E6="once",10=$C6),AND($E6="weekly",10&lt;=$D6),AND($E6="biweekly",10&lt;=$D6,MOD(10-$C6,2)=0))),Flows!$C7,0))</f>
        <v/>
      </c>
      <c r="P6" s="13">
        <f>IF(OR($A6="",Flows!$C7=""),0,IF(AND(11&lt;=Setup!$B$5,11&gt;=$C6,OR(AND($E6="once",11=$C6),AND($E6="weekly",11&lt;=$D6),AND($E6="biweekly",11&lt;=$D6,MOD(11-$C6,2)=0))),Flows!$C7,0))</f>
        <v/>
      </c>
      <c r="Q6" s="13">
        <f>IF(OR($A6="",Flows!$C7=""),0,IF(AND(12&lt;=Setup!$B$5,12&gt;=$C6,OR(AND($E6="once",12=$C6),AND($E6="weekly",12&lt;=$D6),AND($E6="biweekly",12&lt;=$D6,MOD(12-$C6,2)=0))),Flows!$C7,0))</f>
        <v/>
      </c>
      <c r="R6" s="13">
        <f>IF(OR($A6="",Flows!$C7=""),0,IF(AND(13&lt;=Setup!$B$5,13&gt;=$C6,OR(AND($E6="once",13=$C6),AND($E6="weekly",13&lt;=$D6),AND($E6="biweekly",13&lt;=$D6,MOD(13-$C6,2)=0))),Flows!$C7,0))</f>
        <v/>
      </c>
      <c r="S6" s="13">
        <f>IF(OR($A6="",Flows!$C7=""),0,IF(AND(14&lt;=Setup!$B$5,14&gt;=$C6,OR(AND($E6="once",14=$C6),AND($E6="weekly",14&lt;=$D6),AND($E6="biweekly",14&lt;=$D6,MOD(14-$C6,2)=0))),Flows!$C7,0))</f>
        <v/>
      </c>
      <c r="T6" s="13">
        <f>IF(OR($A6="",Flows!$C7=""),0,IF(AND(15&lt;=Setup!$B$5,15&gt;=$C6,OR(AND($E6="once",15=$C6),AND($E6="weekly",15&lt;=$D6),AND($E6="biweekly",15&lt;=$D6,MOD(15-$C6,2)=0))),Flows!$C7,0))</f>
        <v/>
      </c>
      <c r="U6" s="13">
        <f>IF(OR($A6="",Flows!$C7=""),0,IF(AND(16&lt;=Setup!$B$5,16&gt;=$C6,OR(AND($E6="once",16=$C6),AND($E6="weekly",16&lt;=$D6),AND($E6="biweekly",16&lt;=$D6,MOD(16-$C6,2)=0))),Flows!$C7,0))</f>
        <v/>
      </c>
      <c r="V6" s="13">
        <f>IF(OR($A6="",Flows!$C7=""),0,IF(AND(17&lt;=Setup!$B$5,17&gt;=$C6,OR(AND($E6="once",17=$C6),AND($E6="weekly",17&lt;=$D6),AND($E6="biweekly",17&lt;=$D6,MOD(17-$C6,2)=0))),Flows!$C7,0))</f>
        <v/>
      </c>
      <c r="W6" s="13">
        <f>IF(OR($A6="",Flows!$C7=""),0,IF(AND(18&lt;=Setup!$B$5,18&gt;=$C6,OR(AND($E6="once",18=$C6),AND($E6="weekly",18&lt;=$D6),AND($E6="biweekly",18&lt;=$D6,MOD(18-$C6,2)=0))),Flows!$C7,0))</f>
        <v/>
      </c>
      <c r="X6" s="13">
        <f>IF(OR($A6="",Flows!$C7=""),0,IF(AND(19&lt;=Setup!$B$5,19&gt;=$C6,OR(AND($E6="once",19=$C6),AND($E6="weekly",19&lt;=$D6),AND($E6="biweekly",19&lt;=$D6,MOD(19-$C6,2)=0))),Flows!$C7,0))</f>
        <v/>
      </c>
      <c r="Y6" s="13">
        <f>IF(OR($A6="",Flows!$C7=""),0,IF(AND(20&lt;=Setup!$B$5,20&gt;=$C6,OR(AND($E6="once",20=$C6),AND($E6="weekly",20&lt;=$D6),AND($E6="biweekly",20&lt;=$D6,MOD(20-$C6,2)=0))),Flows!$C7,0))</f>
        <v/>
      </c>
      <c r="Z6" s="13">
        <f>IF(OR($A6="",Flows!$C7=""),0,IF(AND(21&lt;=Setup!$B$5,21&gt;=$C6,OR(AND($E6="once",21=$C6),AND($E6="weekly",21&lt;=$D6),AND($E6="biweekly",21&lt;=$D6,MOD(21-$C6,2)=0))),Flows!$C7,0))</f>
        <v/>
      </c>
      <c r="AA6" s="13">
        <f>IF(OR($A6="",Flows!$C7=""),0,IF(AND(22&lt;=Setup!$B$5,22&gt;=$C6,OR(AND($E6="once",22=$C6),AND($E6="weekly",22&lt;=$D6),AND($E6="biweekly",22&lt;=$D6,MOD(22-$C6,2)=0))),Flows!$C7,0))</f>
        <v/>
      </c>
      <c r="AB6" s="13">
        <f>IF(OR($A6="",Flows!$C7=""),0,IF(AND(23&lt;=Setup!$B$5,23&gt;=$C6,OR(AND($E6="once",23=$C6),AND($E6="weekly",23&lt;=$D6),AND($E6="biweekly",23&lt;=$D6,MOD(23-$C6,2)=0))),Flows!$C7,0))</f>
        <v/>
      </c>
      <c r="AC6" s="13">
        <f>IF(OR($A6="",Flows!$C7=""),0,IF(AND(24&lt;=Setup!$B$5,24&gt;=$C6,OR(AND($E6="once",24=$C6),AND($E6="weekly",24&lt;=$D6),AND($E6="biweekly",24&lt;=$D6,MOD(24-$C6,2)=0))),Flows!$C7,0))</f>
        <v/>
      </c>
      <c r="AD6" s="13">
        <f>IF(OR($A6="",Flows!$C7=""),0,IF(AND(25&lt;=Setup!$B$5,25&gt;=$C6,OR(AND($E6="once",25=$C6),AND($E6="weekly",25&lt;=$D6),AND($E6="biweekly",25&lt;=$D6,MOD(25-$C6,2)=0))),Flows!$C7,0))</f>
        <v/>
      </c>
      <c r="AE6" s="13">
        <f>IF(OR($A6="",Flows!$C7=""),0,IF(AND(26&lt;=Setup!$B$5,26&gt;=$C6,OR(AND($E6="once",26=$C6),AND($E6="weekly",26&lt;=$D6),AND($E6="biweekly",26&lt;=$D6,MOD(26-$C6,2)=0))),Flows!$C7,0))</f>
        <v/>
      </c>
      <c r="AF6" s="13">
        <f>IF(OR($A6="",Flows!$C7=""),0,IF(AND(27&lt;=Setup!$B$5,27&gt;=$C6,OR(AND($E6="once",27=$C6),AND($E6="weekly",27&lt;=$D6),AND($E6="biweekly",27&lt;=$D6,MOD(27-$C6,2)=0))),Flows!$C7,0))</f>
        <v/>
      </c>
      <c r="AG6" s="13">
        <f>IF(OR($A6="",Flows!$C7=""),0,IF(AND(28&lt;=Setup!$B$5,28&gt;=$C6,OR(AND($E6="once",28=$C6),AND($E6="weekly",28&lt;=$D6),AND($E6="biweekly",28&lt;=$D6,MOD(28-$C6,2)=0))),Flows!$C7,0))</f>
        <v/>
      </c>
      <c r="AH6" s="13">
        <f>IF(OR($A6="",Flows!$C7=""),0,IF(AND(29&lt;=Setup!$B$5,29&gt;=$C6,OR(AND($E6="once",29=$C6),AND($E6="weekly",29&lt;=$D6),AND($E6="biweekly",29&lt;=$D6,MOD(29-$C6,2)=0))),Flows!$C7,0))</f>
        <v/>
      </c>
      <c r="AI6" s="13">
        <f>IF(OR($A6="",Flows!$C7=""),0,IF(AND(30&lt;=Setup!$B$5,30&gt;=$C6,OR(AND($E6="once",30=$C6),AND($E6="weekly",30&lt;=$D6),AND($E6="biweekly",30&lt;=$D6,MOD(30-$C6,2)=0))),Flows!$C7,0))</f>
        <v/>
      </c>
      <c r="AJ6" s="13">
        <f>IF(OR($A6="",Flows!$C7=""),0,IF(AND(31&lt;=Setup!$B$5,31&gt;=$C6,OR(AND($E6="once",31=$C6),AND($E6="weekly",31&lt;=$D6),AND($E6="biweekly",31&lt;=$D6,MOD(31-$C6,2)=0))),Flows!$C7,0))</f>
        <v/>
      </c>
      <c r="AK6" s="13">
        <f>IF(OR($A6="",Flows!$C7=""),0,IF(AND(32&lt;=Setup!$B$5,32&gt;=$C6,OR(AND($E6="once",32=$C6),AND($E6="weekly",32&lt;=$D6),AND($E6="biweekly",32&lt;=$D6,MOD(32-$C6,2)=0))),Flows!$C7,0))</f>
        <v/>
      </c>
      <c r="AL6" s="13">
        <f>IF(OR($A6="",Flows!$C7=""),0,IF(AND(33&lt;=Setup!$B$5,33&gt;=$C6,OR(AND($E6="once",33=$C6),AND($E6="weekly",33&lt;=$D6),AND($E6="biweekly",33&lt;=$D6,MOD(33-$C6,2)=0))),Flows!$C7,0))</f>
        <v/>
      </c>
      <c r="AM6" s="13">
        <f>IF(OR($A6="",Flows!$C7=""),0,IF(AND(34&lt;=Setup!$B$5,34&gt;=$C6,OR(AND($E6="once",34=$C6),AND($E6="weekly",34&lt;=$D6),AND($E6="biweekly",34&lt;=$D6,MOD(34-$C6,2)=0))),Flows!$C7,0))</f>
        <v/>
      </c>
      <c r="AN6" s="13">
        <f>IF(OR($A6="",Flows!$C7=""),0,IF(AND(35&lt;=Setup!$B$5,35&gt;=$C6,OR(AND($E6="once",35=$C6),AND($E6="weekly",35&lt;=$D6),AND($E6="biweekly",35&lt;=$D6,MOD(35-$C6,2)=0))),Flows!$C7,0))</f>
        <v/>
      </c>
      <c r="AO6" s="13">
        <f>IF(OR($A6="",Flows!$C7=""),0,IF(AND(36&lt;=Setup!$B$5,36&gt;=$C6,OR(AND($E6="once",36=$C6),AND($E6="weekly",36&lt;=$D6),AND($E6="biweekly",36&lt;=$D6,MOD(36-$C6,2)=0))),Flows!$C7,0))</f>
        <v/>
      </c>
      <c r="AP6" s="13">
        <f>IF(OR($A6="",Flows!$C7=""),0,IF(AND(37&lt;=Setup!$B$5,37&gt;=$C6,OR(AND($E6="once",37=$C6),AND($E6="weekly",37&lt;=$D6),AND($E6="biweekly",37&lt;=$D6,MOD(37-$C6,2)=0))),Flows!$C7,0))</f>
        <v/>
      </c>
      <c r="AQ6" s="13">
        <f>IF(OR($A6="",Flows!$C7=""),0,IF(AND(38&lt;=Setup!$B$5,38&gt;=$C6,OR(AND($E6="once",38=$C6),AND($E6="weekly",38&lt;=$D6),AND($E6="biweekly",38&lt;=$D6,MOD(38-$C6,2)=0))),Flows!$C7,0))</f>
        <v/>
      </c>
      <c r="AR6" s="13">
        <f>IF(OR($A6="",Flows!$C7=""),0,IF(AND(39&lt;=Setup!$B$5,39&gt;=$C6,OR(AND($E6="once",39=$C6),AND($E6="weekly",39&lt;=$D6),AND($E6="biweekly",39&lt;=$D6,MOD(39-$C6,2)=0))),Flows!$C7,0))</f>
        <v/>
      </c>
      <c r="AS6" s="13">
        <f>IF(OR($A6="",Flows!$C7=""),0,IF(AND(40&lt;=Setup!$B$5,40&gt;=$C6,OR(AND($E6="once",40=$C6),AND($E6="weekly",40&lt;=$D6),AND($E6="biweekly",40&lt;=$D6,MOD(40-$C6,2)=0))),Flows!$C7,0))</f>
        <v/>
      </c>
      <c r="AT6" s="13">
        <f>IF(OR($A6="",Flows!$C7=""),0,IF(AND(41&lt;=Setup!$B$5,41&gt;=$C6,OR(AND($E6="once",41=$C6),AND($E6="weekly",41&lt;=$D6),AND($E6="biweekly",41&lt;=$D6,MOD(41-$C6,2)=0))),Flows!$C7,0))</f>
        <v/>
      </c>
      <c r="AU6" s="13">
        <f>IF(OR($A6="",Flows!$C7=""),0,IF(AND(42&lt;=Setup!$B$5,42&gt;=$C6,OR(AND($E6="once",42=$C6),AND($E6="weekly",42&lt;=$D6),AND($E6="biweekly",42&lt;=$D6,MOD(42-$C6,2)=0))),Flows!$C7,0))</f>
        <v/>
      </c>
      <c r="AV6" s="13">
        <f>IF(OR($A6="",Flows!$C7=""),0,IF(AND(43&lt;=Setup!$B$5,43&gt;=$C6,OR(AND($E6="once",43=$C6),AND($E6="weekly",43&lt;=$D6),AND($E6="biweekly",43&lt;=$D6,MOD(43-$C6,2)=0))),Flows!$C7,0))</f>
        <v/>
      </c>
      <c r="AW6" s="13">
        <f>IF(OR($A6="",Flows!$C7=""),0,IF(AND(44&lt;=Setup!$B$5,44&gt;=$C6,OR(AND($E6="once",44=$C6),AND($E6="weekly",44&lt;=$D6),AND($E6="biweekly",44&lt;=$D6,MOD(44-$C6,2)=0))),Flows!$C7,0))</f>
        <v/>
      </c>
      <c r="AX6" s="13">
        <f>IF(OR($A6="",Flows!$C7=""),0,IF(AND(45&lt;=Setup!$B$5,45&gt;=$C6,OR(AND($E6="once",45=$C6),AND($E6="weekly",45&lt;=$D6),AND($E6="biweekly",45&lt;=$D6,MOD(45-$C6,2)=0))),Flows!$C7,0))</f>
        <v/>
      </c>
      <c r="AY6" s="13">
        <f>IF(OR($A6="",Flows!$C7=""),0,IF(AND(46&lt;=Setup!$B$5,46&gt;=$C6,OR(AND($E6="once",46=$C6),AND($E6="weekly",46&lt;=$D6),AND($E6="biweekly",46&lt;=$D6,MOD(46-$C6,2)=0))),Flows!$C7,0))</f>
        <v/>
      </c>
      <c r="AZ6" s="13">
        <f>IF(OR($A6="",Flows!$C7=""),0,IF(AND(47&lt;=Setup!$B$5,47&gt;=$C6,OR(AND($E6="once",47=$C6),AND($E6="weekly",47&lt;=$D6),AND($E6="biweekly",47&lt;=$D6,MOD(47-$C6,2)=0))),Flows!$C7,0))</f>
        <v/>
      </c>
      <c r="BA6" s="13">
        <f>IF(OR($A6="",Flows!$C7=""),0,IF(AND(48&lt;=Setup!$B$5,48&gt;=$C6,OR(AND($E6="once",48=$C6),AND($E6="weekly",48&lt;=$D6),AND($E6="biweekly",48&lt;=$D6,MOD(48-$C6,2)=0))),Flows!$C7,0))</f>
        <v/>
      </c>
      <c r="BB6" s="13">
        <f>IF(OR($A6="",Flows!$C7=""),0,IF(AND(49&lt;=Setup!$B$5,49&gt;=$C6,OR(AND($E6="once",49=$C6),AND($E6="weekly",49&lt;=$D6),AND($E6="biweekly",49&lt;=$D6,MOD(49-$C6,2)=0))),Flows!$C7,0))</f>
        <v/>
      </c>
      <c r="BC6" s="13">
        <f>IF(OR($A6="",Flows!$C7=""),0,IF(AND(50&lt;=Setup!$B$5,50&gt;=$C6,OR(AND($E6="once",50=$C6),AND($E6="weekly",50&lt;=$D6),AND($E6="biweekly",50&lt;=$D6,MOD(50-$C6,2)=0))),Flows!$C7,0))</f>
        <v/>
      </c>
      <c r="BD6" s="13">
        <f>IF(OR($A6="",Flows!$C7=""),0,IF(AND(51&lt;=Setup!$B$5,51&gt;=$C6,OR(AND($E6="once",51=$C6),AND($E6="weekly",51&lt;=$D6),AND($E6="biweekly",51&lt;=$D6,MOD(51-$C6,2)=0))),Flows!$C7,0))</f>
        <v/>
      </c>
      <c r="BE6" s="13">
        <f>IF(OR($A6="",Flows!$C7=""),0,IF(AND(52&lt;=Setup!$B$5,52&gt;=$C6,OR(AND($E6="once",52=$C6),AND($E6="weekly",52&lt;=$D6),AND($E6="biweekly",52&lt;=$D6,MOD(52-$C6,2)=0))),Flows!$C7,0))</f>
        <v/>
      </c>
    </row>
    <row r="7">
      <c r="A7" s="7">
        <f>IF(Flows!A8="","",LOWER(Flows!A8))</f>
        <v/>
      </c>
      <c r="B7" s="7">
        <f>IF(Flows!B8="","",Flows!B8)</f>
        <v/>
      </c>
      <c r="C7" s="7">
        <f>N(Flows!D8)</f>
        <v/>
      </c>
      <c r="D7" s="7">
        <f>IF(Flows!F8="",Setup!$B$5,Flows!F8)</f>
        <v/>
      </c>
      <c r="E7" s="7">
        <f>IF(Flows!E8="","once",LOWER(Flows!E8))</f>
        <v/>
      </c>
      <c r="F7" s="13">
        <f>IF(OR($A7="",Flows!$C8=""),0,IF(AND(1&lt;=Setup!$B$5,1&gt;=$C7,OR(AND($E7="once",1=$C7),AND($E7="weekly",1&lt;=$D7),AND($E7="biweekly",1&lt;=$D7,MOD(1-$C7,2)=0))),Flows!$C8,0))</f>
        <v/>
      </c>
      <c r="G7" s="13">
        <f>IF(OR($A7="",Flows!$C8=""),0,IF(AND(2&lt;=Setup!$B$5,2&gt;=$C7,OR(AND($E7="once",2=$C7),AND($E7="weekly",2&lt;=$D7),AND($E7="biweekly",2&lt;=$D7,MOD(2-$C7,2)=0))),Flows!$C8,0))</f>
        <v/>
      </c>
      <c r="H7" s="13">
        <f>IF(OR($A7="",Flows!$C8=""),0,IF(AND(3&lt;=Setup!$B$5,3&gt;=$C7,OR(AND($E7="once",3=$C7),AND($E7="weekly",3&lt;=$D7),AND($E7="biweekly",3&lt;=$D7,MOD(3-$C7,2)=0))),Flows!$C8,0))</f>
        <v/>
      </c>
      <c r="I7" s="13">
        <f>IF(OR($A7="",Flows!$C8=""),0,IF(AND(4&lt;=Setup!$B$5,4&gt;=$C7,OR(AND($E7="once",4=$C7),AND($E7="weekly",4&lt;=$D7),AND($E7="biweekly",4&lt;=$D7,MOD(4-$C7,2)=0))),Flows!$C8,0))</f>
        <v/>
      </c>
      <c r="J7" s="13">
        <f>IF(OR($A7="",Flows!$C8=""),0,IF(AND(5&lt;=Setup!$B$5,5&gt;=$C7,OR(AND($E7="once",5=$C7),AND($E7="weekly",5&lt;=$D7),AND($E7="biweekly",5&lt;=$D7,MOD(5-$C7,2)=0))),Flows!$C8,0))</f>
        <v/>
      </c>
      <c r="K7" s="13">
        <f>IF(OR($A7="",Flows!$C8=""),0,IF(AND(6&lt;=Setup!$B$5,6&gt;=$C7,OR(AND($E7="once",6=$C7),AND($E7="weekly",6&lt;=$D7),AND($E7="biweekly",6&lt;=$D7,MOD(6-$C7,2)=0))),Flows!$C8,0))</f>
        <v/>
      </c>
      <c r="L7" s="13">
        <f>IF(OR($A7="",Flows!$C8=""),0,IF(AND(7&lt;=Setup!$B$5,7&gt;=$C7,OR(AND($E7="once",7=$C7),AND($E7="weekly",7&lt;=$D7),AND($E7="biweekly",7&lt;=$D7,MOD(7-$C7,2)=0))),Flows!$C8,0))</f>
        <v/>
      </c>
      <c r="M7" s="13">
        <f>IF(OR($A7="",Flows!$C8=""),0,IF(AND(8&lt;=Setup!$B$5,8&gt;=$C7,OR(AND($E7="once",8=$C7),AND($E7="weekly",8&lt;=$D7),AND($E7="biweekly",8&lt;=$D7,MOD(8-$C7,2)=0))),Flows!$C8,0))</f>
        <v/>
      </c>
      <c r="N7" s="13">
        <f>IF(OR($A7="",Flows!$C8=""),0,IF(AND(9&lt;=Setup!$B$5,9&gt;=$C7,OR(AND($E7="once",9=$C7),AND($E7="weekly",9&lt;=$D7),AND($E7="biweekly",9&lt;=$D7,MOD(9-$C7,2)=0))),Flows!$C8,0))</f>
        <v/>
      </c>
      <c r="O7" s="13">
        <f>IF(OR($A7="",Flows!$C8=""),0,IF(AND(10&lt;=Setup!$B$5,10&gt;=$C7,OR(AND($E7="once",10=$C7),AND($E7="weekly",10&lt;=$D7),AND($E7="biweekly",10&lt;=$D7,MOD(10-$C7,2)=0))),Flows!$C8,0))</f>
        <v/>
      </c>
      <c r="P7" s="13">
        <f>IF(OR($A7="",Flows!$C8=""),0,IF(AND(11&lt;=Setup!$B$5,11&gt;=$C7,OR(AND($E7="once",11=$C7),AND($E7="weekly",11&lt;=$D7),AND($E7="biweekly",11&lt;=$D7,MOD(11-$C7,2)=0))),Flows!$C8,0))</f>
        <v/>
      </c>
      <c r="Q7" s="13">
        <f>IF(OR($A7="",Flows!$C8=""),0,IF(AND(12&lt;=Setup!$B$5,12&gt;=$C7,OR(AND($E7="once",12=$C7),AND($E7="weekly",12&lt;=$D7),AND($E7="biweekly",12&lt;=$D7,MOD(12-$C7,2)=0))),Flows!$C8,0))</f>
        <v/>
      </c>
      <c r="R7" s="13">
        <f>IF(OR($A7="",Flows!$C8=""),0,IF(AND(13&lt;=Setup!$B$5,13&gt;=$C7,OR(AND($E7="once",13=$C7),AND($E7="weekly",13&lt;=$D7),AND($E7="biweekly",13&lt;=$D7,MOD(13-$C7,2)=0))),Flows!$C8,0))</f>
        <v/>
      </c>
      <c r="S7" s="13">
        <f>IF(OR($A7="",Flows!$C8=""),0,IF(AND(14&lt;=Setup!$B$5,14&gt;=$C7,OR(AND($E7="once",14=$C7),AND($E7="weekly",14&lt;=$D7),AND($E7="biweekly",14&lt;=$D7,MOD(14-$C7,2)=0))),Flows!$C8,0))</f>
        <v/>
      </c>
      <c r="T7" s="13">
        <f>IF(OR($A7="",Flows!$C8=""),0,IF(AND(15&lt;=Setup!$B$5,15&gt;=$C7,OR(AND($E7="once",15=$C7),AND($E7="weekly",15&lt;=$D7),AND($E7="biweekly",15&lt;=$D7,MOD(15-$C7,2)=0))),Flows!$C8,0))</f>
        <v/>
      </c>
      <c r="U7" s="13">
        <f>IF(OR($A7="",Flows!$C8=""),0,IF(AND(16&lt;=Setup!$B$5,16&gt;=$C7,OR(AND($E7="once",16=$C7),AND($E7="weekly",16&lt;=$D7),AND($E7="biweekly",16&lt;=$D7,MOD(16-$C7,2)=0))),Flows!$C8,0))</f>
        <v/>
      </c>
      <c r="V7" s="13">
        <f>IF(OR($A7="",Flows!$C8=""),0,IF(AND(17&lt;=Setup!$B$5,17&gt;=$C7,OR(AND($E7="once",17=$C7),AND($E7="weekly",17&lt;=$D7),AND($E7="biweekly",17&lt;=$D7,MOD(17-$C7,2)=0))),Flows!$C8,0))</f>
        <v/>
      </c>
      <c r="W7" s="13">
        <f>IF(OR($A7="",Flows!$C8=""),0,IF(AND(18&lt;=Setup!$B$5,18&gt;=$C7,OR(AND($E7="once",18=$C7),AND($E7="weekly",18&lt;=$D7),AND($E7="biweekly",18&lt;=$D7,MOD(18-$C7,2)=0))),Flows!$C8,0))</f>
        <v/>
      </c>
      <c r="X7" s="13">
        <f>IF(OR($A7="",Flows!$C8=""),0,IF(AND(19&lt;=Setup!$B$5,19&gt;=$C7,OR(AND($E7="once",19=$C7),AND($E7="weekly",19&lt;=$D7),AND($E7="biweekly",19&lt;=$D7,MOD(19-$C7,2)=0))),Flows!$C8,0))</f>
        <v/>
      </c>
      <c r="Y7" s="13">
        <f>IF(OR($A7="",Flows!$C8=""),0,IF(AND(20&lt;=Setup!$B$5,20&gt;=$C7,OR(AND($E7="once",20=$C7),AND($E7="weekly",20&lt;=$D7),AND($E7="biweekly",20&lt;=$D7,MOD(20-$C7,2)=0))),Flows!$C8,0))</f>
        <v/>
      </c>
      <c r="Z7" s="13">
        <f>IF(OR($A7="",Flows!$C8=""),0,IF(AND(21&lt;=Setup!$B$5,21&gt;=$C7,OR(AND($E7="once",21=$C7),AND($E7="weekly",21&lt;=$D7),AND($E7="biweekly",21&lt;=$D7,MOD(21-$C7,2)=0))),Flows!$C8,0))</f>
        <v/>
      </c>
      <c r="AA7" s="13">
        <f>IF(OR($A7="",Flows!$C8=""),0,IF(AND(22&lt;=Setup!$B$5,22&gt;=$C7,OR(AND($E7="once",22=$C7),AND($E7="weekly",22&lt;=$D7),AND($E7="biweekly",22&lt;=$D7,MOD(22-$C7,2)=0))),Flows!$C8,0))</f>
        <v/>
      </c>
      <c r="AB7" s="13">
        <f>IF(OR($A7="",Flows!$C8=""),0,IF(AND(23&lt;=Setup!$B$5,23&gt;=$C7,OR(AND($E7="once",23=$C7),AND($E7="weekly",23&lt;=$D7),AND($E7="biweekly",23&lt;=$D7,MOD(23-$C7,2)=0))),Flows!$C8,0))</f>
        <v/>
      </c>
      <c r="AC7" s="13">
        <f>IF(OR($A7="",Flows!$C8=""),0,IF(AND(24&lt;=Setup!$B$5,24&gt;=$C7,OR(AND($E7="once",24=$C7),AND($E7="weekly",24&lt;=$D7),AND($E7="biweekly",24&lt;=$D7,MOD(24-$C7,2)=0))),Flows!$C8,0))</f>
        <v/>
      </c>
      <c r="AD7" s="13">
        <f>IF(OR($A7="",Flows!$C8=""),0,IF(AND(25&lt;=Setup!$B$5,25&gt;=$C7,OR(AND($E7="once",25=$C7),AND($E7="weekly",25&lt;=$D7),AND($E7="biweekly",25&lt;=$D7,MOD(25-$C7,2)=0))),Flows!$C8,0))</f>
        <v/>
      </c>
      <c r="AE7" s="13">
        <f>IF(OR($A7="",Flows!$C8=""),0,IF(AND(26&lt;=Setup!$B$5,26&gt;=$C7,OR(AND($E7="once",26=$C7),AND($E7="weekly",26&lt;=$D7),AND($E7="biweekly",26&lt;=$D7,MOD(26-$C7,2)=0))),Flows!$C8,0))</f>
        <v/>
      </c>
      <c r="AF7" s="13">
        <f>IF(OR($A7="",Flows!$C8=""),0,IF(AND(27&lt;=Setup!$B$5,27&gt;=$C7,OR(AND($E7="once",27=$C7),AND($E7="weekly",27&lt;=$D7),AND($E7="biweekly",27&lt;=$D7,MOD(27-$C7,2)=0))),Flows!$C8,0))</f>
        <v/>
      </c>
      <c r="AG7" s="13">
        <f>IF(OR($A7="",Flows!$C8=""),0,IF(AND(28&lt;=Setup!$B$5,28&gt;=$C7,OR(AND($E7="once",28=$C7),AND($E7="weekly",28&lt;=$D7),AND($E7="biweekly",28&lt;=$D7,MOD(28-$C7,2)=0))),Flows!$C8,0))</f>
        <v/>
      </c>
      <c r="AH7" s="13">
        <f>IF(OR($A7="",Flows!$C8=""),0,IF(AND(29&lt;=Setup!$B$5,29&gt;=$C7,OR(AND($E7="once",29=$C7),AND($E7="weekly",29&lt;=$D7),AND($E7="biweekly",29&lt;=$D7,MOD(29-$C7,2)=0))),Flows!$C8,0))</f>
        <v/>
      </c>
      <c r="AI7" s="13">
        <f>IF(OR($A7="",Flows!$C8=""),0,IF(AND(30&lt;=Setup!$B$5,30&gt;=$C7,OR(AND($E7="once",30=$C7),AND($E7="weekly",30&lt;=$D7),AND($E7="biweekly",30&lt;=$D7,MOD(30-$C7,2)=0))),Flows!$C8,0))</f>
        <v/>
      </c>
      <c r="AJ7" s="13">
        <f>IF(OR($A7="",Flows!$C8=""),0,IF(AND(31&lt;=Setup!$B$5,31&gt;=$C7,OR(AND($E7="once",31=$C7),AND($E7="weekly",31&lt;=$D7),AND($E7="biweekly",31&lt;=$D7,MOD(31-$C7,2)=0))),Flows!$C8,0))</f>
        <v/>
      </c>
      <c r="AK7" s="13">
        <f>IF(OR($A7="",Flows!$C8=""),0,IF(AND(32&lt;=Setup!$B$5,32&gt;=$C7,OR(AND($E7="once",32=$C7),AND($E7="weekly",32&lt;=$D7),AND($E7="biweekly",32&lt;=$D7,MOD(32-$C7,2)=0))),Flows!$C8,0))</f>
        <v/>
      </c>
      <c r="AL7" s="13">
        <f>IF(OR($A7="",Flows!$C8=""),0,IF(AND(33&lt;=Setup!$B$5,33&gt;=$C7,OR(AND($E7="once",33=$C7),AND($E7="weekly",33&lt;=$D7),AND($E7="biweekly",33&lt;=$D7,MOD(33-$C7,2)=0))),Flows!$C8,0))</f>
        <v/>
      </c>
      <c r="AM7" s="13">
        <f>IF(OR($A7="",Flows!$C8=""),0,IF(AND(34&lt;=Setup!$B$5,34&gt;=$C7,OR(AND($E7="once",34=$C7),AND($E7="weekly",34&lt;=$D7),AND($E7="biweekly",34&lt;=$D7,MOD(34-$C7,2)=0))),Flows!$C8,0))</f>
        <v/>
      </c>
      <c r="AN7" s="13">
        <f>IF(OR($A7="",Flows!$C8=""),0,IF(AND(35&lt;=Setup!$B$5,35&gt;=$C7,OR(AND($E7="once",35=$C7),AND($E7="weekly",35&lt;=$D7),AND($E7="biweekly",35&lt;=$D7,MOD(35-$C7,2)=0))),Flows!$C8,0))</f>
        <v/>
      </c>
      <c r="AO7" s="13">
        <f>IF(OR($A7="",Flows!$C8=""),0,IF(AND(36&lt;=Setup!$B$5,36&gt;=$C7,OR(AND($E7="once",36=$C7),AND($E7="weekly",36&lt;=$D7),AND($E7="biweekly",36&lt;=$D7,MOD(36-$C7,2)=0))),Flows!$C8,0))</f>
        <v/>
      </c>
      <c r="AP7" s="13">
        <f>IF(OR($A7="",Flows!$C8=""),0,IF(AND(37&lt;=Setup!$B$5,37&gt;=$C7,OR(AND($E7="once",37=$C7),AND($E7="weekly",37&lt;=$D7),AND($E7="biweekly",37&lt;=$D7,MOD(37-$C7,2)=0))),Flows!$C8,0))</f>
        <v/>
      </c>
      <c r="AQ7" s="13">
        <f>IF(OR($A7="",Flows!$C8=""),0,IF(AND(38&lt;=Setup!$B$5,38&gt;=$C7,OR(AND($E7="once",38=$C7),AND($E7="weekly",38&lt;=$D7),AND($E7="biweekly",38&lt;=$D7,MOD(38-$C7,2)=0))),Flows!$C8,0))</f>
        <v/>
      </c>
      <c r="AR7" s="13">
        <f>IF(OR($A7="",Flows!$C8=""),0,IF(AND(39&lt;=Setup!$B$5,39&gt;=$C7,OR(AND($E7="once",39=$C7),AND($E7="weekly",39&lt;=$D7),AND($E7="biweekly",39&lt;=$D7,MOD(39-$C7,2)=0))),Flows!$C8,0))</f>
        <v/>
      </c>
      <c r="AS7" s="13">
        <f>IF(OR($A7="",Flows!$C8=""),0,IF(AND(40&lt;=Setup!$B$5,40&gt;=$C7,OR(AND($E7="once",40=$C7),AND($E7="weekly",40&lt;=$D7),AND($E7="biweekly",40&lt;=$D7,MOD(40-$C7,2)=0))),Flows!$C8,0))</f>
        <v/>
      </c>
      <c r="AT7" s="13">
        <f>IF(OR($A7="",Flows!$C8=""),0,IF(AND(41&lt;=Setup!$B$5,41&gt;=$C7,OR(AND($E7="once",41=$C7),AND($E7="weekly",41&lt;=$D7),AND($E7="biweekly",41&lt;=$D7,MOD(41-$C7,2)=0))),Flows!$C8,0))</f>
        <v/>
      </c>
      <c r="AU7" s="13">
        <f>IF(OR($A7="",Flows!$C8=""),0,IF(AND(42&lt;=Setup!$B$5,42&gt;=$C7,OR(AND($E7="once",42=$C7),AND($E7="weekly",42&lt;=$D7),AND($E7="biweekly",42&lt;=$D7,MOD(42-$C7,2)=0))),Flows!$C8,0))</f>
        <v/>
      </c>
      <c r="AV7" s="13">
        <f>IF(OR($A7="",Flows!$C8=""),0,IF(AND(43&lt;=Setup!$B$5,43&gt;=$C7,OR(AND($E7="once",43=$C7),AND($E7="weekly",43&lt;=$D7),AND($E7="biweekly",43&lt;=$D7,MOD(43-$C7,2)=0))),Flows!$C8,0))</f>
        <v/>
      </c>
      <c r="AW7" s="13">
        <f>IF(OR($A7="",Flows!$C8=""),0,IF(AND(44&lt;=Setup!$B$5,44&gt;=$C7,OR(AND($E7="once",44=$C7),AND($E7="weekly",44&lt;=$D7),AND($E7="biweekly",44&lt;=$D7,MOD(44-$C7,2)=0))),Flows!$C8,0))</f>
        <v/>
      </c>
      <c r="AX7" s="13">
        <f>IF(OR($A7="",Flows!$C8=""),0,IF(AND(45&lt;=Setup!$B$5,45&gt;=$C7,OR(AND($E7="once",45=$C7),AND($E7="weekly",45&lt;=$D7),AND($E7="biweekly",45&lt;=$D7,MOD(45-$C7,2)=0))),Flows!$C8,0))</f>
        <v/>
      </c>
      <c r="AY7" s="13">
        <f>IF(OR($A7="",Flows!$C8=""),0,IF(AND(46&lt;=Setup!$B$5,46&gt;=$C7,OR(AND($E7="once",46=$C7),AND($E7="weekly",46&lt;=$D7),AND($E7="biweekly",46&lt;=$D7,MOD(46-$C7,2)=0))),Flows!$C8,0))</f>
        <v/>
      </c>
      <c r="AZ7" s="13">
        <f>IF(OR($A7="",Flows!$C8=""),0,IF(AND(47&lt;=Setup!$B$5,47&gt;=$C7,OR(AND($E7="once",47=$C7),AND($E7="weekly",47&lt;=$D7),AND($E7="biweekly",47&lt;=$D7,MOD(47-$C7,2)=0))),Flows!$C8,0))</f>
        <v/>
      </c>
      <c r="BA7" s="13">
        <f>IF(OR($A7="",Flows!$C8=""),0,IF(AND(48&lt;=Setup!$B$5,48&gt;=$C7,OR(AND($E7="once",48=$C7),AND($E7="weekly",48&lt;=$D7),AND($E7="biweekly",48&lt;=$D7,MOD(48-$C7,2)=0))),Flows!$C8,0))</f>
        <v/>
      </c>
      <c r="BB7" s="13">
        <f>IF(OR($A7="",Flows!$C8=""),0,IF(AND(49&lt;=Setup!$B$5,49&gt;=$C7,OR(AND($E7="once",49=$C7),AND($E7="weekly",49&lt;=$D7),AND($E7="biweekly",49&lt;=$D7,MOD(49-$C7,2)=0))),Flows!$C8,0))</f>
        <v/>
      </c>
      <c r="BC7" s="13">
        <f>IF(OR($A7="",Flows!$C8=""),0,IF(AND(50&lt;=Setup!$B$5,50&gt;=$C7,OR(AND($E7="once",50=$C7),AND($E7="weekly",50&lt;=$D7),AND($E7="biweekly",50&lt;=$D7,MOD(50-$C7,2)=0))),Flows!$C8,0))</f>
        <v/>
      </c>
      <c r="BD7" s="13">
        <f>IF(OR($A7="",Flows!$C8=""),0,IF(AND(51&lt;=Setup!$B$5,51&gt;=$C7,OR(AND($E7="once",51=$C7),AND($E7="weekly",51&lt;=$D7),AND($E7="biweekly",51&lt;=$D7,MOD(51-$C7,2)=0))),Flows!$C8,0))</f>
        <v/>
      </c>
      <c r="BE7" s="13">
        <f>IF(OR($A7="",Flows!$C8=""),0,IF(AND(52&lt;=Setup!$B$5,52&gt;=$C7,OR(AND($E7="once",52=$C7),AND($E7="weekly",52&lt;=$D7),AND($E7="biweekly",52&lt;=$D7,MOD(52-$C7,2)=0))),Flows!$C8,0))</f>
        <v/>
      </c>
    </row>
    <row r="8">
      <c r="A8" s="7">
        <f>IF(Flows!A9="","",LOWER(Flows!A9))</f>
        <v/>
      </c>
      <c r="B8" s="7">
        <f>IF(Flows!B9="","",Flows!B9)</f>
        <v/>
      </c>
      <c r="C8" s="7">
        <f>N(Flows!D9)</f>
        <v/>
      </c>
      <c r="D8" s="7">
        <f>IF(Flows!F9="",Setup!$B$5,Flows!F9)</f>
        <v/>
      </c>
      <c r="E8" s="7">
        <f>IF(Flows!E9="","once",LOWER(Flows!E9))</f>
        <v/>
      </c>
      <c r="F8" s="13">
        <f>IF(OR($A8="",Flows!$C9=""),0,IF(AND(1&lt;=Setup!$B$5,1&gt;=$C8,OR(AND($E8="once",1=$C8),AND($E8="weekly",1&lt;=$D8),AND($E8="biweekly",1&lt;=$D8,MOD(1-$C8,2)=0))),Flows!$C9,0))</f>
        <v/>
      </c>
      <c r="G8" s="13">
        <f>IF(OR($A8="",Flows!$C9=""),0,IF(AND(2&lt;=Setup!$B$5,2&gt;=$C8,OR(AND($E8="once",2=$C8),AND($E8="weekly",2&lt;=$D8),AND($E8="biweekly",2&lt;=$D8,MOD(2-$C8,2)=0))),Flows!$C9,0))</f>
        <v/>
      </c>
      <c r="H8" s="13">
        <f>IF(OR($A8="",Flows!$C9=""),0,IF(AND(3&lt;=Setup!$B$5,3&gt;=$C8,OR(AND($E8="once",3=$C8),AND($E8="weekly",3&lt;=$D8),AND($E8="biweekly",3&lt;=$D8,MOD(3-$C8,2)=0))),Flows!$C9,0))</f>
        <v/>
      </c>
      <c r="I8" s="13">
        <f>IF(OR($A8="",Flows!$C9=""),0,IF(AND(4&lt;=Setup!$B$5,4&gt;=$C8,OR(AND($E8="once",4=$C8),AND($E8="weekly",4&lt;=$D8),AND($E8="biweekly",4&lt;=$D8,MOD(4-$C8,2)=0))),Flows!$C9,0))</f>
        <v/>
      </c>
      <c r="J8" s="13">
        <f>IF(OR($A8="",Flows!$C9=""),0,IF(AND(5&lt;=Setup!$B$5,5&gt;=$C8,OR(AND($E8="once",5=$C8),AND($E8="weekly",5&lt;=$D8),AND($E8="biweekly",5&lt;=$D8,MOD(5-$C8,2)=0))),Flows!$C9,0))</f>
        <v/>
      </c>
      <c r="K8" s="13">
        <f>IF(OR($A8="",Flows!$C9=""),0,IF(AND(6&lt;=Setup!$B$5,6&gt;=$C8,OR(AND($E8="once",6=$C8),AND($E8="weekly",6&lt;=$D8),AND($E8="biweekly",6&lt;=$D8,MOD(6-$C8,2)=0))),Flows!$C9,0))</f>
        <v/>
      </c>
      <c r="L8" s="13">
        <f>IF(OR($A8="",Flows!$C9=""),0,IF(AND(7&lt;=Setup!$B$5,7&gt;=$C8,OR(AND($E8="once",7=$C8),AND($E8="weekly",7&lt;=$D8),AND($E8="biweekly",7&lt;=$D8,MOD(7-$C8,2)=0))),Flows!$C9,0))</f>
        <v/>
      </c>
      <c r="M8" s="13">
        <f>IF(OR($A8="",Flows!$C9=""),0,IF(AND(8&lt;=Setup!$B$5,8&gt;=$C8,OR(AND($E8="once",8=$C8),AND($E8="weekly",8&lt;=$D8),AND($E8="biweekly",8&lt;=$D8,MOD(8-$C8,2)=0))),Flows!$C9,0))</f>
        <v/>
      </c>
      <c r="N8" s="13">
        <f>IF(OR($A8="",Flows!$C9=""),0,IF(AND(9&lt;=Setup!$B$5,9&gt;=$C8,OR(AND($E8="once",9=$C8),AND($E8="weekly",9&lt;=$D8),AND($E8="biweekly",9&lt;=$D8,MOD(9-$C8,2)=0))),Flows!$C9,0))</f>
        <v/>
      </c>
      <c r="O8" s="13">
        <f>IF(OR($A8="",Flows!$C9=""),0,IF(AND(10&lt;=Setup!$B$5,10&gt;=$C8,OR(AND($E8="once",10=$C8),AND($E8="weekly",10&lt;=$D8),AND($E8="biweekly",10&lt;=$D8,MOD(10-$C8,2)=0))),Flows!$C9,0))</f>
        <v/>
      </c>
      <c r="P8" s="13">
        <f>IF(OR($A8="",Flows!$C9=""),0,IF(AND(11&lt;=Setup!$B$5,11&gt;=$C8,OR(AND($E8="once",11=$C8),AND($E8="weekly",11&lt;=$D8),AND($E8="biweekly",11&lt;=$D8,MOD(11-$C8,2)=0))),Flows!$C9,0))</f>
        <v/>
      </c>
      <c r="Q8" s="13">
        <f>IF(OR($A8="",Flows!$C9=""),0,IF(AND(12&lt;=Setup!$B$5,12&gt;=$C8,OR(AND($E8="once",12=$C8),AND($E8="weekly",12&lt;=$D8),AND($E8="biweekly",12&lt;=$D8,MOD(12-$C8,2)=0))),Flows!$C9,0))</f>
        <v/>
      </c>
      <c r="R8" s="13">
        <f>IF(OR($A8="",Flows!$C9=""),0,IF(AND(13&lt;=Setup!$B$5,13&gt;=$C8,OR(AND($E8="once",13=$C8),AND($E8="weekly",13&lt;=$D8),AND($E8="biweekly",13&lt;=$D8,MOD(13-$C8,2)=0))),Flows!$C9,0))</f>
        <v/>
      </c>
      <c r="S8" s="13">
        <f>IF(OR($A8="",Flows!$C9=""),0,IF(AND(14&lt;=Setup!$B$5,14&gt;=$C8,OR(AND($E8="once",14=$C8),AND($E8="weekly",14&lt;=$D8),AND($E8="biweekly",14&lt;=$D8,MOD(14-$C8,2)=0))),Flows!$C9,0))</f>
        <v/>
      </c>
      <c r="T8" s="13">
        <f>IF(OR($A8="",Flows!$C9=""),0,IF(AND(15&lt;=Setup!$B$5,15&gt;=$C8,OR(AND($E8="once",15=$C8),AND($E8="weekly",15&lt;=$D8),AND($E8="biweekly",15&lt;=$D8,MOD(15-$C8,2)=0))),Flows!$C9,0))</f>
        <v/>
      </c>
      <c r="U8" s="13">
        <f>IF(OR($A8="",Flows!$C9=""),0,IF(AND(16&lt;=Setup!$B$5,16&gt;=$C8,OR(AND($E8="once",16=$C8),AND($E8="weekly",16&lt;=$D8),AND($E8="biweekly",16&lt;=$D8,MOD(16-$C8,2)=0))),Flows!$C9,0))</f>
        <v/>
      </c>
      <c r="V8" s="13">
        <f>IF(OR($A8="",Flows!$C9=""),0,IF(AND(17&lt;=Setup!$B$5,17&gt;=$C8,OR(AND($E8="once",17=$C8),AND($E8="weekly",17&lt;=$D8),AND($E8="biweekly",17&lt;=$D8,MOD(17-$C8,2)=0))),Flows!$C9,0))</f>
        <v/>
      </c>
      <c r="W8" s="13">
        <f>IF(OR($A8="",Flows!$C9=""),0,IF(AND(18&lt;=Setup!$B$5,18&gt;=$C8,OR(AND($E8="once",18=$C8),AND($E8="weekly",18&lt;=$D8),AND($E8="biweekly",18&lt;=$D8,MOD(18-$C8,2)=0))),Flows!$C9,0))</f>
        <v/>
      </c>
      <c r="X8" s="13">
        <f>IF(OR($A8="",Flows!$C9=""),0,IF(AND(19&lt;=Setup!$B$5,19&gt;=$C8,OR(AND($E8="once",19=$C8),AND($E8="weekly",19&lt;=$D8),AND($E8="biweekly",19&lt;=$D8,MOD(19-$C8,2)=0))),Flows!$C9,0))</f>
        <v/>
      </c>
      <c r="Y8" s="13">
        <f>IF(OR($A8="",Flows!$C9=""),0,IF(AND(20&lt;=Setup!$B$5,20&gt;=$C8,OR(AND($E8="once",20=$C8),AND($E8="weekly",20&lt;=$D8),AND($E8="biweekly",20&lt;=$D8,MOD(20-$C8,2)=0))),Flows!$C9,0))</f>
        <v/>
      </c>
      <c r="Z8" s="13">
        <f>IF(OR($A8="",Flows!$C9=""),0,IF(AND(21&lt;=Setup!$B$5,21&gt;=$C8,OR(AND($E8="once",21=$C8),AND($E8="weekly",21&lt;=$D8),AND($E8="biweekly",21&lt;=$D8,MOD(21-$C8,2)=0))),Flows!$C9,0))</f>
        <v/>
      </c>
      <c r="AA8" s="13">
        <f>IF(OR($A8="",Flows!$C9=""),0,IF(AND(22&lt;=Setup!$B$5,22&gt;=$C8,OR(AND($E8="once",22=$C8),AND($E8="weekly",22&lt;=$D8),AND($E8="biweekly",22&lt;=$D8,MOD(22-$C8,2)=0))),Flows!$C9,0))</f>
        <v/>
      </c>
      <c r="AB8" s="13">
        <f>IF(OR($A8="",Flows!$C9=""),0,IF(AND(23&lt;=Setup!$B$5,23&gt;=$C8,OR(AND($E8="once",23=$C8),AND($E8="weekly",23&lt;=$D8),AND($E8="biweekly",23&lt;=$D8,MOD(23-$C8,2)=0))),Flows!$C9,0))</f>
        <v/>
      </c>
      <c r="AC8" s="13">
        <f>IF(OR($A8="",Flows!$C9=""),0,IF(AND(24&lt;=Setup!$B$5,24&gt;=$C8,OR(AND($E8="once",24=$C8),AND($E8="weekly",24&lt;=$D8),AND($E8="biweekly",24&lt;=$D8,MOD(24-$C8,2)=0))),Flows!$C9,0))</f>
        <v/>
      </c>
      <c r="AD8" s="13">
        <f>IF(OR($A8="",Flows!$C9=""),0,IF(AND(25&lt;=Setup!$B$5,25&gt;=$C8,OR(AND($E8="once",25=$C8),AND($E8="weekly",25&lt;=$D8),AND($E8="biweekly",25&lt;=$D8,MOD(25-$C8,2)=0))),Flows!$C9,0))</f>
        <v/>
      </c>
      <c r="AE8" s="13">
        <f>IF(OR($A8="",Flows!$C9=""),0,IF(AND(26&lt;=Setup!$B$5,26&gt;=$C8,OR(AND($E8="once",26=$C8),AND($E8="weekly",26&lt;=$D8),AND($E8="biweekly",26&lt;=$D8,MOD(26-$C8,2)=0))),Flows!$C9,0))</f>
        <v/>
      </c>
      <c r="AF8" s="13">
        <f>IF(OR($A8="",Flows!$C9=""),0,IF(AND(27&lt;=Setup!$B$5,27&gt;=$C8,OR(AND($E8="once",27=$C8),AND($E8="weekly",27&lt;=$D8),AND($E8="biweekly",27&lt;=$D8,MOD(27-$C8,2)=0))),Flows!$C9,0))</f>
        <v/>
      </c>
      <c r="AG8" s="13">
        <f>IF(OR($A8="",Flows!$C9=""),0,IF(AND(28&lt;=Setup!$B$5,28&gt;=$C8,OR(AND($E8="once",28=$C8),AND($E8="weekly",28&lt;=$D8),AND($E8="biweekly",28&lt;=$D8,MOD(28-$C8,2)=0))),Flows!$C9,0))</f>
        <v/>
      </c>
      <c r="AH8" s="13">
        <f>IF(OR($A8="",Flows!$C9=""),0,IF(AND(29&lt;=Setup!$B$5,29&gt;=$C8,OR(AND($E8="once",29=$C8),AND($E8="weekly",29&lt;=$D8),AND($E8="biweekly",29&lt;=$D8,MOD(29-$C8,2)=0))),Flows!$C9,0))</f>
        <v/>
      </c>
      <c r="AI8" s="13">
        <f>IF(OR($A8="",Flows!$C9=""),0,IF(AND(30&lt;=Setup!$B$5,30&gt;=$C8,OR(AND($E8="once",30=$C8),AND($E8="weekly",30&lt;=$D8),AND($E8="biweekly",30&lt;=$D8,MOD(30-$C8,2)=0))),Flows!$C9,0))</f>
        <v/>
      </c>
      <c r="AJ8" s="13">
        <f>IF(OR($A8="",Flows!$C9=""),0,IF(AND(31&lt;=Setup!$B$5,31&gt;=$C8,OR(AND($E8="once",31=$C8),AND($E8="weekly",31&lt;=$D8),AND($E8="biweekly",31&lt;=$D8,MOD(31-$C8,2)=0))),Flows!$C9,0))</f>
        <v/>
      </c>
      <c r="AK8" s="13">
        <f>IF(OR($A8="",Flows!$C9=""),0,IF(AND(32&lt;=Setup!$B$5,32&gt;=$C8,OR(AND($E8="once",32=$C8),AND($E8="weekly",32&lt;=$D8),AND($E8="biweekly",32&lt;=$D8,MOD(32-$C8,2)=0))),Flows!$C9,0))</f>
        <v/>
      </c>
      <c r="AL8" s="13">
        <f>IF(OR($A8="",Flows!$C9=""),0,IF(AND(33&lt;=Setup!$B$5,33&gt;=$C8,OR(AND($E8="once",33=$C8),AND($E8="weekly",33&lt;=$D8),AND($E8="biweekly",33&lt;=$D8,MOD(33-$C8,2)=0))),Flows!$C9,0))</f>
        <v/>
      </c>
      <c r="AM8" s="13">
        <f>IF(OR($A8="",Flows!$C9=""),0,IF(AND(34&lt;=Setup!$B$5,34&gt;=$C8,OR(AND($E8="once",34=$C8),AND($E8="weekly",34&lt;=$D8),AND($E8="biweekly",34&lt;=$D8,MOD(34-$C8,2)=0))),Flows!$C9,0))</f>
        <v/>
      </c>
      <c r="AN8" s="13">
        <f>IF(OR($A8="",Flows!$C9=""),0,IF(AND(35&lt;=Setup!$B$5,35&gt;=$C8,OR(AND($E8="once",35=$C8),AND($E8="weekly",35&lt;=$D8),AND($E8="biweekly",35&lt;=$D8,MOD(35-$C8,2)=0))),Flows!$C9,0))</f>
        <v/>
      </c>
      <c r="AO8" s="13">
        <f>IF(OR($A8="",Flows!$C9=""),0,IF(AND(36&lt;=Setup!$B$5,36&gt;=$C8,OR(AND($E8="once",36=$C8),AND($E8="weekly",36&lt;=$D8),AND($E8="biweekly",36&lt;=$D8,MOD(36-$C8,2)=0))),Flows!$C9,0))</f>
        <v/>
      </c>
      <c r="AP8" s="13">
        <f>IF(OR($A8="",Flows!$C9=""),0,IF(AND(37&lt;=Setup!$B$5,37&gt;=$C8,OR(AND($E8="once",37=$C8),AND($E8="weekly",37&lt;=$D8),AND($E8="biweekly",37&lt;=$D8,MOD(37-$C8,2)=0))),Flows!$C9,0))</f>
        <v/>
      </c>
      <c r="AQ8" s="13">
        <f>IF(OR($A8="",Flows!$C9=""),0,IF(AND(38&lt;=Setup!$B$5,38&gt;=$C8,OR(AND($E8="once",38=$C8),AND($E8="weekly",38&lt;=$D8),AND($E8="biweekly",38&lt;=$D8,MOD(38-$C8,2)=0))),Flows!$C9,0))</f>
        <v/>
      </c>
      <c r="AR8" s="13">
        <f>IF(OR($A8="",Flows!$C9=""),0,IF(AND(39&lt;=Setup!$B$5,39&gt;=$C8,OR(AND($E8="once",39=$C8),AND($E8="weekly",39&lt;=$D8),AND($E8="biweekly",39&lt;=$D8,MOD(39-$C8,2)=0))),Flows!$C9,0))</f>
        <v/>
      </c>
      <c r="AS8" s="13">
        <f>IF(OR($A8="",Flows!$C9=""),0,IF(AND(40&lt;=Setup!$B$5,40&gt;=$C8,OR(AND($E8="once",40=$C8),AND($E8="weekly",40&lt;=$D8),AND($E8="biweekly",40&lt;=$D8,MOD(40-$C8,2)=0))),Flows!$C9,0))</f>
        <v/>
      </c>
      <c r="AT8" s="13">
        <f>IF(OR($A8="",Flows!$C9=""),0,IF(AND(41&lt;=Setup!$B$5,41&gt;=$C8,OR(AND($E8="once",41=$C8),AND($E8="weekly",41&lt;=$D8),AND($E8="biweekly",41&lt;=$D8,MOD(41-$C8,2)=0))),Flows!$C9,0))</f>
        <v/>
      </c>
      <c r="AU8" s="13">
        <f>IF(OR($A8="",Flows!$C9=""),0,IF(AND(42&lt;=Setup!$B$5,42&gt;=$C8,OR(AND($E8="once",42=$C8),AND($E8="weekly",42&lt;=$D8),AND($E8="biweekly",42&lt;=$D8,MOD(42-$C8,2)=0))),Flows!$C9,0))</f>
        <v/>
      </c>
      <c r="AV8" s="13">
        <f>IF(OR($A8="",Flows!$C9=""),0,IF(AND(43&lt;=Setup!$B$5,43&gt;=$C8,OR(AND($E8="once",43=$C8),AND($E8="weekly",43&lt;=$D8),AND($E8="biweekly",43&lt;=$D8,MOD(43-$C8,2)=0))),Flows!$C9,0))</f>
        <v/>
      </c>
      <c r="AW8" s="13">
        <f>IF(OR($A8="",Flows!$C9=""),0,IF(AND(44&lt;=Setup!$B$5,44&gt;=$C8,OR(AND($E8="once",44=$C8),AND($E8="weekly",44&lt;=$D8),AND($E8="biweekly",44&lt;=$D8,MOD(44-$C8,2)=0))),Flows!$C9,0))</f>
        <v/>
      </c>
      <c r="AX8" s="13">
        <f>IF(OR($A8="",Flows!$C9=""),0,IF(AND(45&lt;=Setup!$B$5,45&gt;=$C8,OR(AND($E8="once",45=$C8),AND($E8="weekly",45&lt;=$D8),AND($E8="biweekly",45&lt;=$D8,MOD(45-$C8,2)=0))),Flows!$C9,0))</f>
        <v/>
      </c>
      <c r="AY8" s="13">
        <f>IF(OR($A8="",Flows!$C9=""),0,IF(AND(46&lt;=Setup!$B$5,46&gt;=$C8,OR(AND($E8="once",46=$C8),AND($E8="weekly",46&lt;=$D8),AND($E8="biweekly",46&lt;=$D8,MOD(46-$C8,2)=0))),Flows!$C9,0))</f>
        <v/>
      </c>
      <c r="AZ8" s="13">
        <f>IF(OR($A8="",Flows!$C9=""),0,IF(AND(47&lt;=Setup!$B$5,47&gt;=$C8,OR(AND($E8="once",47=$C8),AND($E8="weekly",47&lt;=$D8),AND($E8="biweekly",47&lt;=$D8,MOD(47-$C8,2)=0))),Flows!$C9,0))</f>
        <v/>
      </c>
      <c r="BA8" s="13">
        <f>IF(OR($A8="",Flows!$C9=""),0,IF(AND(48&lt;=Setup!$B$5,48&gt;=$C8,OR(AND($E8="once",48=$C8),AND($E8="weekly",48&lt;=$D8),AND($E8="biweekly",48&lt;=$D8,MOD(48-$C8,2)=0))),Flows!$C9,0))</f>
        <v/>
      </c>
      <c r="BB8" s="13">
        <f>IF(OR($A8="",Flows!$C9=""),0,IF(AND(49&lt;=Setup!$B$5,49&gt;=$C8,OR(AND($E8="once",49=$C8),AND($E8="weekly",49&lt;=$D8),AND($E8="biweekly",49&lt;=$D8,MOD(49-$C8,2)=0))),Flows!$C9,0))</f>
        <v/>
      </c>
      <c r="BC8" s="13">
        <f>IF(OR($A8="",Flows!$C9=""),0,IF(AND(50&lt;=Setup!$B$5,50&gt;=$C8,OR(AND($E8="once",50=$C8),AND($E8="weekly",50&lt;=$D8),AND($E8="biweekly",50&lt;=$D8,MOD(50-$C8,2)=0))),Flows!$C9,0))</f>
        <v/>
      </c>
      <c r="BD8" s="13">
        <f>IF(OR($A8="",Flows!$C9=""),0,IF(AND(51&lt;=Setup!$B$5,51&gt;=$C8,OR(AND($E8="once",51=$C8),AND($E8="weekly",51&lt;=$D8),AND($E8="biweekly",51&lt;=$D8,MOD(51-$C8,2)=0))),Flows!$C9,0))</f>
        <v/>
      </c>
      <c r="BE8" s="13">
        <f>IF(OR($A8="",Flows!$C9=""),0,IF(AND(52&lt;=Setup!$B$5,52&gt;=$C8,OR(AND($E8="once",52=$C8),AND($E8="weekly",52&lt;=$D8),AND($E8="biweekly",52&lt;=$D8,MOD(52-$C8,2)=0))),Flows!$C9,0))</f>
        <v/>
      </c>
    </row>
    <row r="9">
      <c r="A9" s="7">
        <f>IF(Flows!A10="","",LOWER(Flows!A10))</f>
        <v/>
      </c>
      <c r="B9" s="7">
        <f>IF(Flows!B10="","",Flows!B10)</f>
        <v/>
      </c>
      <c r="C9" s="7">
        <f>N(Flows!D10)</f>
        <v/>
      </c>
      <c r="D9" s="7">
        <f>IF(Flows!F10="",Setup!$B$5,Flows!F10)</f>
        <v/>
      </c>
      <c r="E9" s="7">
        <f>IF(Flows!E10="","once",LOWER(Flows!E10))</f>
        <v/>
      </c>
      <c r="F9" s="13">
        <f>IF(OR($A9="",Flows!$C10=""),0,IF(AND(1&lt;=Setup!$B$5,1&gt;=$C9,OR(AND($E9="once",1=$C9),AND($E9="weekly",1&lt;=$D9),AND($E9="biweekly",1&lt;=$D9,MOD(1-$C9,2)=0))),Flows!$C10,0))</f>
        <v/>
      </c>
      <c r="G9" s="13">
        <f>IF(OR($A9="",Flows!$C10=""),0,IF(AND(2&lt;=Setup!$B$5,2&gt;=$C9,OR(AND($E9="once",2=$C9),AND($E9="weekly",2&lt;=$D9),AND($E9="biweekly",2&lt;=$D9,MOD(2-$C9,2)=0))),Flows!$C10,0))</f>
        <v/>
      </c>
      <c r="H9" s="13">
        <f>IF(OR($A9="",Flows!$C10=""),0,IF(AND(3&lt;=Setup!$B$5,3&gt;=$C9,OR(AND($E9="once",3=$C9),AND($E9="weekly",3&lt;=$D9),AND($E9="biweekly",3&lt;=$D9,MOD(3-$C9,2)=0))),Flows!$C10,0))</f>
        <v/>
      </c>
      <c r="I9" s="13">
        <f>IF(OR($A9="",Flows!$C10=""),0,IF(AND(4&lt;=Setup!$B$5,4&gt;=$C9,OR(AND($E9="once",4=$C9),AND($E9="weekly",4&lt;=$D9),AND($E9="biweekly",4&lt;=$D9,MOD(4-$C9,2)=0))),Flows!$C10,0))</f>
        <v/>
      </c>
      <c r="J9" s="13">
        <f>IF(OR($A9="",Flows!$C10=""),0,IF(AND(5&lt;=Setup!$B$5,5&gt;=$C9,OR(AND($E9="once",5=$C9),AND($E9="weekly",5&lt;=$D9),AND($E9="biweekly",5&lt;=$D9,MOD(5-$C9,2)=0))),Flows!$C10,0))</f>
        <v/>
      </c>
      <c r="K9" s="13">
        <f>IF(OR($A9="",Flows!$C10=""),0,IF(AND(6&lt;=Setup!$B$5,6&gt;=$C9,OR(AND($E9="once",6=$C9),AND($E9="weekly",6&lt;=$D9),AND($E9="biweekly",6&lt;=$D9,MOD(6-$C9,2)=0))),Flows!$C10,0))</f>
        <v/>
      </c>
      <c r="L9" s="13">
        <f>IF(OR($A9="",Flows!$C10=""),0,IF(AND(7&lt;=Setup!$B$5,7&gt;=$C9,OR(AND($E9="once",7=$C9),AND($E9="weekly",7&lt;=$D9),AND($E9="biweekly",7&lt;=$D9,MOD(7-$C9,2)=0))),Flows!$C10,0))</f>
        <v/>
      </c>
      <c r="M9" s="13">
        <f>IF(OR($A9="",Flows!$C10=""),0,IF(AND(8&lt;=Setup!$B$5,8&gt;=$C9,OR(AND($E9="once",8=$C9),AND($E9="weekly",8&lt;=$D9),AND($E9="biweekly",8&lt;=$D9,MOD(8-$C9,2)=0))),Flows!$C10,0))</f>
        <v/>
      </c>
      <c r="N9" s="13">
        <f>IF(OR($A9="",Flows!$C10=""),0,IF(AND(9&lt;=Setup!$B$5,9&gt;=$C9,OR(AND($E9="once",9=$C9),AND($E9="weekly",9&lt;=$D9),AND($E9="biweekly",9&lt;=$D9,MOD(9-$C9,2)=0))),Flows!$C10,0))</f>
        <v/>
      </c>
      <c r="O9" s="13">
        <f>IF(OR($A9="",Flows!$C10=""),0,IF(AND(10&lt;=Setup!$B$5,10&gt;=$C9,OR(AND($E9="once",10=$C9),AND($E9="weekly",10&lt;=$D9),AND($E9="biweekly",10&lt;=$D9,MOD(10-$C9,2)=0))),Flows!$C10,0))</f>
        <v/>
      </c>
      <c r="P9" s="13">
        <f>IF(OR($A9="",Flows!$C10=""),0,IF(AND(11&lt;=Setup!$B$5,11&gt;=$C9,OR(AND($E9="once",11=$C9),AND($E9="weekly",11&lt;=$D9),AND($E9="biweekly",11&lt;=$D9,MOD(11-$C9,2)=0))),Flows!$C10,0))</f>
        <v/>
      </c>
      <c r="Q9" s="13">
        <f>IF(OR($A9="",Flows!$C10=""),0,IF(AND(12&lt;=Setup!$B$5,12&gt;=$C9,OR(AND($E9="once",12=$C9),AND($E9="weekly",12&lt;=$D9),AND($E9="biweekly",12&lt;=$D9,MOD(12-$C9,2)=0))),Flows!$C10,0))</f>
        <v/>
      </c>
      <c r="R9" s="13">
        <f>IF(OR($A9="",Flows!$C10=""),0,IF(AND(13&lt;=Setup!$B$5,13&gt;=$C9,OR(AND($E9="once",13=$C9),AND($E9="weekly",13&lt;=$D9),AND($E9="biweekly",13&lt;=$D9,MOD(13-$C9,2)=0))),Flows!$C10,0))</f>
        <v/>
      </c>
      <c r="S9" s="13">
        <f>IF(OR($A9="",Flows!$C10=""),0,IF(AND(14&lt;=Setup!$B$5,14&gt;=$C9,OR(AND($E9="once",14=$C9),AND($E9="weekly",14&lt;=$D9),AND($E9="biweekly",14&lt;=$D9,MOD(14-$C9,2)=0))),Flows!$C10,0))</f>
        <v/>
      </c>
      <c r="T9" s="13">
        <f>IF(OR($A9="",Flows!$C10=""),0,IF(AND(15&lt;=Setup!$B$5,15&gt;=$C9,OR(AND($E9="once",15=$C9),AND($E9="weekly",15&lt;=$D9),AND($E9="biweekly",15&lt;=$D9,MOD(15-$C9,2)=0))),Flows!$C10,0))</f>
        <v/>
      </c>
      <c r="U9" s="13">
        <f>IF(OR($A9="",Flows!$C10=""),0,IF(AND(16&lt;=Setup!$B$5,16&gt;=$C9,OR(AND($E9="once",16=$C9),AND($E9="weekly",16&lt;=$D9),AND($E9="biweekly",16&lt;=$D9,MOD(16-$C9,2)=0))),Flows!$C10,0))</f>
        <v/>
      </c>
      <c r="V9" s="13">
        <f>IF(OR($A9="",Flows!$C10=""),0,IF(AND(17&lt;=Setup!$B$5,17&gt;=$C9,OR(AND($E9="once",17=$C9),AND($E9="weekly",17&lt;=$D9),AND($E9="biweekly",17&lt;=$D9,MOD(17-$C9,2)=0))),Flows!$C10,0))</f>
        <v/>
      </c>
      <c r="W9" s="13">
        <f>IF(OR($A9="",Flows!$C10=""),0,IF(AND(18&lt;=Setup!$B$5,18&gt;=$C9,OR(AND($E9="once",18=$C9),AND($E9="weekly",18&lt;=$D9),AND($E9="biweekly",18&lt;=$D9,MOD(18-$C9,2)=0))),Flows!$C10,0))</f>
        <v/>
      </c>
      <c r="X9" s="13">
        <f>IF(OR($A9="",Flows!$C10=""),0,IF(AND(19&lt;=Setup!$B$5,19&gt;=$C9,OR(AND($E9="once",19=$C9),AND($E9="weekly",19&lt;=$D9),AND($E9="biweekly",19&lt;=$D9,MOD(19-$C9,2)=0))),Flows!$C10,0))</f>
        <v/>
      </c>
      <c r="Y9" s="13">
        <f>IF(OR($A9="",Flows!$C10=""),0,IF(AND(20&lt;=Setup!$B$5,20&gt;=$C9,OR(AND($E9="once",20=$C9),AND($E9="weekly",20&lt;=$D9),AND($E9="biweekly",20&lt;=$D9,MOD(20-$C9,2)=0))),Flows!$C10,0))</f>
        <v/>
      </c>
      <c r="Z9" s="13">
        <f>IF(OR($A9="",Flows!$C10=""),0,IF(AND(21&lt;=Setup!$B$5,21&gt;=$C9,OR(AND($E9="once",21=$C9),AND($E9="weekly",21&lt;=$D9),AND($E9="biweekly",21&lt;=$D9,MOD(21-$C9,2)=0))),Flows!$C10,0))</f>
        <v/>
      </c>
      <c r="AA9" s="13">
        <f>IF(OR($A9="",Flows!$C10=""),0,IF(AND(22&lt;=Setup!$B$5,22&gt;=$C9,OR(AND($E9="once",22=$C9),AND($E9="weekly",22&lt;=$D9),AND($E9="biweekly",22&lt;=$D9,MOD(22-$C9,2)=0))),Flows!$C10,0))</f>
        <v/>
      </c>
      <c r="AB9" s="13">
        <f>IF(OR($A9="",Flows!$C10=""),0,IF(AND(23&lt;=Setup!$B$5,23&gt;=$C9,OR(AND($E9="once",23=$C9),AND($E9="weekly",23&lt;=$D9),AND($E9="biweekly",23&lt;=$D9,MOD(23-$C9,2)=0))),Flows!$C10,0))</f>
        <v/>
      </c>
      <c r="AC9" s="13">
        <f>IF(OR($A9="",Flows!$C10=""),0,IF(AND(24&lt;=Setup!$B$5,24&gt;=$C9,OR(AND($E9="once",24=$C9),AND($E9="weekly",24&lt;=$D9),AND($E9="biweekly",24&lt;=$D9,MOD(24-$C9,2)=0))),Flows!$C10,0))</f>
        <v/>
      </c>
      <c r="AD9" s="13">
        <f>IF(OR($A9="",Flows!$C10=""),0,IF(AND(25&lt;=Setup!$B$5,25&gt;=$C9,OR(AND($E9="once",25=$C9),AND($E9="weekly",25&lt;=$D9),AND($E9="biweekly",25&lt;=$D9,MOD(25-$C9,2)=0))),Flows!$C10,0))</f>
        <v/>
      </c>
      <c r="AE9" s="13">
        <f>IF(OR($A9="",Flows!$C10=""),0,IF(AND(26&lt;=Setup!$B$5,26&gt;=$C9,OR(AND($E9="once",26=$C9),AND($E9="weekly",26&lt;=$D9),AND($E9="biweekly",26&lt;=$D9,MOD(26-$C9,2)=0))),Flows!$C10,0))</f>
        <v/>
      </c>
      <c r="AF9" s="13">
        <f>IF(OR($A9="",Flows!$C10=""),0,IF(AND(27&lt;=Setup!$B$5,27&gt;=$C9,OR(AND($E9="once",27=$C9),AND($E9="weekly",27&lt;=$D9),AND($E9="biweekly",27&lt;=$D9,MOD(27-$C9,2)=0))),Flows!$C10,0))</f>
        <v/>
      </c>
      <c r="AG9" s="13">
        <f>IF(OR($A9="",Flows!$C10=""),0,IF(AND(28&lt;=Setup!$B$5,28&gt;=$C9,OR(AND($E9="once",28=$C9),AND($E9="weekly",28&lt;=$D9),AND($E9="biweekly",28&lt;=$D9,MOD(28-$C9,2)=0))),Flows!$C10,0))</f>
        <v/>
      </c>
      <c r="AH9" s="13">
        <f>IF(OR($A9="",Flows!$C10=""),0,IF(AND(29&lt;=Setup!$B$5,29&gt;=$C9,OR(AND($E9="once",29=$C9),AND($E9="weekly",29&lt;=$D9),AND($E9="biweekly",29&lt;=$D9,MOD(29-$C9,2)=0))),Flows!$C10,0))</f>
        <v/>
      </c>
      <c r="AI9" s="13">
        <f>IF(OR($A9="",Flows!$C10=""),0,IF(AND(30&lt;=Setup!$B$5,30&gt;=$C9,OR(AND($E9="once",30=$C9),AND($E9="weekly",30&lt;=$D9),AND($E9="biweekly",30&lt;=$D9,MOD(30-$C9,2)=0))),Flows!$C10,0))</f>
        <v/>
      </c>
      <c r="AJ9" s="13">
        <f>IF(OR($A9="",Flows!$C10=""),0,IF(AND(31&lt;=Setup!$B$5,31&gt;=$C9,OR(AND($E9="once",31=$C9),AND($E9="weekly",31&lt;=$D9),AND($E9="biweekly",31&lt;=$D9,MOD(31-$C9,2)=0))),Flows!$C10,0))</f>
        <v/>
      </c>
      <c r="AK9" s="13">
        <f>IF(OR($A9="",Flows!$C10=""),0,IF(AND(32&lt;=Setup!$B$5,32&gt;=$C9,OR(AND($E9="once",32=$C9),AND($E9="weekly",32&lt;=$D9),AND($E9="biweekly",32&lt;=$D9,MOD(32-$C9,2)=0))),Flows!$C10,0))</f>
        <v/>
      </c>
      <c r="AL9" s="13">
        <f>IF(OR($A9="",Flows!$C10=""),0,IF(AND(33&lt;=Setup!$B$5,33&gt;=$C9,OR(AND($E9="once",33=$C9),AND($E9="weekly",33&lt;=$D9),AND($E9="biweekly",33&lt;=$D9,MOD(33-$C9,2)=0))),Flows!$C10,0))</f>
        <v/>
      </c>
      <c r="AM9" s="13">
        <f>IF(OR($A9="",Flows!$C10=""),0,IF(AND(34&lt;=Setup!$B$5,34&gt;=$C9,OR(AND($E9="once",34=$C9),AND($E9="weekly",34&lt;=$D9),AND($E9="biweekly",34&lt;=$D9,MOD(34-$C9,2)=0))),Flows!$C10,0))</f>
        <v/>
      </c>
      <c r="AN9" s="13">
        <f>IF(OR($A9="",Flows!$C10=""),0,IF(AND(35&lt;=Setup!$B$5,35&gt;=$C9,OR(AND($E9="once",35=$C9),AND($E9="weekly",35&lt;=$D9),AND($E9="biweekly",35&lt;=$D9,MOD(35-$C9,2)=0))),Flows!$C10,0))</f>
        <v/>
      </c>
      <c r="AO9" s="13">
        <f>IF(OR($A9="",Flows!$C10=""),0,IF(AND(36&lt;=Setup!$B$5,36&gt;=$C9,OR(AND($E9="once",36=$C9),AND($E9="weekly",36&lt;=$D9),AND($E9="biweekly",36&lt;=$D9,MOD(36-$C9,2)=0))),Flows!$C10,0))</f>
        <v/>
      </c>
      <c r="AP9" s="13">
        <f>IF(OR($A9="",Flows!$C10=""),0,IF(AND(37&lt;=Setup!$B$5,37&gt;=$C9,OR(AND($E9="once",37=$C9),AND($E9="weekly",37&lt;=$D9),AND($E9="biweekly",37&lt;=$D9,MOD(37-$C9,2)=0))),Flows!$C10,0))</f>
        <v/>
      </c>
      <c r="AQ9" s="13">
        <f>IF(OR($A9="",Flows!$C10=""),0,IF(AND(38&lt;=Setup!$B$5,38&gt;=$C9,OR(AND($E9="once",38=$C9),AND($E9="weekly",38&lt;=$D9),AND($E9="biweekly",38&lt;=$D9,MOD(38-$C9,2)=0))),Flows!$C10,0))</f>
        <v/>
      </c>
      <c r="AR9" s="13">
        <f>IF(OR($A9="",Flows!$C10=""),0,IF(AND(39&lt;=Setup!$B$5,39&gt;=$C9,OR(AND($E9="once",39=$C9),AND($E9="weekly",39&lt;=$D9),AND($E9="biweekly",39&lt;=$D9,MOD(39-$C9,2)=0))),Flows!$C10,0))</f>
        <v/>
      </c>
      <c r="AS9" s="13">
        <f>IF(OR($A9="",Flows!$C10=""),0,IF(AND(40&lt;=Setup!$B$5,40&gt;=$C9,OR(AND($E9="once",40=$C9),AND($E9="weekly",40&lt;=$D9),AND($E9="biweekly",40&lt;=$D9,MOD(40-$C9,2)=0))),Flows!$C10,0))</f>
        <v/>
      </c>
      <c r="AT9" s="13">
        <f>IF(OR($A9="",Flows!$C10=""),0,IF(AND(41&lt;=Setup!$B$5,41&gt;=$C9,OR(AND($E9="once",41=$C9),AND($E9="weekly",41&lt;=$D9),AND($E9="biweekly",41&lt;=$D9,MOD(41-$C9,2)=0))),Flows!$C10,0))</f>
        <v/>
      </c>
      <c r="AU9" s="13">
        <f>IF(OR($A9="",Flows!$C10=""),0,IF(AND(42&lt;=Setup!$B$5,42&gt;=$C9,OR(AND($E9="once",42=$C9),AND($E9="weekly",42&lt;=$D9),AND($E9="biweekly",42&lt;=$D9,MOD(42-$C9,2)=0))),Flows!$C10,0))</f>
        <v/>
      </c>
      <c r="AV9" s="13">
        <f>IF(OR($A9="",Flows!$C10=""),0,IF(AND(43&lt;=Setup!$B$5,43&gt;=$C9,OR(AND($E9="once",43=$C9),AND($E9="weekly",43&lt;=$D9),AND($E9="biweekly",43&lt;=$D9,MOD(43-$C9,2)=0))),Flows!$C10,0))</f>
        <v/>
      </c>
      <c r="AW9" s="13">
        <f>IF(OR($A9="",Flows!$C10=""),0,IF(AND(44&lt;=Setup!$B$5,44&gt;=$C9,OR(AND($E9="once",44=$C9),AND($E9="weekly",44&lt;=$D9),AND($E9="biweekly",44&lt;=$D9,MOD(44-$C9,2)=0))),Flows!$C10,0))</f>
        <v/>
      </c>
      <c r="AX9" s="13">
        <f>IF(OR($A9="",Flows!$C10=""),0,IF(AND(45&lt;=Setup!$B$5,45&gt;=$C9,OR(AND($E9="once",45=$C9),AND($E9="weekly",45&lt;=$D9),AND($E9="biweekly",45&lt;=$D9,MOD(45-$C9,2)=0))),Flows!$C10,0))</f>
        <v/>
      </c>
      <c r="AY9" s="13">
        <f>IF(OR($A9="",Flows!$C10=""),0,IF(AND(46&lt;=Setup!$B$5,46&gt;=$C9,OR(AND($E9="once",46=$C9),AND($E9="weekly",46&lt;=$D9),AND($E9="biweekly",46&lt;=$D9,MOD(46-$C9,2)=0))),Flows!$C10,0))</f>
        <v/>
      </c>
      <c r="AZ9" s="13">
        <f>IF(OR($A9="",Flows!$C10=""),0,IF(AND(47&lt;=Setup!$B$5,47&gt;=$C9,OR(AND($E9="once",47=$C9),AND($E9="weekly",47&lt;=$D9),AND($E9="biweekly",47&lt;=$D9,MOD(47-$C9,2)=0))),Flows!$C10,0))</f>
        <v/>
      </c>
      <c r="BA9" s="13">
        <f>IF(OR($A9="",Flows!$C10=""),0,IF(AND(48&lt;=Setup!$B$5,48&gt;=$C9,OR(AND($E9="once",48=$C9),AND($E9="weekly",48&lt;=$D9),AND($E9="biweekly",48&lt;=$D9,MOD(48-$C9,2)=0))),Flows!$C10,0))</f>
        <v/>
      </c>
      <c r="BB9" s="13">
        <f>IF(OR($A9="",Flows!$C10=""),0,IF(AND(49&lt;=Setup!$B$5,49&gt;=$C9,OR(AND($E9="once",49=$C9),AND($E9="weekly",49&lt;=$D9),AND($E9="biweekly",49&lt;=$D9,MOD(49-$C9,2)=0))),Flows!$C10,0))</f>
        <v/>
      </c>
      <c r="BC9" s="13">
        <f>IF(OR($A9="",Flows!$C10=""),0,IF(AND(50&lt;=Setup!$B$5,50&gt;=$C9,OR(AND($E9="once",50=$C9),AND($E9="weekly",50&lt;=$D9),AND($E9="biweekly",50&lt;=$D9,MOD(50-$C9,2)=0))),Flows!$C10,0))</f>
        <v/>
      </c>
      <c r="BD9" s="13">
        <f>IF(OR($A9="",Flows!$C10=""),0,IF(AND(51&lt;=Setup!$B$5,51&gt;=$C9,OR(AND($E9="once",51=$C9),AND($E9="weekly",51&lt;=$D9),AND($E9="biweekly",51&lt;=$D9,MOD(51-$C9,2)=0))),Flows!$C10,0))</f>
        <v/>
      </c>
      <c r="BE9" s="13">
        <f>IF(OR($A9="",Flows!$C10=""),0,IF(AND(52&lt;=Setup!$B$5,52&gt;=$C9,OR(AND($E9="once",52=$C9),AND($E9="weekly",52&lt;=$D9),AND($E9="biweekly",52&lt;=$D9,MOD(52-$C9,2)=0))),Flows!$C10,0))</f>
        <v/>
      </c>
    </row>
    <row r="10">
      <c r="A10" s="7">
        <f>IF(Flows!A11="","",LOWER(Flows!A11))</f>
        <v/>
      </c>
      <c r="B10" s="7">
        <f>IF(Flows!B11="","",Flows!B11)</f>
        <v/>
      </c>
      <c r="C10" s="7">
        <f>N(Flows!D11)</f>
        <v/>
      </c>
      <c r="D10" s="7">
        <f>IF(Flows!F11="",Setup!$B$5,Flows!F11)</f>
        <v/>
      </c>
      <c r="E10" s="7">
        <f>IF(Flows!E11="","once",LOWER(Flows!E11))</f>
        <v/>
      </c>
      <c r="F10" s="13">
        <f>IF(OR($A10="",Flows!$C11=""),0,IF(AND(1&lt;=Setup!$B$5,1&gt;=$C10,OR(AND($E10="once",1=$C10),AND($E10="weekly",1&lt;=$D10),AND($E10="biweekly",1&lt;=$D10,MOD(1-$C10,2)=0))),Flows!$C11,0))</f>
        <v/>
      </c>
      <c r="G10" s="13">
        <f>IF(OR($A10="",Flows!$C11=""),0,IF(AND(2&lt;=Setup!$B$5,2&gt;=$C10,OR(AND($E10="once",2=$C10),AND($E10="weekly",2&lt;=$D10),AND($E10="biweekly",2&lt;=$D10,MOD(2-$C10,2)=0))),Flows!$C11,0))</f>
        <v/>
      </c>
      <c r="H10" s="13">
        <f>IF(OR($A10="",Flows!$C11=""),0,IF(AND(3&lt;=Setup!$B$5,3&gt;=$C10,OR(AND($E10="once",3=$C10),AND($E10="weekly",3&lt;=$D10),AND($E10="biweekly",3&lt;=$D10,MOD(3-$C10,2)=0))),Flows!$C11,0))</f>
        <v/>
      </c>
      <c r="I10" s="13">
        <f>IF(OR($A10="",Flows!$C11=""),0,IF(AND(4&lt;=Setup!$B$5,4&gt;=$C10,OR(AND($E10="once",4=$C10),AND($E10="weekly",4&lt;=$D10),AND($E10="biweekly",4&lt;=$D10,MOD(4-$C10,2)=0))),Flows!$C11,0))</f>
        <v/>
      </c>
      <c r="J10" s="13">
        <f>IF(OR($A10="",Flows!$C11=""),0,IF(AND(5&lt;=Setup!$B$5,5&gt;=$C10,OR(AND($E10="once",5=$C10),AND($E10="weekly",5&lt;=$D10),AND($E10="biweekly",5&lt;=$D10,MOD(5-$C10,2)=0))),Flows!$C11,0))</f>
        <v/>
      </c>
      <c r="K10" s="13">
        <f>IF(OR($A10="",Flows!$C11=""),0,IF(AND(6&lt;=Setup!$B$5,6&gt;=$C10,OR(AND($E10="once",6=$C10),AND($E10="weekly",6&lt;=$D10),AND($E10="biweekly",6&lt;=$D10,MOD(6-$C10,2)=0))),Flows!$C11,0))</f>
        <v/>
      </c>
      <c r="L10" s="13">
        <f>IF(OR($A10="",Flows!$C11=""),0,IF(AND(7&lt;=Setup!$B$5,7&gt;=$C10,OR(AND($E10="once",7=$C10),AND($E10="weekly",7&lt;=$D10),AND($E10="biweekly",7&lt;=$D10,MOD(7-$C10,2)=0))),Flows!$C11,0))</f>
        <v/>
      </c>
      <c r="M10" s="13">
        <f>IF(OR($A10="",Flows!$C11=""),0,IF(AND(8&lt;=Setup!$B$5,8&gt;=$C10,OR(AND($E10="once",8=$C10),AND($E10="weekly",8&lt;=$D10),AND($E10="biweekly",8&lt;=$D10,MOD(8-$C10,2)=0))),Flows!$C11,0))</f>
        <v/>
      </c>
      <c r="N10" s="13">
        <f>IF(OR($A10="",Flows!$C11=""),0,IF(AND(9&lt;=Setup!$B$5,9&gt;=$C10,OR(AND($E10="once",9=$C10),AND($E10="weekly",9&lt;=$D10),AND($E10="biweekly",9&lt;=$D10,MOD(9-$C10,2)=0))),Flows!$C11,0))</f>
        <v/>
      </c>
      <c r="O10" s="13">
        <f>IF(OR($A10="",Flows!$C11=""),0,IF(AND(10&lt;=Setup!$B$5,10&gt;=$C10,OR(AND($E10="once",10=$C10),AND($E10="weekly",10&lt;=$D10),AND($E10="biweekly",10&lt;=$D10,MOD(10-$C10,2)=0))),Flows!$C11,0))</f>
        <v/>
      </c>
      <c r="P10" s="13">
        <f>IF(OR($A10="",Flows!$C11=""),0,IF(AND(11&lt;=Setup!$B$5,11&gt;=$C10,OR(AND($E10="once",11=$C10),AND($E10="weekly",11&lt;=$D10),AND($E10="biweekly",11&lt;=$D10,MOD(11-$C10,2)=0))),Flows!$C11,0))</f>
        <v/>
      </c>
      <c r="Q10" s="13">
        <f>IF(OR($A10="",Flows!$C11=""),0,IF(AND(12&lt;=Setup!$B$5,12&gt;=$C10,OR(AND($E10="once",12=$C10),AND($E10="weekly",12&lt;=$D10),AND($E10="biweekly",12&lt;=$D10,MOD(12-$C10,2)=0))),Flows!$C11,0))</f>
        <v/>
      </c>
      <c r="R10" s="13">
        <f>IF(OR($A10="",Flows!$C11=""),0,IF(AND(13&lt;=Setup!$B$5,13&gt;=$C10,OR(AND($E10="once",13=$C10),AND($E10="weekly",13&lt;=$D10),AND($E10="biweekly",13&lt;=$D10,MOD(13-$C10,2)=0))),Flows!$C11,0))</f>
        <v/>
      </c>
      <c r="S10" s="13">
        <f>IF(OR($A10="",Flows!$C11=""),0,IF(AND(14&lt;=Setup!$B$5,14&gt;=$C10,OR(AND($E10="once",14=$C10),AND($E10="weekly",14&lt;=$D10),AND($E10="biweekly",14&lt;=$D10,MOD(14-$C10,2)=0))),Flows!$C11,0))</f>
        <v/>
      </c>
      <c r="T10" s="13">
        <f>IF(OR($A10="",Flows!$C11=""),0,IF(AND(15&lt;=Setup!$B$5,15&gt;=$C10,OR(AND($E10="once",15=$C10),AND($E10="weekly",15&lt;=$D10),AND($E10="biweekly",15&lt;=$D10,MOD(15-$C10,2)=0))),Flows!$C11,0))</f>
        <v/>
      </c>
      <c r="U10" s="13">
        <f>IF(OR($A10="",Flows!$C11=""),0,IF(AND(16&lt;=Setup!$B$5,16&gt;=$C10,OR(AND($E10="once",16=$C10),AND($E10="weekly",16&lt;=$D10),AND($E10="biweekly",16&lt;=$D10,MOD(16-$C10,2)=0))),Flows!$C11,0))</f>
        <v/>
      </c>
      <c r="V10" s="13">
        <f>IF(OR($A10="",Flows!$C11=""),0,IF(AND(17&lt;=Setup!$B$5,17&gt;=$C10,OR(AND($E10="once",17=$C10),AND($E10="weekly",17&lt;=$D10),AND($E10="biweekly",17&lt;=$D10,MOD(17-$C10,2)=0))),Flows!$C11,0))</f>
        <v/>
      </c>
      <c r="W10" s="13">
        <f>IF(OR($A10="",Flows!$C11=""),0,IF(AND(18&lt;=Setup!$B$5,18&gt;=$C10,OR(AND($E10="once",18=$C10),AND($E10="weekly",18&lt;=$D10),AND($E10="biweekly",18&lt;=$D10,MOD(18-$C10,2)=0))),Flows!$C11,0))</f>
        <v/>
      </c>
      <c r="X10" s="13">
        <f>IF(OR($A10="",Flows!$C11=""),0,IF(AND(19&lt;=Setup!$B$5,19&gt;=$C10,OR(AND($E10="once",19=$C10),AND($E10="weekly",19&lt;=$D10),AND($E10="biweekly",19&lt;=$D10,MOD(19-$C10,2)=0))),Flows!$C11,0))</f>
        <v/>
      </c>
      <c r="Y10" s="13">
        <f>IF(OR($A10="",Flows!$C11=""),0,IF(AND(20&lt;=Setup!$B$5,20&gt;=$C10,OR(AND($E10="once",20=$C10),AND($E10="weekly",20&lt;=$D10),AND($E10="biweekly",20&lt;=$D10,MOD(20-$C10,2)=0))),Flows!$C11,0))</f>
        <v/>
      </c>
      <c r="Z10" s="13">
        <f>IF(OR($A10="",Flows!$C11=""),0,IF(AND(21&lt;=Setup!$B$5,21&gt;=$C10,OR(AND($E10="once",21=$C10),AND($E10="weekly",21&lt;=$D10),AND($E10="biweekly",21&lt;=$D10,MOD(21-$C10,2)=0))),Flows!$C11,0))</f>
        <v/>
      </c>
      <c r="AA10" s="13">
        <f>IF(OR($A10="",Flows!$C11=""),0,IF(AND(22&lt;=Setup!$B$5,22&gt;=$C10,OR(AND($E10="once",22=$C10),AND($E10="weekly",22&lt;=$D10),AND($E10="biweekly",22&lt;=$D10,MOD(22-$C10,2)=0))),Flows!$C11,0))</f>
        <v/>
      </c>
      <c r="AB10" s="13">
        <f>IF(OR($A10="",Flows!$C11=""),0,IF(AND(23&lt;=Setup!$B$5,23&gt;=$C10,OR(AND($E10="once",23=$C10),AND($E10="weekly",23&lt;=$D10),AND($E10="biweekly",23&lt;=$D10,MOD(23-$C10,2)=0))),Flows!$C11,0))</f>
        <v/>
      </c>
      <c r="AC10" s="13">
        <f>IF(OR($A10="",Flows!$C11=""),0,IF(AND(24&lt;=Setup!$B$5,24&gt;=$C10,OR(AND($E10="once",24=$C10),AND($E10="weekly",24&lt;=$D10),AND($E10="biweekly",24&lt;=$D10,MOD(24-$C10,2)=0))),Flows!$C11,0))</f>
        <v/>
      </c>
      <c r="AD10" s="13">
        <f>IF(OR($A10="",Flows!$C11=""),0,IF(AND(25&lt;=Setup!$B$5,25&gt;=$C10,OR(AND($E10="once",25=$C10),AND($E10="weekly",25&lt;=$D10),AND($E10="biweekly",25&lt;=$D10,MOD(25-$C10,2)=0))),Flows!$C11,0))</f>
        <v/>
      </c>
      <c r="AE10" s="13">
        <f>IF(OR($A10="",Flows!$C11=""),0,IF(AND(26&lt;=Setup!$B$5,26&gt;=$C10,OR(AND($E10="once",26=$C10),AND($E10="weekly",26&lt;=$D10),AND($E10="biweekly",26&lt;=$D10,MOD(26-$C10,2)=0))),Flows!$C11,0))</f>
        <v/>
      </c>
      <c r="AF10" s="13">
        <f>IF(OR($A10="",Flows!$C11=""),0,IF(AND(27&lt;=Setup!$B$5,27&gt;=$C10,OR(AND($E10="once",27=$C10),AND($E10="weekly",27&lt;=$D10),AND($E10="biweekly",27&lt;=$D10,MOD(27-$C10,2)=0))),Flows!$C11,0))</f>
        <v/>
      </c>
      <c r="AG10" s="13">
        <f>IF(OR($A10="",Flows!$C11=""),0,IF(AND(28&lt;=Setup!$B$5,28&gt;=$C10,OR(AND($E10="once",28=$C10),AND($E10="weekly",28&lt;=$D10),AND($E10="biweekly",28&lt;=$D10,MOD(28-$C10,2)=0))),Flows!$C11,0))</f>
        <v/>
      </c>
      <c r="AH10" s="13">
        <f>IF(OR($A10="",Flows!$C11=""),0,IF(AND(29&lt;=Setup!$B$5,29&gt;=$C10,OR(AND($E10="once",29=$C10),AND($E10="weekly",29&lt;=$D10),AND($E10="biweekly",29&lt;=$D10,MOD(29-$C10,2)=0))),Flows!$C11,0))</f>
        <v/>
      </c>
      <c r="AI10" s="13">
        <f>IF(OR($A10="",Flows!$C11=""),0,IF(AND(30&lt;=Setup!$B$5,30&gt;=$C10,OR(AND($E10="once",30=$C10),AND($E10="weekly",30&lt;=$D10),AND($E10="biweekly",30&lt;=$D10,MOD(30-$C10,2)=0))),Flows!$C11,0))</f>
        <v/>
      </c>
      <c r="AJ10" s="13">
        <f>IF(OR($A10="",Flows!$C11=""),0,IF(AND(31&lt;=Setup!$B$5,31&gt;=$C10,OR(AND($E10="once",31=$C10),AND($E10="weekly",31&lt;=$D10),AND($E10="biweekly",31&lt;=$D10,MOD(31-$C10,2)=0))),Flows!$C11,0))</f>
        <v/>
      </c>
      <c r="AK10" s="13">
        <f>IF(OR($A10="",Flows!$C11=""),0,IF(AND(32&lt;=Setup!$B$5,32&gt;=$C10,OR(AND($E10="once",32=$C10),AND($E10="weekly",32&lt;=$D10),AND($E10="biweekly",32&lt;=$D10,MOD(32-$C10,2)=0))),Flows!$C11,0))</f>
        <v/>
      </c>
      <c r="AL10" s="13">
        <f>IF(OR($A10="",Flows!$C11=""),0,IF(AND(33&lt;=Setup!$B$5,33&gt;=$C10,OR(AND($E10="once",33=$C10),AND($E10="weekly",33&lt;=$D10),AND($E10="biweekly",33&lt;=$D10,MOD(33-$C10,2)=0))),Flows!$C11,0))</f>
        <v/>
      </c>
      <c r="AM10" s="13">
        <f>IF(OR($A10="",Flows!$C11=""),0,IF(AND(34&lt;=Setup!$B$5,34&gt;=$C10,OR(AND($E10="once",34=$C10),AND($E10="weekly",34&lt;=$D10),AND($E10="biweekly",34&lt;=$D10,MOD(34-$C10,2)=0))),Flows!$C11,0))</f>
        <v/>
      </c>
      <c r="AN10" s="13">
        <f>IF(OR($A10="",Flows!$C11=""),0,IF(AND(35&lt;=Setup!$B$5,35&gt;=$C10,OR(AND($E10="once",35=$C10),AND($E10="weekly",35&lt;=$D10),AND($E10="biweekly",35&lt;=$D10,MOD(35-$C10,2)=0))),Flows!$C11,0))</f>
        <v/>
      </c>
      <c r="AO10" s="13">
        <f>IF(OR($A10="",Flows!$C11=""),0,IF(AND(36&lt;=Setup!$B$5,36&gt;=$C10,OR(AND($E10="once",36=$C10),AND($E10="weekly",36&lt;=$D10),AND($E10="biweekly",36&lt;=$D10,MOD(36-$C10,2)=0))),Flows!$C11,0))</f>
        <v/>
      </c>
      <c r="AP10" s="13">
        <f>IF(OR($A10="",Flows!$C11=""),0,IF(AND(37&lt;=Setup!$B$5,37&gt;=$C10,OR(AND($E10="once",37=$C10),AND($E10="weekly",37&lt;=$D10),AND($E10="biweekly",37&lt;=$D10,MOD(37-$C10,2)=0))),Flows!$C11,0))</f>
        <v/>
      </c>
      <c r="AQ10" s="13">
        <f>IF(OR($A10="",Flows!$C11=""),0,IF(AND(38&lt;=Setup!$B$5,38&gt;=$C10,OR(AND($E10="once",38=$C10),AND($E10="weekly",38&lt;=$D10),AND($E10="biweekly",38&lt;=$D10,MOD(38-$C10,2)=0))),Flows!$C11,0))</f>
        <v/>
      </c>
      <c r="AR10" s="13">
        <f>IF(OR($A10="",Flows!$C11=""),0,IF(AND(39&lt;=Setup!$B$5,39&gt;=$C10,OR(AND($E10="once",39=$C10),AND($E10="weekly",39&lt;=$D10),AND($E10="biweekly",39&lt;=$D10,MOD(39-$C10,2)=0))),Flows!$C11,0))</f>
        <v/>
      </c>
      <c r="AS10" s="13">
        <f>IF(OR($A10="",Flows!$C11=""),0,IF(AND(40&lt;=Setup!$B$5,40&gt;=$C10,OR(AND($E10="once",40=$C10),AND($E10="weekly",40&lt;=$D10),AND($E10="biweekly",40&lt;=$D10,MOD(40-$C10,2)=0))),Flows!$C11,0))</f>
        <v/>
      </c>
      <c r="AT10" s="13">
        <f>IF(OR($A10="",Flows!$C11=""),0,IF(AND(41&lt;=Setup!$B$5,41&gt;=$C10,OR(AND($E10="once",41=$C10),AND($E10="weekly",41&lt;=$D10),AND($E10="biweekly",41&lt;=$D10,MOD(41-$C10,2)=0))),Flows!$C11,0))</f>
        <v/>
      </c>
      <c r="AU10" s="13">
        <f>IF(OR($A10="",Flows!$C11=""),0,IF(AND(42&lt;=Setup!$B$5,42&gt;=$C10,OR(AND($E10="once",42=$C10),AND($E10="weekly",42&lt;=$D10),AND($E10="biweekly",42&lt;=$D10,MOD(42-$C10,2)=0))),Flows!$C11,0))</f>
        <v/>
      </c>
      <c r="AV10" s="13">
        <f>IF(OR($A10="",Flows!$C11=""),0,IF(AND(43&lt;=Setup!$B$5,43&gt;=$C10,OR(AND($E10="once",43=$C10),AND($E10="weekly",43&lt;=$D10),AND($E10="biweekly",43&lt;=$D10,MOD(43-$C10,2)=0))),Flows!$C11,0))</f>
        <v/>
      </c>
      <c r="AW10" s="13">
        <f>IF(OR($A10="",Flows!$C11=""),0,IF(AND(44&lt;=Setup!$B$5,44&gt;=$C10,OR(AND($E10="once",44=$C10),AND($E10="weekly",44&lt;=$D10),AND($E10="biweekly",44&lt;=$D10,MOD(44-$C10,2)=0))),Flows!$C11,0))</f>
        <v/>
      </c>
      <c r="AX10" s="13">
        <f>IF(OR($A10="",Flows!$C11=""),0,IF(AND(45&lt;=Setup!$B$5,45&gt;=$C10,OR(AND($E10="once",45=$C10),AND($E10="weekly",45&lt;=$D10),AND($E10="biweekly",45&lt;=$D10,MOD(45-$C10,2)=0))),Flows!$C11,0))</f>
        <v/>
      </c>
      <c r="AY10" s="13">
        <f>IF(OR($A10="",Flows!$C11=""),0,IF(AND(46&lt;=Setup!$B$5,46&gt;=$C10,OR(AND($E10="once",46=$C10),AND($E10="weekly",46&lt;=$D10),AND($E10="biweekly",46&lt;=$D10,MOD(46-$C10,2)=0))),Flows!$C11,0))</f>
        <v/>
      </c>
      <c r="AZ10" s="13">
        <f>IF(OR($A10="",Flows!$C11=""),0,IF(AND(47&lt;=Setup!$B$5,47&gt;=$C10,OR(AND($E10="once",47=$C10),AND($E10="weekly",47&lt;=$D10),AND($E10="biweekly",47&lt;=$D10,MOD(47-$C10,2)=0))),Flows!$C11,0))</f>
        <v/>
      </c>
      <c r="BA10" s="13">
        <f>IF(OR($A10="",Flows!$C11=""),0,IF(AND(48&lt;=Setup!$B$5,48&gt;=$C10,OR(AND($E10="once",48=$C10),AND($E10="weekly",48&lt;=$D10),AND($E10="biweekly",48&lt;=$D10,MOD(48-$C10,2)=0))),Flows!$C11,0))</f>
        <v/>
      </c>
      <c r="BB10" s="13">
        <f>IF(OR($A10="",Flows!$C11=""),0,IF(AND(49&lt;=Setup!$B$5,49&gt;=$C10,OR(AND($E10="once",49=$C10),AND($E10="weekly",49&lt;=$D10),AND($E10="biweekly",49&lt;=$D10,MOD(49-$C10,2)=0))),Flows!$C11,0))</f>
        <v/>
      </c>
      <c r="BC10" s="13">
        <f>IF(OR($A10="",Flows!$C11=""),0,IF(AND(50&lt;=Setup!$B$5,50&gt;=$C10,OR(AND($E10="once",50=$C10),AND($E10="weekly",50&lt;=$D10),AND($E10="biweekly",50&lt;=$D10,MOD(50-$C10,2)=0))),Flows!$C11,0))</f>
        <v/>
      </c>
      <c r="BD10" s="13">
        <f>IF(OR($A10="",Flows!$C11=""),0,IF(AND(51&lt;=Setup!$B$5,51&gt;=$C10,OR(AND($E10="once",51=$C10),AND($E10="weekly",51&lt;=$D10),AND($E10="biweekly",51&lt;=$D10,MOD(51-$C10,2)=0))),Flows!$C11,0))</f>
        <v/>
      </c>
      <c r="BE10" s="13">
        <f>IF(OR($A10="",Flows!$C11=""),0,IF(AND(52&lt;=Setup!$B$5,52&gt;=$C10,OR(AND($E10="once",52=$C10),AND($E10="weekly",52&lt;=$D10),AND($E10="biweekly",52&lt;=$D10,MOD(52-$C10,2)=0))),Flows!$C11,0))</f>
        <v/>
      </c>
    </row>
    <row r="11">
      <c r="A11" s="7">
        <f>IF(Flows!A12="","",LOWER(Flows!A12))</f>
        <v/>
      </c>
      <c r="B11" s="7">
        <f>IF(Flows!B12="","",Flows!B12)</f>
        <v/>
      </c>
      <c r="C11" s="7">
        <f>N(Flows!D12)</f>
        <v/>
      </c>
      <c r="D11" s="7">
        <f>IF(Flows!F12="",Setup!$B$5,Flows!F12)</f>
        <v/>
      </c>
      <c r="E11" s="7">
        <f>IF(Flows!E12="","once",LOWER(Flows!E12))</f>
        <v/>
      </c>
      <c r="F11" s="13">
        <f>IF(OR($A11="",Flows!$C12=""),0,IF(AND(1&lt;=Setup!$B$5,1&gt;=$C11,OR(AND($E11="once",1=$C11),AND($E11="weekly",1&lt;=$D11),AND($E11="biweekly",1&lt;=$D11,MOD(1-$C11,2)=0))),Flows!$C12,0))</f>
        <v/>
      </c>
      <c r="G11" s="13">
        <f>IF(OR($A11="",Flows!$C12=""),0,IF(AND(2&lt;=Setup!$B$5,2&gt;=$C11,OR(AND($E11="once",2=$C11),AND($E11="weekly",2&lt;=$D11),AND($E11="biweekly",2&lt;=$D11,MOD(2-$C11,2)=0))),Flows!$C12,0))</f>
        <v/>
      </c>
      <c r="H11" s="13">
        <f>IF(OR($A11="",Flows!$C12=""),0,IF(AND(3&lt;=Setup!$B$5,3&gt;=$C11,OR(AND($E11="once",3=$C11),AND($E11="weekly",3&lt;=$D11),AND($E11="biweekly",3&lt;=$D11,MOD(3-$C11,2)=0))),Flows!$C12,0))</f>
        <v/>
      </c>
      <c r="I11" s="13">
        <f>IF(OR($A11="",Flows!$C12=""),0,IF(AND(4&lt;=Setup!$B$5,4&gt;=$C11,OR(AND($E11="once",4=$C11),AND($E11="weekly",4&lt;=$D11),AND($E11="biweekly",4&lt;=$D11,MOD(4-$C11,2)=0))),Flows!$C12,0))</f>
        <v/>
      </c>
      <c r="J11" s="13">
        <f>IF(OR($A11="",Flows!$C12=""),0,IF(AND(5&lt;=Setup!$B$5,5&gt;=$C11,OR(AND($E11="once",5=$C11),AND($E11="weekly",5&lt;=$D11),AND($E11="biweekly",5&lt;=$D11,MOD(5-$C11,2)=0))),Flows!$C12,0))</f>
        <v/>
      </c>
      <c r="K11" s="13">
        <f>IF(OR($A11="",Flows!$C12=""),0,IF(AND(6&lt;=Setup!$B$5,6&gt;=$C11,OR(AND($E11="once",6=$C11),AND($E11="weekly",6&lt;=$D11),AND($E11="biweekly",6&lt;=$D11,MOD(6-$C11,2)=0))),Flows!$C12,0))</f>
        <v/>
      </c>
      <c r="L11" s="13">
        <f>IF(OR($A11="",Flows!$C12=""),0,IF(AND(7&lt;=Setup!$B$5,7&gt;=$C11,OR(AND($E11="once",7=$C11),AND($E11="weekly",7&lt;=$D11),AND($E11="biweekly",7&lt;=$D11,MOD(7-$C11,2)=0))),Flows!$C12,0))</f>
        <v/>
      </c>
      <c r="M11" s="13">
        <f>IF(OR($A11="",Flows!$C12=""),0,IF(AND(8&lt;=Setup!$B$5,8&gt;=$C11,OR(AND($E11="once",8=$C11),AND($E11="weekly",8&lt;=$D11),AND($E11="biweekly",8&lt;=$D11,MOD(8-$C11,2)=0))),Flows!$C12,0))</f>
        <v/>
      </c>
      <c r="N11" s="13">
        <f>IF(OR($A11="",Flows!$C12=""),0,IF(AND(9&lt;=Setup!$B$5,9&gt;=$C11,OR(AND($E11="once",9=$C11),AND($E11="weekly",9&lt;=$D11),AND($E11="biweekly",9&lt;=$D11,MOD(9-$C11,2)=0))),Flows!$C12,0))</f>
        <v/>
      </c>
      <c r="O11" s="13">
        <f>IF(OR($A11="",Flows!$C12=""),0,IF(AND(10&lt;=Setup!$B$5,10&gt;=$C11,OR(AND($E11="once",10=$C11),AND($E11="weekly",10&lt;=$D11),AND($E11="biweekly",10&lt;=$D11,MOD(10-$C11,2)=0))),Flows!$C12,0))</f>
        <v/>
      </c>
      <c r="P11" s="13">
        <f>IF(OR($A11="",Flows!$C12=""),0,IF(AND(11&lt;=Setup!$B$5,11&gt;=$C11,OR(AND($E11="once",11=$C11),AND($E11="weekly",11&lt;=$D11),AND($E11="biweekly",11&lt;=$D11,MOD(11-$C11,2)=0))),Flows!$C12,0))</f>
        <v/>
      </c>
      <c r="Q11" s="13">
        <f>IF(OR($A11="",Flows!$C12=""),0,IF(AND(12&lt;=Setup!$B$5,12&gt;=$C11,OR(AND($E11="once",12=$C11),AND($E11="weekly",12&lt;=$D11),AND($E11="biweekly",12&lt;=$D11,MOD(12-$C11,2)=0))),Flows!$C12,0))</f>
        <v/>
      </c>
      <c r="R11" s="13">
        <f>IF(OR($A11="",Flows!$C12=""),0,IF(AND(13&lt;=Setup!$B$5,13&gt;=$C11,OR(AND($E11="once",13=$C11),AND($E11="weekly",13&lt;=$D11),AND($E11="biweekly",13&lt;=$D11,MOD(13-$C11,2)=0))),Flows!$C12,0))</f>
        <v/>
      </c>
      <c r="S11" s="13">
        <f>IF(OR($A11="",Flows!$C12=""),0,IF(AND(14&lt;=Setup!$B$5,14&gt;=$C11,OR(AND($E11="once",14=$C11),AND($E11="weekly",14&lt;=$D11),AND($E11="biweekly",14&lt;=$D11,MOD(14-$C11,2)=0))),Flows!$C12,0))</f>
        <v/>
      </c>
      <c r="T11" s="13">
        <f>IF(OR($A11="",Flows!$C12=""),0,IF(AND(15&lt;=Setup!$B$5,15&gt;=$C11,OR(AND($E11="once",15=$C11),AND($E11="weekly",15&lt;=$D11),AND($E11="biweekly",15&lt;=$D11,MOD(15-$C11,2)=0))),Flows!$C12,0))</f>
        <v/>
      </c>
      <c r="U11" s="13">
        <f>IF(OR($A11="",Flows!$C12=""),0,IF(AND(16&lt;=Setup!$B$5,16&gt;=$C11,OR(AND($E11="once",16=$C11),AND($E11="weekly",16&lt;=$D11),AND($E11="biweekly",16&lt;=$D11,MOD(16-$C11,2)=0))),Flows!$C12,0))</f>
        <v/>
      </c>
      <c r="V11" s="13">
        <f>IF(OR($A11="",Flows!$C12=""),0,IF(AND(17&lt;=Setup!$B$5,17&gt;=$C11,OR(AND($E11="once",17=$C11),AND($E11="weekly",17&lt;=$D11),AND($E11="biweekly",17&lt;=$D11,MOD(17-$C11,2)=0))),Flows!$C12,0))</f>
        <v/>
      </c>
      <c r="W11" s="13">
        <f>IF(OR($A11="",Flows!$C12=""),0,IF(AND(18&lt;=Setup!$B$5,18&gt;=$C11,OR(AND($E11="once",18=$C11),AND($E11="weekly",18&lt;=$D11),AND($E11="biweekly",18&lt;=$D11,MOD(18-$C11,2)=0))),Flows!$C12,0))</f>
        <v/>
      </c>
      <c r="X11" s="13">
        <f>IF(OR($A11="",Flows!$C12=""),0,IF(AND(19&lt;=Setup!$B$5,19&gt;=$C11,OR(AND($E11="once",19=$C11),AND($E11="weekly",19&lt;=$D11),AND($E11="biweekly",19&lt;=$D11,MOD(19-$C11,2)=0))),Flows!$C12,0))</f>
        <v/>
      </c>
      <c r="Y11" s="13">
        <f>IF(OR($A11="",Flows!$C12=""),0,IF(AND(20&lt;=Setup!$B$5,20&gt;=$C11,OR(AND($E11="once",20=$C11),AND($E11="weekly",20&lt;=$D11),AND($E11="biweekly",20&lt;=$D11,MOD(20-$C11,2)=0))),Flows!$C12,0))</f>
        <v/>
      </c>
      <c r="Z11" s="13">
        <f>IF(OR($A11="",Flows!$C12=""),0,IF(AND(21&lt;=Setup!$B$5,21&gt;=$C11,OR(AND($E11="once",21=$C11),AND($E11="weekly",21&lt;=$D11),AND($E11="biweekly",21&lt;=$D11,MOD(21-$C11,2)=0))),Flows!$C12,0))</f>
        <v/>
      </c>
      <c r="AA11" s="13">
        <f>IF(OR($A11="",Flows!$C12=""),0,IF(AND(22&lt;=Setup!$B$5,22&gt;=$C11,OR(AND($E11="once",22=$C11),AND($E11="weekly",22&lt;=$D11),AND($E11="biweekly",22&lt;=$D11,MOD(22-$C11,2)=0))),Flows!$C12,0))</f>
        <v/>
      </c>
      <c r="AB11" s="13">
        <f>IF(OR($A11="",Flows!$C12=""),0,IF(AND(23&lt;=Setup!$B$5,23&gt;=$C11,OR(AND($E11="once",23=$C11),AND($E11="weekly",23&lt;=$D11),AND($E11="biweekly",23&lt;=$D11,MOD(23-$C11,2)=0))),Flows!$C12,0))</f>
        <v/>
      </c>
      <c r="AC11" s="13">
        <f>IF(OR($A11="",Flows!$C12=""),0,IF(AND(24&lt;=Setup!$B$5,24&gt;=$C11,OR(AND($E11="once",24=$C11),AND($E11="weekly",24&lt;=$D11),AND($E11="biweekly",24&lt;=$D11,MOD(24-$C11,2)=0))),Flows!$C12,0))</f>
        <v/>
      </c>
      <c r="AD11" s="13">
        <f>IF(OR($A11="",Flows!$C12=""),0,IF(AND(25&lt;=Setup!$B$5,25&gt;=$C11,OR(AND($E11="once",25=$C11),AND($E11="weekly",25&lt;=$D11),AND($E11="biweekly",25&lt;=$D11,MOD(25-$C11,2)=0))),Flows!$C12,0))</f>
        <v/>
      </c>
      <c r="AE11" s="13">
        <f>IF(OR($A11="",Flows!$C12=""),0,IF(AND(26&lt;=Setup!$B$5,26&gt;=$C11,OR(AND($E11="once",26=$C11),AND($E11="weekly",26&lt;=$D11),AND($E11="biweekly",26&lt;=$D11,MOD(26-$C11,2)=0))),Flows!$C12,0))</f>
        <v/>
      </c>
      <c r="AF11" s="13">
        <f>IF(OR($A11="",Flows!$C12=""),0,IF(AND(27&lt;=Setup!$B$5,27&gt;=$C11,OR(AND($E11="once",27=$C11),AND($E11="weekly",27&lt;=$D11),AND($E11="biweekly",27&lt;=$D11,MOD(27-$C11,2)=0))),Flows!$C12,0))</f>
        <v/>
      </c>
      <c r="AG11" s="13">
        <f>IF(OR($A11="",Flows!$C12=""),0,IF(AND(28&lt;=Setup!$B$5,28&gt;=$C11,OR(AND($E11="once",28=$C11),AND($E11="weekly",28&lt;=$D11),AND($E11="biweekly",28&lt;=$D11,MOD(28-$C11,2)=0))),Flows!$C12,0))</f>
        <v/>
      </c>
      <c r="AH11" s="13">
        <f>IF(OR($A11="",Flows!$C12=""),0,IF(AND(29&lt;=Setup!$B$5,29&gt;=$C11,OR(AND($E11="once",29=$C11),AND($E11="weekly",29&lt;=$D11),AND($E11="biweekly",29&lt;=$D11,MOD(29-$C11,2)=0))),Flows!$C12,0))</f>
        <v/>
      </c>
      <c r="AI11" s="13">
        <f>IF(OR($A11="",Flows!$C12=""),0,IF(AND(30&lt;=Setup!$B$5,30&gt;=$C11,OR(AND($E11="once",30=$C11),AND($E11="weekly",30&lt;=$D11),AND($E11="biweekly",30&lt;=$D11,MOD(30-$C11,2)=0))),Flows!$C12,0))</f>
        <v/>
      </c>
      <c r="AJ11" s="13">
        <f>IF(OR($A11="",Flows!$C12=""),0,IF(AND(31&lt;=Setup!$B$5,31&gt;=$C11,OR(AND($E11="once",31=$C11),AND($E11="weekly",31&lt;=$D11),AND($E11="biweekly",31&lt;=$D11,MOD(31-$C11,2)=0))),Flows!$C12,0))</f>
        <v/>
      </c>
      <c r="AK11" s="13">
        <f>IF(OR($A11="",Flows!$C12=""),0,IF(AND(32&lt;=Setup!$B$5,32&gt;=$C11,OR(AND($E11="once",32=$C11),AND($E11="weekly",32&lt;=$D11),AND($E11="biweekly",32&lt;=$D11,MOD(32-$C11,2)=0))),Flows!$C12,0))</f>
        <v/>
      </c>
      <c r="AL11" s="13">
        <f>IF(OR($A11="",Flows!$C12=""),0,IF(AND(33&lt;=Setup!$B$5,33&gt;=$C11,OR(AND($E11="once",33=$C11),AND($E11="weekly",33&lt;=$D11),AND($E11="biweekly",33&lt;=$D11,MOD(33-$C11,2)=0))),Flows!$C12,0))</f>
        <v/>
      </c>
      <c r="AM11" s="13">
        <f>IF(OR($A11="",Flows!$C12=""),0,IF(AND(34&lt;=Setup!$B$5,34&gt;=$C11,OR(AND($E11="once",34=$C11),AND($E11="weekly",34&lt;=$D11),AND($E11="biweekly",34&lt;=$D11,MOD(34-$C11,2)=0))),Flows!$C12,0))</f>
        <v/>
      </c>
      <c r="AN11" s="13">
        <f>IF(OR($A11="",Flows!$C12=""),0,IF(AND(35&lt;=Setup!$B$5,35&gt;=$C11,OR(AND($E11="once",35=$C11),AND($E11="weekly",35&lt;=$D11),AND($E11="biweekly",35&lt;=$D11,MOD(35-$C11,2)=0))),Flows!$C12,0))</f>
        <v/>
      </c>
      <c r="AO11" s="13">
        <f>IF(OR($A11="",Flows!$C12=""),0,IF(AND(36&lt;=Setup!$B$5,36&gt;=$C11,OR(AND($E11="once",36=$C11),AND($E11="weekly",36&lt;=$D11),AND($E11="biweekly",36&lt;=$D11,MOD(36-$C11,2)=0))),Flows!$C12,0))</f>
        <v/>
      </c>
      <c r="AP11" s="13">
        <f>IF(OR($A11="",Flows!$C12=""),0,IF(AND(37&lt;=Setup!$B$5,37&gt;=$C11,OR(AND($E11="once",37=$C11),AND($E11="weekly",37&lt;=$D11),AND($E11="biweekly",37&lt;=$D11,MOD(37-$C11,2)=0))),Flows!$C12,0))</f>
        <v/>
      </c>
      <c r="AQ11" s="13">
        <f>IF(OR($A11="",Flows!$C12=""),0,IF(AND(38&lt;=Setup!$B$5,38&gt;=$C11,OR(AND($E11="once",38=$C11),AND($E11="weekly",38&lt;=$D11),AND($E11="biweekly",38&lt;=$D11,MOD(38-$C11,2)=0))),Flows!$C12,0))</f>
        <v/>
      </c>
      <c r="AR11" s="13">
        <f>IF(OR($A11="",Flows!$C12=""),0,IF(AND(39&lt;=Setup!$B$5,39&gt;=$C11,OR(AND($E11="once",39=$C11),AND($E11="weekly",39&lt;=$D11),AND($E11="biweekly",39&lt;=$D11,MOD(39-$C11,2)=0))),Flows!$C12,0))</f>
        <v/>
      </c>
      <c r="AS11" s="13">
        <f>IF(OR($A11="",Flows!$C12=""),0,IF(AND(40&lt;=Setup!$B$5,40&gt;=$C11,OR(AND($E11="once",40=$C11),AND($E11="weekly",40&lt;=$D11),AND($E11="biweekly",40&lt;=$D11,MOD(40-$C11,2)=0))),Flows!$C12,0))</f>
        <v/>
      </c>
      <c r="AT11" s="13">
        <f>IF(OR($A11="",Flows!$C12=""),0,IF(AND(41&lt;=Setup!$B$5,41&gt;=$C11,OR(AND($E11="once",41=$C11),AND($E11="weekly",41&lt;=$D11),AND($E11="biweekly",41&lt;=$D11,MOD(41-$C11,2)=0))),Flows!$C12,0))</f>
        <v/>
      </c>
      <c r="AU11" s="13">
        <f>IF(OR($A11="",Flows!$C12=""),0,IF(AND(42&lt;=Setup!$B$5,42&gt;=$C11,OR(AND($E11="once",42=$C11),AND($E11="weekly",42&lt;=$D11),AND($E11="biweekly",42&lt;=$D11,MOD(42-$C11,2)=0))),Flows!$C12,0))</f>
        <v/>
      </c>
      <c r="AV11" s="13">
        <f>IF(OR($A11="",Flows!$C12=""),0,IF(AND(43&lt;=Setup!$B$5,43&gt;=$C11,OR(AND($E11="once",43=$C11),AND($E11="weekly",43&lt;=$D11),AND($E11="biweekly",43&lt;=$D11,MOD(43-$C11,2)=0))),Flows!$C12,0))</f>
        <v/>
      </c>
      <c r="AW11" s="13">
        <f>IF(OR($A11="",Flows!$C12=""),0,IF(AND(44&lt;=Setup!$B$5,44&gt;=$C11,OR(AND($E11="once",44=$C11),AND($E11="weekly",44&lt;=$D11),AND($E11="biweekly",44&lt;=$D11,MOD(44-$C11,2)=0))),Flows!$C12,0))</f>
        <v/>
      </c>
      <c r="AX11" s="13">
        <f>IF(OR($A11="",Flows!$C12=""),0,IF(AND(45&lt;=Setup!$B$5,45&gt;=$C11,OR(AND($E11="once",45=$C11),AND($E11="weekly",45&lt;=$D11),AND($E11="biweekly",45&lt;=$D11,MOD(45-$C11,2)=0))),Flows!$C12,0))</f>
        <v/>
      </c>
      <c r="AY11" s="13">
        <f>IF(OR($A11="",Flows!$C12=""),0,IF(AND(46&lt;=Setup!$B$5,46&gt;=$C11,OR(AND($E11="once",46=$C11),AND($E11="weekly",46&lt;=$D11),AND($E11="biweekly",46&lt;=$D11,MOD(46-$C11,2)=0))),Flows!$C12,0))</f>
        <v/>
      </c>
      <c r="AZ11" s="13">
        <f>IF(OR($A11="",Flows!$C12=""),0,IF(AND(47&lt;=Setup!$B$5,47&gt;=$C11,OR(AND($E11="once",47=$C11),AND($E11="weekly",47&lt;=$D11),AND($E11="biweekly",47&lt;=$D11,MOD(47-$C11,2)=0))),Flows!$C12,0))</f>
        <v/>
      </c>
      <c r="BA11" s="13">
        <f>IF(OR($A11="",Flows!$C12=""),0,IF(AND(48&lt;=Setup!$B$5,48&gt;=$C11,OR(AND($E11="once",48=$C11),AND($E11="weekly",48&lt;=$D11),AND($E11="biweekly",48&lt;=$D11,MOD(48-$C11,2)=0))),Flows!$C12,0))</f>
        <v/>
      </c>
      <c r="BB11" s="13">
        <f>IF(OR($A11="",Flows!$C12=""),0,IF(AND(49&lt;=Setup!$B$5,49&gt;=$C11,OR(AND($E11="once",49=$C11),AND($E11="weekly",49&lt;=$D11),AND($E11="biweekly",49&lt;=$D11,MOD(49-$C11,2)=0))),Flows!$C12,0))</f>
        <v/>
      </c>
      <c r="BC11" s="13">
        <f>IF(OR($A11="",Flows!$C12=""),0,IF(AND(50&lt;=Setup!$B$5,50&gt;=$C11,OR(AND($E11="once",50=$C11),AND($E11="weekly",50&lt;=$D11),AND($E11="biweekly",50&lt;=$D11,MOD(50-$C11,2)=0))),Flows!$C12,0))</f>
        <v/>
      </c>
      <c r="BD11" s="13">
        <f>IF(OR($A11="",Flows!$C12=""),0,IF(AND(51&lt;=Setup!$B$5,51&gt;=$C11,OR(AND($E11="once",51=$C11),AND($E11="weekly",51&lt;=$D11),AND($E11="biweekly",51&lt;=$D11,MOD(51-$C11,2)=0))),Flows!$C12,0))</f>
        <v/>
      </c>
      <c r="BE11" s="13">
        <f>IF(OR($A11="",Flows!$C12=""),0,IF(AND(52&lt;=Setup!$B$5,52&gt;=$C11,OR(AND($E11="once",52=$C11),AND($E11="weekly",52&lt;=$D11),AND($E11="biweekly",52&lt;=$D11,MOD(52-$C11,2)=0))),Flows!$C12,0))</f>
        <v/>
      </c>
    </row>
    <row r="12">
      <c r="A12" s="7">
        <f>IF(Flows!A13="","",LOWER(Flows!A13))</f>
        <v/>
      </c>
      <c r="B12" s="7">
        <f>IF(Flows!B13="","",Flows!B13)</f>
        <v/>
      </c>
      <c r="C12" s="7">
        <f>N(Flows!D13)</f>
        <v/>
      </c>
      <c r="D12" s="7">
        <f>IF(Flows!F13="",Setup!$B$5,Flows!F13)</f>
        <v/>
      </c>
      <c r="E12" s="7">
        <f>IF(Flows!E13="","once",LOWER(Flows!E13))</f>
        <v/>
      </c>
      <c r="F12" s="13">
        <f>IF(OR($A12="",Flows!$C13=""),0,IF(AND(1&lt;=Setup!$B$5,1&gt;=$C12,OR(AND($E12="once",1=$C12),AND($E12="weekly",1&lt;=$D12),AND($E12="biweekly",1&lt;=$D12,MOD(1-$C12,2)=0))),Flows!$C13,0))</f>
        <v/>
      </c>
      <c r="G12" s="13">
        <f>IF(OR($A12="",Flows!$C13=""),0,IF(AND(2&lt;=Setup!$B$5,2&gt;=$C12,OR(AND($E12="once",2=$C12),AND($E12="weekly",2&lt;=$D12),AND($E12="biweekly",2&lt;=$D12,MOD(2-$C12,2)=0))),Flows!$C13,0))</f>
        <v/>
      </c>
      <c r="H12" s="13">
        <f>IF(OR($A12="",Flows!$C13=""),0,IF(AND(3&lt;=Setup!$B$5,3&gt;=$C12,OR(AND($E12="once",3=$C12),AND($E12="weekly",3&lt;=$D12),AND($E12="biweekly",3&lt;=$D12,MOD(3-$C12,2)=0))),Flows!$C13,0))</f>
        <v/>
      </c>
      <c r="I12" s="13">
        <f>IF(OR($A12="",Flows!$C13=""),0,IF(AND(4&lt;=Setup!$B$5,4&gt;=$C12,OR(AND($E12="once",4=$C12),AND($E12="weekly",4&lt;=$D12),AND($E12="biweekly",4&lt;=$D12,MOD(4-$C12,2)=0))),Flows!$C13,0))</f>
        <v/>
      </c>
      <c r="J12" s="13">
        <f>IF(OR($A12="",Flows!$C13=""),0,IF(AND(5&lt;=Setup!$B$5,5&gt;=$C12,OR(AND($E12="once",5=$C12),AND($E12="weekly",5&lt;=$D12),AND($E12="biweekly",5&lt;=$D12,MOD(5-$C12,2)=0))),Flows!$C13,0))</f>
        <v/>
      </c>
      <c r="K12" s="13">
        <f>IF(OR($A12="",Flows!$C13=""),0,IF(AND(6&lt;=Setup!$B$5,6&gt;=$C12,OR(AND($E12="once",6=$C12),AND($E12="weekly",6&lt;=$D12),AND($E12="biweekly",6&lt;=$D12,MOD(6-$C12,2)=0))),Flows!$C13,0))</f>
        <v/>
      </c>
      <c r="L12" s="13">
        <f>IF(OR($A12="",Flows!$C13=""),0,IF(AND(7&lt;=Setup!$B$5,7&gt;=$C12,OR(AND($E12="once",7=$C12),AND($E12="weekly",7&lt;=$D12),AND($E12="biweekly",7&lt;=$D12,MOD(7-$C12,2)=0))),Flows!$C13,0))</f>
        <v/>
      </c>
      <c r="M12" s="13">
        <f>IF(OR($A12="",Flows!$C13=""),0,IF(AND(8&lt;=Setup!$B$5,8&gt;=$C12,OR(AND($E12="once",8=$C12),AND($E12="weekly",8&lt;=$D12),AND($E12="biweekly",8&lt;=$D12,MOD(8-$C12,2)=0))),Flows!$C13,0))</f>
        <v/>
      </c>
      <c r="N12" s="13">
        <f>IF(OR($A12="",Flows!$C13=""),0,IF(AND(9&lt;=Setup!$B$5,9&gt;=$C12,OR(AND($E12="once",9=$C12),AND($E12="weekly",9&lt;=$D12),AND($E12="biweekly",9&lt;=$D12,MOD(9-$C12,2)=0))),Flows!$C13,0))</f>
        <v/>
      </c>
      <c r="O12" s="13">
        <f>IF(OR($A12="",Flows!$C13=""),0,IF(AND(10&lt;=Setup!$B$5,10&gt;=$C12,OR(AND($E12="once",10=$C12),AND($E12="weekly",10&lt;=$D12),AND($E12="biweekly",10&lt;=$D12,MOD(10-$C12,2)=0))),Flows!$C13,0))</f>
        <v/>
      </c>
      <c r="P12" s="13">
        <f>IF(OR($A12="",Flows!$C13=""),0,IF(AND(11&lt;=Setup!$B$5,11&gt;=$C12,OR(AND($E12="once",11=$C12),AND($E12="weekly",11&lt;=$D12),AND($E12="biweekly",11&lt;=$D12,MOD(11-$C12,2)=0))),Flows!$C13,0))</f>
        <v/>
      </c>
      <c r="Q12" s="13">
        <f>IF(OR($A12="",Flows!$C13=""),0,IF(AND(12&lt;=Setup!$B$5,12&gt;=$C12,OR(AND($E12="once",12=$C12),AND($E12="weekly",12&lt;=$D12),AND($E12="biweekly",12&lt;=$D12,MOD(12-$C12,2)=0))),Flows!$C13,0))</f>
        <v/>
      </c>
      <c r="R12" s="13">
        <f>IF(OR($A12="",Flows!$C13=""),0,IF(AND(13&lt;=Setup!$B$5,13&gt;=$C12,OR(AND($E12="once",13=$C12),AND($E12="weekly",13&lt;=$D12),AND($E12="biweekly",13&lt;=$D12,MOD(13-$C12,2)=0))),Flows!$C13,0))</f>
        <v/>
      </c>
      <c r="S12" s="13">
        <f>IF(OR($A12="",Flows!$C13=""),0,IF(AND(14&lt;=Setup!$B$5,14&gt;=$C12,OR(AND($E12="once",14=$C12),AND($E12="weekly",14&lt;=$D12),AND($E12="biweekly",14&lt;=$D12,MOD(14-$C12,2)=0))),Flows!$C13,0))</f>
        <v/>
      </c>
      <c r="T12" s="13">
        <f>IF(OR($A12="",Flows!$C13=""),0,IF(AND(15&lt;=Setup!$B$5,15&gt;=$C12,OR(AND($E12="once",15=$C12),AND($E12="weekly",15&lt;=$D12),AND($E12="biweekly",15&lt;=$D12,MOD(15-$C12,2)=0))),Flows!$C13,0))</f>
        <v/>
      </c>
      <c r="U12" s="13">
        <f>IF(OR($A12="",Flows!$C13=""),0,IF(AND(16&lt;=Setup!$B$5,16&gt;=$C12,OR(AND($E12="once",16=$C12),AND($E12="weekly",16&lt;=$D12),AND($E12="biweekly",16&lt;=$D12,MOD(16-$C12,2)=0))),Flows!$C13,0))</f>
        <v/>
      </c>
      <c r="V12" s="13">
        <f>IF(OR($A12="",Flows!$C13=""),0,IF(AND(17&lt;=Setup!$B$5,17&gt;=$C12,OR(AND($E12="once",17=$C12),AND($E12="weekly",17&lt;=$D12),AND($E12="biweekly",17&lt;=$D12,MOD(17-$C12,2)=0))),Flows!$C13,0))</f>
        <v/>
      </c>
      <c r="W12" s="13">
        <f>IF(OR($A12="",Flows!$C13=""),0,IF(AND(18&lt;=Setup!$B$5,18&gt;=$C12,OR(AND($E12="once",18=$C12),AND($E12="weekly",18&lt;=$D12),AND($E12="biweekly",18&lt;=$D12,MOD(18-$C12,2)=0))),Flows!$C13,0))</f>
        <v/>
      </c>
      <c r="X12" s="13">
        <f>IF(OR($A12="",Flows!$C13=""),0,IF(AND(19&lt;=Setup!$B$5,19&gt;=$C12,OR(AND($E12="once",19=$C12),AND($E12="weekly",19&lt;=$D12),AND($E12="biweekly",19&lt;=$D12,MOD(19-$C12,2)=0))),Flows!$C13,0))</f>
        <v/>
      </c>
      <c r="Y12" s="13">
        <f>IF(OR($A12="",Flows!$C13=""),0,IF(AND(20&lt;=Setup!$B$5,20&gt;=$C12,OR(AND($E12="once",20=$C12),AND($E12="weekly",20&lt;=$D12),AND($E12="biweekly",20&lt;=$D12,MOD(20-$C12,2)=0))),Flows!$C13,0))</f>
        <v/>
      </c>
      <c r="Z12" s="13">
        <f>IF(OR($A12="",Flows!$C13=""),0,IF(AND(21&lt;=Setup!$B$5,21&gt;=$C12,OR(AND($E12="once",21=$C12),AND($E12="weekly",21&lt;=$D12),AND($E12="biweekly",21&lt;=$D12,MOD(21-$C12,2)=0))),Flows!$C13,0))</f>
        <v/>
      </c>
      <c r="AA12" s="13">
        <f>IF(OR($A12="",Flows!$C13=""),0,IF(AND(22&lt;=Setup!$B$5,22&gt;=$C12,OR(AND($E12="once",22=$C12),AND($E12="weekly",22&lt;=$D12),AND($E12="biweekly",22&lt;=$D12,MOD(22-$C12,2)=0))),Flows!$C13,0))</f>
        <v/>
      </c>
      <c r="AB12" s="13">
        <f>IF(OR($A12="",Flows!$C13=""),0,IF(AND(23&lt;=Setup!$B$5,23&gt;=$C12,OR(AND($E12="once",23=$C12),AND($E12="weekly",23&lt;=$D12),AND($E12="biweekly",23&lt;=$D12,MOD(23-$C12,2)=0))),Flows!$C13,0))</f>
        <v/>
      </c>
      <c r="AC12" s="13">
        <f>IF(OR($A12="",Flows!$C13=""),0,IF(AND(24&lt;=Setup!$B$5,24&gt;=$C12,OR(AND($E12="once",24=$C12),AND($E12="weekly",24&lt;=$D12),AND($E12="biweekly",24&lt;=$D12,MOD(24-$C12,2)=0))),Flows!$C13,0))</f>
        <v/>
      </c>
      <c r="AD12" s="13">
        <f>IF(OR($A12="",Flows!$C13=""),0,IF(AND(25&lt;=Setup!$B$5,25&gt;=$C12,OR(AND($E12="once",25=$C12),AND($E12="weekly",25&lt;=$D12),AND($E12="biweekly",25&lt;=$D12,MOD(25-$C12,2)=0))),Flows!$C13,0))</f>
        <v/>
      </c>
      <c r="AE12" s="13">
        <f>IF(OR($A12="",Flows!$C13=""),0,IF(AND(26&lt;=Setup!$B$5,26&gt;=$C12,OR(AND($E12="once",26=$C12),AND($E12="weekly",26&lt;=$D12),AND($E12="biweekly",26&lt;=$D12,MOD(26-$C12,2)=0))),Flows!$C13,0))</f>
        <v/>
      </c>
      <c r="AF12" s="13">
        <f>IF(OR($A12="",Flows!$C13=""),0,IF(AND(27&lt;=Setup!$B$5,27&gt;=$C12,OR(AND($E12="once",27=$C12),AND($E12="weekly",27&lt;=$D12),AND($E12="biweekly",27&lt;=$D12,MOD(27-$C12,2)=0))),Flows!$C13,0))</f>
        <v/>
      </c>
      <c r="AG12" s="13">
        <f>IF(OR($A12="",Flows!$C13=""),0,IF(AND(28&lt;=Setup!$B$5,28&gt;=$C12,OR(AND($E12="once",28=$C12),AND($E12="weekly",28&lt;=$D12),AND($E12="biweekly",28&lt;=$D12,MOD(28-$C12,2)=0))),Flows!$C13,0))</f>
        <v/>
      </c>
      <c r="AH12" s="13">
        <f>IF(OR($A12="",Flows!$C13=""),0,IF(AND(29&lt;=Setup!$B$5,29&gt;=$C12,OR(AND($E12="once",29=$C12),AND($E12="weekly",29&lt;=$D12),AND($E12="biweekly",29&lt;=$D12,MOD(29-$C12,2)=0))),Flows!$C13,0))</f>
        <v/>
      </c>
      <c r="AI12" s="13">
        <f>IF(OR($A12="",Flows!$C13=""),0,IF(AND(30&lt;=Setup!$B$5,30&gt;=$C12,OR(AND($E12="once",30=$C12),AND($E12="weekly",30&lt;=$D12),AND($E12="biweekly",30&lt;=$D12,MOD(30-$C12,2)=0))),Flows!$C13,0))</f>
        <v/>
      </c>
      <c r="AJ12" s="13">
        <f>IF(OR($A12="",Flows!$C13=""),0,IF(AND(31&lt;=Setup!$B$5,31&gt;=$C12,OR(AND($E12="once",31=$C12),AND($E12="weekly",31&lt;=$D12),AND($E12="biweekly",31&lt;=$D12,MOD(31-$C12,2)=0))),Flows!$C13,0))</f>
        <v/>
      </c>
      <c r="AK12" s="13">
        <f>IF(OR($A12="",Flows!$C13=""),0,IF(AND(32&lt;=Setup!$B$5,32&gt;=$C12,OR(AND($E12="once",32=$C12),AND($E12="weekly",32&lt;=$D12),AND($E12="biweekly",32&lt;=$D12,MOD(32-$C12,2)=0))),Flows!$C13,0))</f>
        <v/>
      </c>
      <c r="AL12" s="13">
        <f>IF(OR($A12="",Flows!$C13=""),0,IF(AND(33&lt;=Setup!$B$5,33&gt;=$C12,OR(AND($E12="once",33=$C12),AND($E12="weekly",33&lt;=$D12),AND($E12="biweekly",33&lt;=$D12,MOD(33-$C12,2)=0))),Flows!$C13,0))</f>
        <v/>
      </c>
      <c r="AM12" s="13">
        <f>IF(OR($A12="",Flows!$C13=""),0,IF(AND(34&lt;=Setup!$B$5,34&gt;=$C12,OR(AND($E12="once",34=$C12),AND($E12="weekly",34&lt;=$D12),AND($E12="biweekly",34&lt;=$D12,MOD(34-$C12,2)=0))),Flows!$C13,0))</f>
        <v/>
      </c>
      <c r="AN12" s="13">
        <f>IF(OR($A12="",Flows!$C13=""),0,IF(AND(35&lt;=Setup!$B$5,35&gt;=$C12,OR(AND($E12="once",35=$C12),AND($E12="weekly",35&lt;=$D12),AND($E12="biweekly",35&lt;=$D12,MOD(35-$C12,2)=0))),Flows!$C13,0))</f>
        <v/>
      </c>
      <c r="AO12" s="13">
        <f>IF(OR($A12="",Flows!$C13=""),0,IF(AND(36&lt;=Setup!$B$5,36&gt;=$C12,OR(AND($E12="once",36=$C12),AND($E12="weekly",36&lt;=$D12),AND($E12="biweekly",36&lt;=$D12,MOD(36-$C12,2)=0))),Flows!$C13,0))</f>
        <v/>
      </c>
      <c r="AP12" s="13">
        <f>IF(OR($A12="",Flows!$C13=""),0,IF(AND(37&lt;=Setup!$B$5,37&gt;=$C12,OR(AND($E12="once",37=$C12),AND($E12="weekly",37&lt;=$D12),AND($E12="biweekly",37&lt;=$D12,MOD(37-$C12,2)=0))),Flows!$C13,0))</f>
        <v/>
      </c>
      <c r="AQ12" s="13">
        <f>IF(OR($A12="",Flows!$C13=""),0,IF(AND(38&lt;=Setup!$B$5,38&gt;=$C12,OR(AND($E12="once",38=$C12),AND($E12="weekly",38&lt;=$D12),AND($E12="biweekly",38&lt;=$D12,MOD(38-$C12,2)=0))),Flows!$C13,0))</f>
        <v/>
      </c>
      <c r="AR12" s="13">
        <f>IF(OR($A12="",Flows!$C13=""),0,IF(AND(39&lt;=Setup!$B$5,39&gt;=$C12,OR(AND($E12="once",39=$C12),AND($E12="weekly",39&lt;=$D12),AND($E12="biweekly",39&lt;=$D12,MOD(39-$C12,2)=0))),Flows!$C13,0))</f>
        <v/>
      </c>
      <c r="AS12" s="13">
        <f>IF(OR($A12="",Flows!$C13=""),0,IF(AND(40&lt;=Setup!$B$5,40&gt;=$C12,OR(AND($E12="once",40=$C12),AND($E12="weekly",40&lt;=$D12),AND($E12="biweekly",40&lt;=$D12,MOD(40-$C12,2)=0))),Flows!$C13,0))</f>
        <v/>
      </c>
      <c r="AT12" s="13">
        <f>IF(OR($A12="",Flows!$C13=""),0,IF(AND(41&lt;=Setup!$B$5,41&gt;=$C12,OR(AND($E12="once",41=$C12),AND($E12="weekly",41&lt;=$D12),AND($E12="biweekly",41&lt;=$D12,MOD(41-$C12,2)=0))),Flows!$C13,0))</f>
        <v/>
      </c>
      <c r="AU12" s="13">
        <f>IF(OR($A12="",Flows!$C13=""),0,IF(AND(42&lt;=Setup!$B$5,42&gt;=$C12,OR(AND($E12="once",42=$C12),AND($E12="weekly",42&lt;=$D12),AND($E12="biweekly",42&lt;=$D12,MOD(42-$C12,2)=0))),Flows!$C13,0))</f>
        <v/>
      </c>
      <c r="AV12" s="13">
        <f>IF(OR($A12="",Flows!$C13=""),0,IF(AND(43&lt;=Setup!$B$5,43&gt;=$C12,OR(AND($E12="once",43=$C12),AND($E12="weekly",43&lt;=$D12),AND($E12="biweekly",43&lt;=$D12,MOD(43-$C12,2)=0))),Flows!$C13,0))</f>
        <v/>
      </c>
      <c r="AW12" s="13">
        <f>IF(OR($A12="",Flows!$C13=""),0,IF(AND(44&lt;=Setup!$B$5,44&gt;=$C12,OR(AND($E12="once",44=$C12),AND($E12="weekly",44&lt;=$D12),AND($E12="biweekly",44&lt;=$D12,MOD(44-$C12,2)=0))),Flows!$C13,0))</f>
        <v/>
      </c>
      <c r="AX12" s="13">
        <f>IF(OR($A12="",Flows!$C13=""),0,IF(AND(45&lt;=Setup!$B$5,45&gt;=$C12,OR(AND($E12="once",45=$C12),AND($E12="weekly",45&lt;=$D12),AND($E12="biweekly",45&lt;=$D12,MOD(45-$C12,2)=0))),Flows!$C13,0))</f>
        <v/>
      </c>
      <c r="AY12" s="13">
        <f>IF(OR($A12="",Flows!$C13=""),0,IF(AND(46&lt;=Setup!$B$5,46&gt;=$C12,OR(AND($E12="once",46=$C12),AND($E12="weekly",46&lt;=$D12),AND($E12="biweekly",46&lt;=$D12,MOD(46-$C12,2)=0))),Flows!$C13,0))</f>
        <v/>
      </c>
      <c r="AZ12" s="13">
        <f>IF(OR($A12="",Flows!$C13=""),0,IF(AND(47&lt;=Setup!$B$5,47&gt;=$C12,OR(AND($E12="once",47=$C12),AND($E12="weekly",47&lt;=$D12),AND($E12="biweekly",47&lt;=$D12,MOD(47-$C12,2)=0))),Flows!$C13,0))</f>
        <v/>
      </c>
      <c r="BA12" s="13">
        <f>IF(OR($A12="",Flows!$C13=""),0,IF(AND(48&lt;=Setup!$B$5,48&gt;=$C12,OR(AND($E12="once",48=$C12),AND($E12="weekly",48&lt;=$D12),AND($E12="biweekly",48&lt;=$D12,MOD(48-$C12,2)=0))),Flows!$C13,0))</f>
        <v/>
      </c>
      <c r="BB12" s="13">
        <f>IF(OR($A12="",Flows!$C13=""),0,IF(AND(49&lt;=Setup!$B$5,49&gt;=$C12,OR(AND($E12="once",49=$C12),AND($E12="weekly",49&lt;=$D12),AND($E12="biweekly",49&lt;=$D12,MOD(49-$C12,2)=0))),Flows!$C13,0))</f>
        <v/>
      </c>
      <c r="BC12" s="13">
        <f>IF(OR($A12="",Flows!$C13=""),0,IF(AND(50&lt;=Setup!$B$5,50&gt;=$C12,OR(AND($E12="once",50=$C12),AND($E12="weekly",50&lt;=$D12),AND($E12="biweekly",50&lt;=$D12,MOD(50-$C12,2)=0))),Flows!$C13,0))</f>
        <v/>
      </c>
      <c r="BD12" s="13">
        <f>IF(OR($A12="",Flows!$C13=""),0,IF(AND(51&lt;=Setup!$B$5,51&gt;=$C12,OR(AND($E12="once",51=$C12),AND($E12="weekly",51&lt;=$D12),AND($E12="biweekly",51&lt;=$D12,MOD(51-$C12,2)=0))),Flows!$C13,0))</f>
        <v/>
      </c>
      <c r="BE12" s="13">
        <f>IF(OR($A12="",Flows!$C13=""),0,IF(AND(52&lt;=Setup!$B$5,52&gt;=$C12,OR(AND($E12="once",52=$C12),AND($E12="weekly",52&lt;=$D12),AND($E12="biweekly",52&lt;=$D12,MOD(52-$C12,2)=0))),Flows!$C13,0))</f>
        <v/>
      </c>
    </row>
    <row r="13">
      <c r="A13" s="7">
        <f>IF(Flows!A14="","",LOWER(Flows!A14))</f>
        <v/>
      </c>
      <c r="B13" s="7">
        <f>IF(Flows!B14="","",Flows!B14)</f>
        <v/>
      </c>
      <c r="C13" s="7">
        <f>N(Flows!D14)</f>
        <v/>
      </c>
      <c r="D13" s="7">
        <f>IF(Flows!F14="",Setup!$B$5,Flows!F14)</f>
        <v/>
      </c>
      <c r="E13" s="7">
        <f>IF(Flows!E14="","once",LOWER(Flows!E14))</f>
        <v/>
      </c>
      <c r="F13" s="13">
        <f>IF(OR($A13="",Flows!$C14=""),0,IF(AND(1&lt;=Setup!$B$5,1&gt;=$C13,OR(AND($E13="once",1=$C13),AND($E13="weekly",1&lt;=$D13),AND($E13="biweekly",1&lt;=$D13,MOD(1-$C13,2)=0))),Flows!$C14,0))</f>
        <v/>
      </c>
      <c r="G13" s="13">
        <f>IF(OR($A13="",Flows!$C14=""),0,IF(AND(2&lt;=Setup!$B$5,2&gt;=$C13,OR(AND($E13="once",2=$C13),AND($E13="weekly",2&lt;=$D13),AND($E13="biweekly",2&lt;=$D13,MOD(2-$C13,2)=0))),Flows!$C14,0))</f>
        <v/>
      </c>
      <c r="H13" s="13">
        <f>IF(OR($A13="",Flows!$C14=""),0,IF(AND(3&lt;=Setup!$B$5,3&gt;=$C13,OR(AND($E13="once",3=$C13),AND($E13="weekly",3&lt;=$D13),AND($E13="biweekly",3&lt;=$D13,MOD(3-$C13,2)=0))),Flows!$C14,0))</f>
        <v/>
      </c>
      <c r="I13" s="13">
        <f>IF(OR($A13="",Flows!$C14=""),0,IF(AND(4&lt;=Setup!$B$5,4&gt;=$C13,OR(AND($E13="once",4=$C13),AND($E13="weekly",4&lt;=$D13),AND($E13="biweekly",4&lt;=$D13,MOD(4-$C13,2)=0))),Flows!$C14,0))</f>
        <v/>
      </c>
      <c r="J13" s="13">
        <f>IF(OR($A13="",Flows!$C14=""),0,IF(AND(5&lt;=Setup!$B$5,5&gt;=$C13,OR(AND($E13="once",5=$C13),AND($E13="weekly",5&lt;=$D13),AND($E13="biweekly",5&lt;=$D13,MOD(5-$C13,2)=0))),Flows!$C14,0))</f>
        <v/>
      </c>
      <c r="K13" s="13">
        <f>IF(OR($A13="",Flows!$C14=""),0,IF(AND(6&lt;=Setup!$B$5,6&gt;=$C13,OR(AND($E13="once",6=$C13),AND($E13="weekly",6&lt;=$D13),AND($E13="biweekly",6&lt;=$D13,MOD(6-$C13,2)=0))),Flows!$C14,0))</f>
        <v/>
      </c>
      <c r="L13" s="13">
        <f>IF(OR($A13="",Flows!$C14=""),0,IF(AND(7&lt;=Setup!$B$5,7&gt;=$C13,OR(AND($E13="once",7=$C13),AND($E13="weekly",7&lt;=$D13),AND($E13="biweekly",7&lt;=$D13,MOD(7-$C13,2)=0))),Flows!$C14,0))</f>
        <v/>
      </c>
      <c r="M13" s="13">
        <f>IF(OR($A13="",Flows!$C14=""),0,IF(AND(8&lt;=Setup!$B$5,8&gt;=$C13,OR(AND($E13="once",8=$C13),AND($E13="weekly",8&lt;=$D13),AND($E13="biweekly",8&lt;=$D13,MOD(8-$C13,2)=0))),Flows!$C14,0))</f>
        <v/>
      </c>
      <c r="N13" s="13">
        <f>IF(OR($A13="",Flows!$C14=""),0,IF(AND(9&lt;=Setup!$B$5,9&gt;=$C13,OR(AND($E13="once",9=$C13),AND($E13="weekly",9&lt;=$D13),AND($E13="biweekly",9&lt;=$D13,MOD(9-$C13,2)=0))),Flows!$C14,0))</f>
        <v/>
      </c>
      <c r="O13" s="13">
        <f>IF(OR($A13="",Flows!$C14=""),0,IF(AND(10&lt;=Setup!$B$5,10&gt;=$C13,OR(AND($E13="once",10=$C13),AND($E13="weekly",10&lt;=$D13),AND($E13="biweekly",10&lt;=$D13,MOD(10-$C13,2)=0))),Flows!$C14,0))</f>
        <v/>
      </c>
      <c r="P13" s="13">
        <f>IF(OR($A13="",Flows!$C14=""),0,IF(AND(11&lt;=Setup!$B$5,11&gt;=$C13,OR(AND($E13="once",11=$C13),AND($E13="weekly",11&lt;=$D13),AND($E13="biweekly",11&lt;=$D13,MOD(11-$C13,2)=0))),Flows!$C14,0))</f>
        <v/>
      </c>
      <c r="Q13" s="13">
        <f>IF(OR($A13="",Flows!$C14=""),0,IF(AND(12&lt;=Setup!$B$5,12&gt;=$C13,OR(AND($E13="once",12=$C13),AND($E13="weekly",12&lt;=$D13),AND($E13="biweekly",12&lt;=$D13,MOD(12-$C13,2)=0))),Flows!$C14,0))</f>
        <v/>
      </c>
      <c r="R13" s="13">
        <f>IF(OR($A13="",Flows!$C14=""),0,IF(AND(13&lt;=Setup!$B$5,13&gt;=$C13,OR(AND($E13="once",13=$C13),AND($E13="weekly",13&lt;=$D13),AND($E13="biweekly",13&lt;=$D13,MOD(13-$C13,2)=0))),Flows!$C14,0))</f>
        <v/>
      </c>
      <c r="S13" s="13">
        <f>IF(OR($A13="",Flows!$C14=""),0,IF(AND(14&lt;=Setup!$B$5,14&gt;=$C13,OR(AND($E13="once",14=$C13),AND($E13="weekly",14&lt;=$D13),AND($E13="biweekly",14&lt;=$D13,MOD(14-$C13,2)=0))),Flows!$C14,0))</f>
        <v/>
      </c>
      <c r="T13" s="13">
        <f>IF(OR($A13="",Flows!$C14=""),0,IF(AND(15&lt;=Setup!$B$5,15&gt;=$C13,OR(AND($E13="once",15=$C13),AND($E13="weekly",15&lt;=$D13),AND($E13="biweekly",15&lt;=$D13,MOD(15-$C13,2)=0))),Flows!$C14,0))</f>
        <v/>
      </c>
      <c r="U13" s="13">
        <f>IF(OR($A13="",Flows!$C14=""),0,IF(AND(16&lt;=Setup!$B$5,16&gt;=$C13,OR(AND($E13="once",16=$C13),AND($E13="weekly",16&lt;=$D13),AND($E13="biweekly",16&lt;=$D13,MOD(16-$C13,2)=0))),Flows!$C14,0))</f>
        <v/>
      </c>
      <c r="V13" s="13">
        <f>IF(OR($A13="",Flows!$C14=""),0,IF(AND(17&lt;=Setup!$B$5,17&gt;=$C13,OR(AND($E13="once",17=$C13),AND($E13="weekly",17&lt;=$D13),AND($E13="biweekly",17&lt;=$D13,MOD(17-$C13,2)=0))),Flows!$C14,0))</f>
        <v/>
      </c>
      <c r="W13" s="13">
        <f>IF(OR($A13="",Flows!$C14=""),0,IF(AND(18&lt;=Setup!$B$5,18&gt;=$C13,OR(AND($E13="once",18=$C13),AND($E13="weekly",18&lt;=$D13),AND($E13="biweekly",18&lt;=$D13,MOD(18-$C13,2)=0))),Flows!$C14,0))</f>
        <v/>
      </c>
      <c r="X13" s="13">
        <f>IF(OR($A13="",Flows!$C14=""),0,IF(AND(19&lt;=Setup!$B$5,19&gt;=$C13,OR(AND($E13="once",19=$C13),AND($E13="weekly",19&lt;=$D13),AND($E13="biweekly",19&lt;=$D13,MOD(19-$C13,2)=0))),Flows!$C14,0))</f>
        <v/>
      </c>
      <c r="Y13" s="13">
        <f>IF(OR($A13="",Flows!$C14=""),0,IF(AND(20&lt;=Setup!$B$5,20&gt;=$C13,OR(AND($E13="once",20=$C13),AND($E13="weekly",20&lt;=$D13),AND($E13="biweekly",20&lt;=$D13,MOD(20-$C13,2)=0))),Flows!$C14,0))</f>
        <v/>
      </c>
      <c r="Z13" s="13">
        <f>IF(OR($A13="",Flows!$C14=""),0,IF(AND(21&lt;=Setup!$B$5,21&gt;=$C13,OR(AND($E13="once",21=$C13),AND($E13="weekly",21&lt;=$D13),AND($E13="biweekly",21&lt;=$D13,MOD(21-$C13,2)=0))),Flows!$C14,0))</f>
        <v/>
      </c>
      <c r="AA13" s="13">
        <f>IF(OR($A13="",Flows!$C14=""),0,IF(AND(22&lt;=Setup!$B$5,22&gt;=$C13,OR(AND($E13="once",22=$C13),AND($E13="weekly",22&lt;=$D13),AND($E13="biweekly",22&lt;=$D13,MOD(22-$C13,2)=0))),Flows!$C14,0))</f>
        <v/>
      </c>
      <c r="AB13" s="13">
        <f>IF(OR($A13="",Flows!$C14=""),0,IF(AND(23&lt;=Setup!$B$5,23&gt;=$C13,OR(AND($E13="once",23=$C13),AND($E13="weekly",23&lt;=$D13),AND($E13="biweekly",23&lt;=$D13,MOD(23-$C13,2)=0))),Flows!$C14,0))</f>
        <v/>
      </c>
      <c r="AC13" s="13">
        <f>IF(OR($A13="",Flows!$C14=""),0,IF(AND(24&lt;=Setup!$B$5,24&gt;=$C13,OR(AND($E13="once",24=$C13),AND($E13="weekly",24&lt;=$D13),AND($E13="biweekly",24&lt;=$D13,MOD(24-$C13,2)=0))),Flows!$C14,0))</f>
        <v/>
      </c>
      <c r="AD13" s="13">
        <f>IF(OR($A13="",Flows!$C14=""),0,IF(AND(25&lt;=Setup!$B$5,25&gt;=$C13,OR(AND($E13="once",25=$C13),AND($E13="weekly",25&lt;=$D13),AND($E13="biweekly",25&lt;=$D13,MOD(25-$C13,2)=0))),Flows!$C14,0))</f>
        <v/>
      </c>
      <c r="AE13" s="13">
        <f>IF(OR($A13="",Flows!$C14=""),0,IF(AND(26&lt;=Setup!$B$5,26&gt;=$C13,OR(AND($E13="once",26=$C13),AND($E13="weekly",26&lt;=$D13),AND($E13="biweekly",26&lt;=$D13,MOD(26-$C13,2)=0))),Flows!$C14,0))</f>
        <v/>
      </c>
      <c r="AF13" s="13">
        <f>IF(OR($A13="",Flows!$C14=""),0,IF(AND(27&lt;=Setup!$B$5,27&gt;=$C13,OR(AND($E13="once",27=$C13),AND($E13="weekly",27&lt;=$D13),AND($E13="biweekly",27&lt;=$D13,MOD(27-$C13,2)=0))),Flows!$C14,0))</f>
        <v/>
      </c>
      <c r="AG13" s="13">
        <f>IF(OR($A13="",Flows!$C14=""),0,IF(AND(28&lt;=Setup!$B$5,28&gt;=$C13,OR(AND($E13="once",28=$C13),AND($E13="weekly",28&lt;=$D13),AND($E13="biweekly",28&lt;=$D13,MOD(28-$C13,2)=0))),Flows!$C14,0))</f>
        <v/>
      </c>
      <c r="AH13" s="13">
        <f>IF(OR($A13="",Flows!$C14=""),0,IF(AND(29&lt;=Setup!$B$5,29&gt;=$C13,OR(AND($E13="once",29=$C13),AND($E13="weekly",29&lt;=$D13),AND($E13="biweekly",29&lt;=$D13,MOD(29-$C13,2)=0))),Flows!$C14,0))</f>
        <v/>
      </c>
      <c r="AI13" s="13">
        <f>IF(OR($A13="",Flows!$C14=""),0,IF(AND(30&lt;=Setup!$B$5,30&gt;=$C13,OR(AND($E13="once",30=$C13),AND($E13="weekly",30&lt;=$D13),AND($E13="biweekly",30&lt;=$D13,MOD(30-$C13,2)=0))),Flows!$C14,0))</f>
        <v/>
      </c>
      <c r="AJ13" s="13">
        <f>IF(OR($A13="",Flows!$C14=""),0,IF(AND(31&lt;=Setup!$B$5,31&gt;=$C13,OR(AND($E13="once",31=$C13),AND($E13="weekly",31&lt;=$D13),AND($E13="biweekly",31&lt;=$D13,MOD(31-$C13,2)=0))),Flows!$C14,0))</f>
        <v/>
      </c>
      <c r="AK13" s="13">
        <f>IF(OR($A13="",Flows!$C14=""),0,IF(AND(32&lt;=Setup!$B$5,32&gt;=$C13,OR(AND($E13="once",32=$C13),AND($E13="weekly",32&lt;=$D13),AND($E13="biweekly",32&lt;=$D13,MOD(32-$C13,2)=0))),Flows!$C14,0))</f>
        <v/>
      </c>
      <c r="AL13" s="13">
        <f>IF(OR($A13="",Flows!$C14=""),0,IF(AND(33&lt;=Setup!$B$5,33&gt;=$C13,OR(AND($E13="once",33=$C13),AND($E13="weekly",33&lt;=$D13),AND($E13="biweekly",33&lt;=$D13,MOD(33-$C13,2)=0))),Flows!$C14,0))</f>
        <v/>
      </c>
      <c r="AM13" s="13">
        <f>IF(OR($A13="",Flows!$C14=""),0,IF(AND(34&lt;=Setup!$B$5,34&gt;=$C13,OR(AND($E13="once",34=$C13),AND($E13="weekly",34&lt;=$D13),AND($E13="biweekly",34&lt;=$D13,MOD(34-$C13,2)=0))),Flows!$C14,0))</f>
        <v/>
      </c>
      <c r="AN13" s="13">
        <f>IF(OR($A13="",Flows!$C14=""),0,IF(AND(35&lt;=Setup!$B$5,35&gt;=$C13,OR(AND($E13="once",35=$C13),AND($E13="weekly",35&lt;=$D13),AND($E13="biweekly",35&lt;=$D13,MOD(35-$C13,2)=0))),Flows!$C14,0))</f>
        <v/>
      </c>
      <c r="AO13" s="13">
        <f>IF(OR($A13="",Flows!$C14=""),0,IF(AND(36&lt;=Setup!$B$5,36&gt;=$C13,OR(AND($E13="once",36=$C13),AND($E13="weekly",36&lt;=$D13),AND($E13="biweekly",36&lt;=$D13,MOD(36-$C13,2)=0))),Flows!$C14,0))</f>
        <v/>
      </c>
      <c r="AP13" s="13">
        <f>IF(OR($A13="",Flows!$C14=""),0,IF(AND(37&lt;=Setup!$B$5,37&gt;=$C13,OR(AND($E13="once",37=$C13),AND($E13="weekly",37&lt;=$D13),AND($E13="biweekly",37&lt;=$D13,MOD(37-$C13,2)=0))),Flows!$C14,0))</f>
        <v/>
      </c>
      <c r="AQ13" s="13">
        <f>IF(OR($A13="",Flows!$C14=""),0,IF(AND(38&lt;=Setup!$B$5,38&gt;=$C13,OR(AND($E13="once",38=$C13),AND($E13="weekly",38&lt;=$D13),AND($E13="biweekly",38&lt;=$D13,MOD(38-$C13,2)=0))),Flows!$C14,0))</f>
        <v/>
      </c>
      <c r="AR13" s="13">
        <f>IF(OR($A13="",Flows!$C14=""),0,IF(AND(39&lt;=Setup!$B$5,39&gt;=$C13,OR(AND($E13="once",39=$C13),AND($E13="weekly",39&lt;=$D13),AND($E13="biweekly",39&lt;=$D13,MOD(39-$C13,2)=0))),Flows!$C14,0))</f>
        <v/>
      </c>
      <c r="AS13" s="13">
        <f>IF(OR($A13="",Flows!$C14=""),0,IF(AND(40&lt;=Setup!$B$5,40&gt;=$C13,OR(AND($E13="once",40=$C13),AND($E13="weekly",40&lt;=$D13),AND($E13="biweekly",40&lt;=$D13,MOD(40-$C13,2)=0))),Flows!$C14,0))</f>
        <v/>
      </c>
      <c r="AT13" s="13">
        <f>IF(OR($A13="",Flows!$C14=""),0,IF(AND(41&lt;=Setup!$B$5,41&gt;=$C13,OR(AND($E13="once",41=$C13),AND($E13="weekly",41&lt;=$D13),AND($E13="biweekly",41&lt;=$D13,MOD(41-$C13,2)=0))),Flows!$C14,0))</f>
        <v/>
      </c>
      <c r="AU13" s="13">
        <f>IF(OR($A13="",Flows!$C14=""),0,IF(AND(42&lt;=Setup!$B$5,42&gt;=$C13,OR(AND($E13="once",42=$C13),AND($E13="weekly",42&lt;=$D13),AND($E13="biweekly",42&lt;=$D13,MOD(42-$C13,2)=0))),Flows!$C14,0))</f>
        <v/>
      </c>
      <c r="AV13" s="13">
        <f>IF(OR($A13="",Flows!$C14=""),0,IF(AND(43&lt;=Setup!$B$5,43&gt;=$C13,OR(AND($E13="once",43=$C13),AND($E13="weekly",43&lt;=$D13),AND($E13="biweekly",43&lt;=$D13,MOD(43-$C13,2)=0))),Flows!$C14,0))</f>
        <v/>
      </c>
      <c r="AW13" s="13">
        <f>IF(OR($A13="",Flows!$C14=""),0,IF(AND(44&lt;=Setup!$B$5,44&gt;=$C13,OR(AND($E13="once",44=$C13),AND($E13="weekly",44&lt;=$D13),AND($E13="biweekly",44&lt;=$D13,MOD(44-$C13,2)=0))),Flows!$C14,0))</f>
        <v/>
      </c>
      <c r="AX13" s="13">
        <f>IF(OR($A13="",Flows!$C14=""),0,IF(AND(45&lt;=Setup!$B$5,45&gt;=$C13,OR(AND($E13="once",45=$C13),AND($E13="weekly",45&lt;=$D13),AND($E13="biweekly",45&lt;=$D13,MOD(45-$C13,2)=0))),Flows!$C14,0))</f>
        <v/>
      </c>
      <c r="AY13" s="13">
        <f>IF(OR($A13="",Flows!$C14=""),0,IF(AND(46&lt;=Setup!$B$5,46&gt;=$C13,OR(AND($E13="once",46=$C13),AND($E13="weekly",46&lt;=$D13),AND($E13="biweekly",46&lt;=$D13,MOD(46-$C13,2)=0))),Flows!$C14,0))</f>
        <v/>
      </c>
      <c r="AZ13" s="13">
        <f>IF(OR($A13="",Flows!$C14=""),0,IF(AND(47&lt;=Setup!$B$5,47&gt;=$C13,OR(AND($E13="once",47=$C13),AND($E13="weekly",47&lt;=$D13),AND($E13="biweekly",47&lt;=$D13,MOD(47-$C13,2)=0))),Flows!$C14,0))</f>
        <v/>
      </c>
      <c r="BA13" s="13">
        <f>IF(OR($A13="",Flows!$C14=""),0,IF(AND(48&lt;=Setup!$B$5,48&gt;=$C13,OR(AND($E13="once",48=$C13),AND($E13="weekly",48&lt;=$D13),AND($E13="biweekly",48&lt;=$D13,MOD(48-$C13,2)=0))),Flows!$C14,0))</f>
        <v/>
      </c>
      <c r="BB13" s="13">
        <f>IF(OR($A13="",Flows!$C14=""),0,IF(AND(49&lt;=Setup!$B$5,49&gt;=$C13,OR(AND($E13="once",49=$C13),AND($E13="weekly",49&lt;=$D13),AND($E13="biweekly",49&lt;=$D13,MOD(49-$C13,2)=0))),Flows!$C14,0))</f>
        <v/>
      </c>
      <c r="BC13" s="13">
        <f>IF(OR($A13="",Flows!$C14=""),0,IF(AND(50&lt;=Setup!$B$5,50&gt;=$C13,OR(AND($E13="once",50=$C13),AND($E13="weekly",50&lt;=$D13),AND($E13="biweekly",50&lt;=$D13,MOD(50-$C13,2)=0))),Flows!$C14,0))</f>
        <v/>
      </c>
      <c r="BD13" s="13">
        <f>IF(OR($A13="",Flows!$C14=""),0,IF(AND(51&lt;=Setup!$B$5,51&gt;=$C13,OR(AND($E13="once",51=$C13),AND($E13="weekly",51&lt;=$D13),AND($E13="biweekly",51&lt;=$D13,MOD(51-$C13,2)=0))),Flows!$C14,0))</f>
        <v/>
      </c>
      <c r="BE13" s="13">
        <f>IF(OR($A13="",Flows!$C14=""),0,IF(AND(52&lt;=Setup!$B$5,52&gt;=$C13,OR(AND($E13="once",52=$C13),AND($E13="weekly",52&lt;=$D13),AND($E13="biweekly",52&lt;=$D13,MOD(52-$C13,2)=0))),Flows!$C14,0))</f>
        <v/>
      </c>
    </row>
    <row r="14">
      <c r="A14" s="7">
        <f>IF(Flows!A15="","",LOWER(Flows!A15))</f>
        <v/>
      </c>
      <c r="B14" s="7">
        <f>IF(Flows!B15="","",Flows!B15)</f>
        <v/>
      </c>
      <c r="C14" s="7">
        <f>N(Flows!D15)</f>
        <v/>
      </c>
      <c r="D14" s="7">
        <f>IF(Flows!F15="",Setup!$B$5,Flows!F15)</f>
        <v/>
      </c>
      <c r="E14" s="7">
        <f>IF(Flows!E15="","once",LOWER(Flows!E15))</f>
        <v/>
      </c>
      <c r="F14" s="13">
        <f>IF(OR($A14="",Flows!$C15=""),0,IF(AND(1&lt;=Setup!$B$5,1&gt;=$C14,OR(AND($E14="once",1=$C14),AND($E14="weekly",1&lt;=$D14),AND($E14="biweekly",1&lt;=$D14,MOD(1-$C14,2)=0))),Flows!$C15,0))</f>
        <v/>
      </c>
      <c r="G14" s="13">
        <f>IF(OR($A14="",Flows!$C15=""),0,IF(AND(2&lt;=Setup!$B$5,2&gt;=$C14,OR(AND($E14="once",2=$C14),AND($E14="weekly",2&lt;=$D14),AND($E14="biweekly",2&lt;=$D14,MOD(2-$C14,2)=0))),Flows!$C15,0))</f>
        <v/>
      </c>
      <c r="H14" s="13">
        <f>IF(OR($A14="",Flows!$C15=""),0,IF(AND(3&lt;=Setup!$B$5,3&gt;=$C14,OR(AND($E14="once",3=$C14),AND($E14="weekly",3&lt;=$D14),AND($E14="biweekly",3&lt;=$D14,MOD(3-$C14,2)=0))),Flows!$C15,0))</f>
        <v/>
      </c>
      <c r="I14" s="13">
        <f>IF(OR($A14="",Flows!$C15=""),0,IF(AND(4&lt;=Setup!$B$5,4&gt;=$C14,OR(AND($E14="once",4=$C14),AND($E14="weekly",4&lt;=$D14),AND($E14="biweekly",4&lt;=$D14,MOD(4-$C14,2)=0))),Flows!$C15,0))</f>
        <v/>
      </c>
      <c r="J14" s="13">
        <f>IF(OR($A14="",Flows!$C15=""),0,IF(AND(5&lt;=Setup!$B$5,5&gt;=$C14,OR(AND($E14="once",5=$C14),AND($E14="weekly",5&lt;=$D14),AND($E14="biweekly",5&lt;=$D14,MOD(5-$C14,2)=0))),Flows!$C15,0))</f>
        <v/>
      </c>
      <c r="K14" s="13">
        <f>IF(OR($A14="",Flows!$C15=""),0,IF(AND(6&lt;=Setup!$B$5,6&gt;=$C14,OR(AND($E14="once",6=$C14),AND($E14="weekly",6&lt;=$D14),AND($E14="biweekly",6&lt;=$D14,MOD(6-$C14,2)=0))),Flows!$C15,0))</f>
        <v/>
      </c>
      <c r="L14" s="13">
        <f>IF(OR($A14="",Flows!$C15=""),0,IF(AND(7&lt;=Setup!$B$5,7&gt;=$C14,OR(AND($E14="once",7=$C14),AND($E14="weekly",7&lt;=$D14),AND($E14="biweekly",7&lt;=$D14,MOD(7-$C14,2)=0))),Flows!$C15,0))</f>
        <v/>
      </c>
      <c r="M14" s="13">
        <f>IF(OR($A14="",Flows!$C15=""),0,IF(AND(8&lt;=Setup!$B$5,8&gt;=$C14,OR(AND($E14="once",8=$C14),AND($E14="weekly",8&lt;=$D14),AND($E14="biweekly",8&lt;=$D14,MOD(8-$C14,2)=0))),Flows!$C15,0))</f>
        <v/>
      </c>
      <c r="N14" s="13">
        <f>IF(OR($A14="",Flows!$C15=""),0,IF(AND(9&lt;=Setup!$B$5,9&gt;=$C14,OR(AND($E14="once",9=$C14),AND($E14="weekly",9&lt;=$D14),AND($E14="biweekly",9&lt;=$D14,MOD(9-$C14,2)=0))),Flows!$C15,0))</f>
        <v/>
      </c>
      <c r="O14" s="13">
        <f>IF(OR($A14="",Flows!$C15=""),0,IF(AND(10&lt;=Setup!$B$5,10&gt;=$C14,OR(AND($E14="once",10=$C14),AND($E14="weekly",10&lt;=$D14),AND($E14="biweekly",10&lt;=$D14,MOD(10-$C14,2)=0))),Flows!$C15,0))</f>
        <v/>
      </c>
      <c r="P14" s="13">
        <f>IF(OR($A14="",Flows!$C15=""),0,IF(AND(11&lt;=Setup!$B$5,11&gt;=$C14,OR(AND($E14="once",11=$C14),AND($E14="weekly",11&lt;=$D14),AND($E14="biweekly",11&lt;=$D14,MOD(11-$C14,2)=0))),Flows!$C15,0))</f>
        <v/>
      </c>
      <c r="Q14" s="13">
        <f>IF(OR($A14="",Flows!$C15=""),0,IF(AND(12&lt;=Setup!$B$5,12&gt;=$C14,OR(AND($E14="once",12=$C14),AND($E14="weekly",12&lt;=$D14),AND($E14="biweekly",12&lt;=$D14,MOD(12-$C14,2)=0))),Flows!$C15,0))</f>
        <v/>
      </c>
      <c r="R14" s="13">
        <f>IF(OR($A14="",Flows!$C15=""),0,IF(AND(13&lt;=Setup!$B$5,13&gt;=$C14,OR(AND($E14="once",13=$C14),AND($E14="weekly",13&lt;=$D14),AND($E14="biweekly",13&lt;=$D14,MOD(13-$C14,2)=0))),Flows!$C15,0))</f>
        <v/>
      </c>
      <c r="S14" s="13">
        <f>IF(OR($A14="",Flows!$C15=""),0,IF(AND(14&lt;=Setup!$B$5,14&gt;=$C14,OR(AND($E14="once",14=$C14),AND($E14="weekly",14&lt;=$D14),AND($E14="biweekly",14&lt;=$D14,MOD(14-$C14,2)=0))),Flows!$C15,0))</f>
        <v/>
      </c>
      <c r="T14" s="13">
        <f>IF(OR($A14="",Flows!$C15=""),0,IF(AND(15&lt;=Setup!$B$5,15&gt;=$C14,OR(AND($E14="once",15=$C14),AND($E14="weekly",15&lt;=$D14),AND($E14="biweekly",15&lt;=$D14,MOD(15-$C14,2)=0))),Flows!$C15,0))</f>
        <v/>
      </c>
      <c r="U14" s="13">
        <f>IF(OR($A14="",Flows!$C15=""),0,IF(AND(16&lt;=Setup!$B$5,16&gt;=$C14,OR(AND($E14="once",16=$C14),AND($E14="weekly",16&lt;=$D14),AND($E14="biweekly",16&lt;=$D14,MOD(16-$C14,2)=0))),Flows!$C15,0))</f>
        <v/>
      </c>
      <c r="V14" s="13">
        <f>IF(OR($A14="",Flows!$C15=""),0,IF(AND(17&lt;=Setup!$B$5,17&gt;=$C14,OR(AND($E14="once",17=$C14),AND($E14="weekly",17&lt;=$D14),AND($E14="biweekly",17&lt;=$D14,MOD(17-$C14,2)=0))),Flows!$C15,0))</f>
        <v/>
      </c>
      <c r="W14" s="13">
        <f>IF(OR($A14="",Flows!$C15=""),0,IF(AND(18&lt;=Setup!$B$5,18&gt;=$C14,OR(AND($E14="once",18=$C14),AND($E14="weekly",18&lt;=$D14),AND($E14="biweekly",18&lt;=$D14,MOD(18-$C14,2)=0))),Flows!$C15,0))</f>
        <v/>
      </c>
      <c r="X14" s="13">
        <f>IF(OR($A14="",Flows!$C15=""),0,IF(AND(19&lt;=Setup!$B$5,19&gt;=$C14,OR(AND($E14="once",19=$C14),AND($E14="weekly",19&lt;=$D14),AND($E14="biweekly",19&lt;=$D14,MOD(19-$C14,2)=0))),Flows!$C15,0))</f>
        <v/>
      </c>
      <c r="Y14" s="13">
        <f>IF(OR($A14="",Flows!$C15=""),0,IF(AND(20&lt;=Setup!$B$5,20&gt;=$C14,OR(AND($E14="once",20=$C14),AND($E14="weekly",20&lt;=$D14),AND($E14="biweekly",20&lt;=$D14,MOD(20-$C14,2)=0))),Flows!$C15,0))</f>
        <v/>
      </c>
      <c r="Z14" s="13">
        <f>IF(OR($A14="",Flows!$C15=""),0,IF(AND(21&lt;=Setup!$B$5,21&gt;=$C14,OR(AND($E14="once",21=$C14),AND($E14="weekly",21&lt;=$D14),AND($E14="biweekly",21&lt;=$D14,MOD(21-$C14,2)=0))),Flows!$C15,0))</f>
        <v/>
      </c>
      <c r="AA14" s="13">
        <f>IF(OR($A14="",Flows!$C15=""),0,IF(AND(22&lt;=Setup!$B$5,22&gt;=$C14,OR(AND($E14="once",22=$C14),AND($E14="weekly",22&lt;=$D14),AND($E14="biweekly",22&lt;=$D14,MOD(22-$C14,2)=0))),Flows!$C15,0))</f>
        <v/>
      </c>
      <c r="AB14" s="13">
        <f>IF(OR($A14="",Flows!$C15=""),0,IF(AND(23&lt;=Setup!$B$5,23&gt;=$C14,OR(AND($E14="once",23=$C14),AND($E14="weekly",23&lt;=$D14),AND($E14="biweekly",23&lt;=$D14,MOD(23-$C14,2)=0))),Flows!$C15,0))</f>
        <v/>
      </c>
      <c r="AC14" s="13">
        <f>IF(OR($A14="",Flows!$C15=""),0,IF(AND(24&lt;=Setup!$B$5,24&gt;=$C14,OR(AND($E14="once",24=$C14),AND($E14="weekly",24&lt;=$D14),AND($E14="biweekly",24&lt;=$D14,MOD(24-$C14,2)=0))),Flows!$C15,0))</f>
        <v/>
      </c>
      <c r="AD14" s="13">
        <f>IF(OR($A14="",Flows!$C15=""),0,IF(AND(25&lt;=Setup!$B$5,25&gt;=$C14,OR(AND($E14="once",25=$C14),AND($E14="weekly",25&lt;=$D14),AND($E14="biweekly",25&lt;=$D14,MOD(25-$C14,2)=0))),Flows!$C15,0))</f>
        <v/>
      </c>
      <c r="AE14" s="13">
        <f>IF(OR($A14="",Flows!$C15=""),0,IF(AND(26&lt;=Setup!$B$5,26&gt;=$C14,OR(AND($E14="once",26=$C14),AND($E14="weekly",26&lt;=$D14),AND($E14="biweekly",26&lt;=$D14,MOD(26-$C14,2)=0))),Flows!$C15,0))</f>
        <v/>
      </c>
      <c r="AF14" s="13">
        <f>IF(OR($A14="",Flows!$C15=""),0,IF(AND(27&lt;=Setup!$B$5,27&gt;=$C14,OR(AND($E14="once",27=$C14),AND($E14="weekly",27&lt;=$D14),AND($E14="biweekly",27&lt;=$D14,MOD(27-$C14,2)=0))),Flows!$C15,0))</f>
        <v/>
      </c>
      <c r="AG14" s="13">
        <f>IF(OR($A14="",Flows!$C15=""),0,IF(AND(28&lt;=Setup!$B$5,28&gt;=$C14,OR(AND($E14="once",28=$C14),AND($E14="weekly",28&lt;=$D14),AND($E14="biweekly",28&lt;=$D14,MOD(28-$C14,2)=0))),Flows!$C15,0))</f>
        <v/>
      </c>
      <c r="AH14" s="13">
        <f>IF(OR($A14="",Flows!$C15=""),0,IF(AND(29&lt;=Setup!$B$5,29&gt;=$C14,OR(AND($E14="once",29=$C14),AND($E14="weekly",29&lt;=$D14),AND($E14="biweekly",29&lt;=$D14,MOD(29-$C14,2)=0))),Flows!$C15,0))</f>
        <v/>
      </c>
      <c r="AI14" s="13">
        <f>IF(OR($A14="",Flows!$C15=""),0,IF(AND(30&lt;=Setup!$B$5,30&gt;=$C14,OR(AND($E14="once",30=$C14),AND($E14="weekly",30&lt;=$D14),AND($E14="biweekly",30&lt;=$D14,MOD(30-$C14,2)=0))),Flows!$C15,0))</f>
        <v/>
      </c>
      <c r="AJ14" s="13">
        <f>IF(OR($A14="",Flows!$C15=""),0,IF(AND(31&lt;=Setup!$B$5,31&gt;=$C14,OR(AND($E14="once",31=$C14),AND($E14="weekly",31&lt;=$D14),AND($E14="biweekly",31&lt;=$D14,MOD(31-$C14,2)=0))),Flows!$C15,0))</f>
        <v/>
      </c>
      <c r="AK14" s="13">
        <f>IF(OR($A14="",Flows!$C15=""),0,IF(AND(32&lt;=Setup!$B$5,32&gt;=$C14,OR(AND($E14="once",32=$C14),AND($E14="weekly",32&lt;=$D14),AND($E14="biweekly",32&lt;=$D14,MOD(32-$C14,2)=0))),Flows!$C15,0))</f>
        <v/>
      </c>
      <c r="AL14" s="13">
        <f>IF(OR($A14="",Flows!$C15=""),0,IF(AND(33&lt;=Setup!$B$5,33&gt;=$C14,OR(AND($E14="once",33=$C14),AND($E14="weekly",33&lt;=$D14),AND($E14="biweekly",33&lt;=$D14,MOD(33-$C14,2)=0))),Flows!$C15,0))</f>
        <v/>
      </c>
      <c r="AM14" s="13">
        <f>IF(OR($A14="",Flows!$C15=""),0,IF(AND(34&lt;=Setup!$B$5,34&gt;=$C14,OR(AND($E14="once",34=$C14),AND($E14="weekly",34&lt;=$D14),AND($E14="biweekly",34&lt;=$D14,MOD(34-$C14,2)=0))),Flows!$C15,0))</f>
        <v/>
      </c>
      <c r="AN14" s="13">
        <f>IF(OR($A14="",Flows!$C15=""),0,IF(AND(35&lt;=Setup!$B$5,35&gt;=$C14,OR(AND($E14="once",35=$C14),AND($E14="weekly",35&lt;=$D14),AND($E14="biweekly",35&lt;=$D14,MOD(35-$C14,2)=0))),Flows!$C15,0))</f>
        <v/>
      </c>
      <c r="AO14" s="13">
        <f>IF(OR($A14="",Flows!$C15=""),0,IF(AND(36&lt;=Setup!$B$5,36&gt;=$C14,OR(AND($E14="once",36=$C14),AND($E14="weekly",36&lt;=$D14),AND($E14="biweekly",36&lt;=$D14,MOD(36-$C14,2)=0))),Flows!$C15,0))</f>
        <v/>
      </c>
      <c r="AP14" s="13">
        <f>IF(OR($A14="",Flows!$C15=""),0,IF(AND(37&lt;=Setup!$B$5,37&gt;=$C14,OR(AND($E14="once",37=$C14),AND($E14="weekly",37&lt;=$D14),AND($E14="biweekly",37&lt;=$D14,MOD(37-$C14,2)=0))),Flows!$C15,0))</f>
        <v/>
      </c>
      <c r="AQ14" s="13">
        <f>IF(OR($A14="",Flows!$C15=""),0,IF(AND(38&lt;=Setup!$B$5,38&gt;=$C14,OR(AND($E14="once",38=$C14),AND($E14="weekly",38&lt;=$D14),AND($E14="biweekly",38&lt;=$D14,MOD(38-$C14,2)=0))),Flows!$C15,0))</f>
        <v/>
      </c>
      <c r="AR14" s="13">
        <f>IF(OR($A14="",Flows!$C15=""),0,IF(AND(39&lt;=Setup!$B$5,39&gt;=$C14,OR(AND($E14="once",39=$C14),AND($E14="weekly",39&lt;=$D14),AND($E14="biweekly",39&lt;=$D14,MOD(39-$C14,2)=0))),Flows!$C15,0))</f>
        <v/>
      </c>
      <c r="AS14" s="13">
        <f>IF(OR($A14="",Flows!$C15=""),0,IF(AND(40&lt;=Setup!$B$5,40&gt;=$C14,OR(AND($E14="once",40=$C14),AND($E14="weekly",40&lt;=$D14),AND($E14="biweekly",40&lt;=$D14,MOD(40-$C14,2)=0))),Flows!$C15,0))</f>
        <v/>
      </c>
      <c r="AT14" s="13">
        <f>IF(OR($A14="",Flows!$C15=""),0,IF(AND(41&lt;=Setup!$B$5,41&gt;=$C14,OR(AND($E14="once",41=$C14),AND($E14="weekly",41&lt;=$D14),AND($E14="biweekly",41&lt;=$D14,MOD(41-$C14,2)=0))),Flows!$C15,0))</f>
        <v/>
      </c>
      <c r="AU14" s="13">
        <f>IF(OR($A14="",Flows!$C15=""),0,IF(AND(42&lt;=Setup!$B$5,42&gt;=$C14,OR(AND($E14="once",42=$C14),AND($E14="weekly",42&lt;=$D14),AND($E14="biweekly",42&lt;=$D14,MOD(42-$C14,2)=0))),Flows!$C15,0))</f>
        <v/>
      </c>
      <c r="AV14" s="13">
        <f>IF(OR($A14="",Flows!$C15=""),0,IF(AND(43&lt;=Setup!$B$5,43&gt;=$C14,OR(AND($E14="once",43=$C14),AND($E14="weekly",43&lt;=$D14),AND($E14="biweekly",43&lt;=$D14,MOD(43-$C14,2)=0))),Flows!$C15,0))</f>
        <v/>
      </c>
      <c r="AW14" s="13">
        <f>IF(OR($A14="",Flows!$C15=""),0,IF(AND(44&lt;=Setup!$B$5,44&gt;=$C14,OR(AND($E14="once",44=$C14),AND($E14="weekly",44&lt;=$D14),AND($E14="biweekly",44&lt;=$D14,MOD(44-$C14,2)=0))),Flows!$C15,0))</f>
        <v/>
      </c>
      <c r="AX14" s="13">
        <f>IF(OR($A14="",Flows!$C15=""),0,IF(AND(45&lt;=Setup!$B$5,45&gt;=$C14,OR(AND($E14="once",45=$C14),AND($E14="weekly",45&lt;=$D14),AND($E14="biweekly",45&lt;=$D14,MOD(45-$C14,2)=0))),Flows!$C15,0))</f>
        <v/>
      </c>
      <c r="AY14" s="13">
        <f>IF(OR($A14="",Flows!$C15=""),0,IF(AND(46&lt;=Setup!$B$5,46&gt;=$C14,OR(AND($E14="once",46=$C14),AND($E14="weekly",46&lt;=$D14),AND($E14="biweekly",46&lt;=$D14,MOD(46-$C14,2)=0))),Flows!$C15,0))</f>
        <v/>
      </c>
      <c r="AZ14" s="13">
        <f>IF(OR($A14="",Flows!$C15=""),0,IF(AND(47&lt;=Setup!$B$5,47&gt;=$C14,OR(AND($E14="once",47=$C14),AND($E14="weekly",47&lt;=$D14),AND($E14="biweekly",47&lt;=$D14,MOD(47-$C14,2)=0))),Flows!$C15,0))</f>
        <v/>
      </c>
      <c r="BA14" s="13">
        <f>IF(OR($A14="",Flows!$C15=""),0,IF(AND(48&lt;=Setup!$B$5,48&gt;=$C14,OR(AND($E14="once",48=$C14),AND($E14="weekly",48&lt;=$D14),AND($E14="biweekly",48&lt;=$D14,MOD(48-$C14,2)=0))),Flows!$C15,0))</f>
        <v/>
      </c>
      <c r="BB14" s="13">
        <f>IF(OR($A14="",Flows!$C15=""),0,IF(AND(49&lt;=Setup!$B$5,49&gt;=$C14,OR(AND($E14="once",49=$C14),AND($E14="weekly",49&lt;=$D14),AND($E14="biweekly",49&lt;=$D14,MOD(49-$C14,2)=0))),Flows!$C15,0))</f>
        <v/>
      </c>
      <c r="BC14" s="13">
        <f>IF(OR($A14="",Flows!$C15=""),0,IF(AND(50&lt;=Setup!$B$5,50&gt;=$C14,OR(AND($E14="once",50=$C14),AND($E14="weekly",50&lt;=$D14),AND($E14="biweekly",50&lt;=$D14,MOD(50-$C14,2)=0))),Flows!$C15,0))</f>
        <v/>
      </c>
      <c r="BD14" s="13">
        <f>IF(OR($A14="",Flows!$C15=""),0,IF(AND(51&lt;=Setup!$B$5,51&gt;=$C14,OR(AND($E14="once",51=$C14),AND($E14="weekly",51&lt;=$D14),AND($E14="biweekly",51&lt;=$D14,MOD(51-$C14,2)=0))),Flows!$C15,0))</f>
        <v/>
      </c>
      <c r="BE14" s="13">
        <f>IF(OR($A14="",Flows!$C15=""),0,IF(AND(52&lt;=Setup!$B$5,52&gt;=$C14,OR(AND($E14="once",52=$C14),AND($E14="weekly",52&lt;=$D14),AND($E14="biweekly",52&lt;=$D14,MOD(52-$C14,2)=0))),Flows!$C15,0))</f>
        <v/>
      </c>
    </row>
    <row r="15">
      <c r="A15" s="7">
        <f>IF(Flows!A16="","",LOWER(Flows!A16))</f>
        <v/>
      </c>
      <c r="B15" s="7">
        <f>IF(Flows!B16="","",Flows!B16)</f>
        <v/>
      </c>
      <c r="C15" s="7">
        <f>N(Flows!D16)</f>
        <v/>
      </c>
      <c r="D15" s="7">
        <f>IF(Flows!F16="",Setup!$B$5,Flows!F16)</f>
        <v/>
      </c>
      <c r="E15" s="7">
        <f>IF(Flows!E16="","once",LOWER(Flows!E16))</f>
        <v/>
      </c>
      <c r="F15" s="13">
        <f>IF(OR($A15="",Flows!$C16=""),0,IF(AND(1&lt;=Setup!$B$5,1&gt;=$C15,OR(AND($E15="once",1=$C15),AND($E15="weekly",1&lt;=$D15),AND($E15="biweekly",1&lt;=$D15,MOD(1-$C15,2)=0))),Flows!$C16,0))</f>
        <v/>
      </c>
      <c r="G15" s="13">
        <f>IF(OR($A15="",Flows!$C16=""),0,IF(AND(2&lt;=Setup!$B$5,2&gt;=$C15,OR(AND($E15="once",2=$C15),AND($E15="weekly",2&lt;=$D15),AND($E15="biweekly",2&lt;=$D15,MOD(2-$C15,2)=0))),Flows!$C16,0))</f>
        <v/>
      </c>
      <c r="H15" s="13">
        <f>IF(OR($A15="",Flows!$C16=""),0,IF(AND(3&lt;=Setup!$B$5,3&gt;=$C15,OR(AND($E15="once",3=$C15),AND($E15="weekly",3&lt;=$D15),AND($E15="biweekly",3&lt;=$D15,MOD(3-$C15,2)=0))),Flows!$C16,0))</f>
        <v/>
      </c>
      <c r="I15" s="13">
        <f>IF(OR($A15="",Flows!$C16=""),0,IF(AND(4&lt;=Setup!$B$5,4&gt;=$C15,OR(AND($E15="once",4=$C15),AND($E15="weekly",4&lt;=$D15),AND($E15="biweekly",4&lt;=$D15,MOD(4-$C15,2)=0))),Flows!$C16,0))</f>
        <v/>
      </c>
      <c r="J15" s="13">
        <f>IF(OR($A15="",Flows!$C16=""),0,IF(AND(5&lt;=Setup!$B$5,5&gt;=$C15,OR(AND($E15="once",5=$C15),AND($E15="weekly",5&lt;=$D15),AND($E15="biweekly",5&lt;=$D15,MOD(5-$C15,2)=0))),Flows!$C16,0))</f>
        <v/>
      </c>
      <c r="K15" s="13">
        <f>IF(OR($A15="",Flows!$C16=""),0,IF(AND(6&lt;=Setup!$B$5,6&gt;=$C15,OR(AND($E15="once",6=$C15),AND($E15="weekly",6&lt;=$D15),AND($E15="biweekly",6&lt;=$D15,MOD(6-$C15,2)=0))),Flows!$C16,0))</f>
        <v/>
      </c>
      <c r="L15" s="13">
        <f>IF(OR($A15="",Flows!$C16=""),0,IF(AND(7&lt;=Setup!$B$5,7&gt;=$C15,OR(AND($E15="once",7=$C15),AND($E15="weekly",7&lt;=$D15),AND($E15="biweekly",7&lt;=$D15,MOD(7-$C15,2)=0))),Flows!$C16,0))</f>
        <v/>
      </c>
      <c r="M15" s="13">
        <f>IF(OR($A15="",Flows!$C16=""),0,IF(AND(8&lt;=Setup!$B$5,8&gt;=$C15,OR(AND($E15="once",8=$C15),AND($E15="weekly",8&lt;=$D15),AND($E15="biweekly",8&lt;=$D15,MOD(8-$C15,2)=0))),Flows!$C16,0))</f>
        <v/>
      </c>
      <c r="N15" s="13">
        <f>IF(OR($A15="",Flows!$C16=""),0,IF(AND(9&lt;=Setup!$B$5,9&gt;=$C15,OR(AND($E15="once",9=$C15),AND($E15="weekly",9&lt;=$D15),AND($E15="biweekly",9&lt;=$D15,MOD(9-$C15,2)=0))),Flows!$C16,0))</f>
        <v/>
      </c>
      <c r="O15" s="13">
        <f>IF(OR($A15="",Flows!$C16=""),0,IF(AND(10&lt;=Setup!$B$5,10&gt;=$C15,OR(AND($E15="once",10=$C15),AND($E15="weekly",10&lt;=$D15),AND($E15="biweekly",10&lt;=$D15,MOD(10-$C15,2)=0))),Flows!$C16,0))</f>
        <v/>
      </c>
      <c r="P15" s="13">
        <f>IF(OR($A15="",Flows!$C16=""),0,IF(AND(11&lt;=Setup!$B$5,11&gt;=$C15,OR(AND($E15="once",11=$C15),AND($E15="weekly",11&lt;=$D15),AND($E15="biweekly",11&lt;=$D15,MOD(11-$C15,2)=0))),Flows!$C16,0))</f>
        <v/>
      </c>
      <c r="Q15" s="13">
        <f>IF(OR($A15="",Flows!$C16=""),0,IF(AND(12&lt;=Setup!$B$5,12&gt;=$C15,OR(AND($E15="once",12=$C15),AND($E15="weekly",12&lt;=$D15),AND($E15="biweekly",12&lt;=$D15,MOD(12-$C15,2)=0))),Flows!$C16,0))</f>
        <v/>
      </c>
      <c r="R15" s="13">
        <f>IF(OR($A15="",Flows!$C16=""),0,IF(AND(13&lt;=Setup!$B$5,13&gt;=$C15,OR(AND($E15="once",13=$C15),AND($E15="weekly",13&lt;=$D15),AND($E15="biweekly",13&lt;=$D15,MOD(13-$C15,2)=0))),Flows!$C16,0))</f>
        <v/>
      </c>
      <c r="S15" s="13">
        <f>IF(OR($A15="",Flows!$C16=""),0,IF(AND(14&lt;=Setup!$B$5,14&gt;=$C15,OR(AND($E15="once",14=$C15),AND($E15="weekly",14&lt;=$D15),AND($E15="biweekly",14&lt;=$D15,MOD(14-$C15,2)=0))),Flows!$C16,0))</f>
        <v/>
      </c>
      <c r="T15" s="13">
        <f>IF(OR($A15="",Flows!$C16=""),0,IF(AND(15&lt;=Setup!$B$5,15&gt;=$C15,OR(AND($E15="once",15=$C15),AND($E15="weekly",15&lt;=$D15),AND($E15="biweekly",15&lt;=$D15,MOD(15-$C15,2)=0))),Flows!$C16,0))</f>
        <v/>
      </c>
      <c r="U15" s="13">
        <f>IF(OR($A15="",Flows!$C16=""),0,IF(AND(16&lt;=Setup!$B$5,16&gt;=$C15,OR(AND($E15="once",16=$C15),AND($E15="weekly",16&lt;=$D15),AND($E15="biweekly",16&lt;=$D15,MOD(16-$C15,2)=0))),Flows!$C16,0))</f>
        <v/>
      </c>
      <c r="V15" s="13">
        <f>IF(OR($A15="",Flows!$C16=""),0,IF(AND(17&lt;=Setup!$B$5,17&gt;=$C15,OR(AND($E15="once",17=$C15),AND($E15="weekly",17&lt;=$D15),AND($E15="biweekly",17&lt;=$D15,MOD(17-$C15,2)=0))),Flows!$C16,0))</f>
        <v/>
      </c>
      <c r="W15" s="13">
        <f>IF(OR($A15="",Flows!$C16=""),0,IF(AND(18&lt;=Setup!$B$5,18&gt;=$C15,OR(AND($E15="once",18=$C15),AND($E15="weekly",18&lt;=$D15),AND($E15="biweekly",18&lt;=$D15,MOD(18-$C15,2)=0))),Flows!$C16,0))</f>
        <v/>
      </c>
      <c r="X15" s="13">
        <f>IF(OR($A15="",Flows!$C16=""),0,IF(AND(19&lt;=Setup!$B$5,19&gt;=$C15,OR(AND($E15="once",19=$C15),AND($E15="weekly",19&lt;=$D15),AND($E15="biweekly",19&lt;=$D15,MOD(19-$C15,2)=0))),Flows!$C16,0))</f>
        <v/>
      </c>
      <c r="Y15" s="13">
        <f>IF(OR($A15="",Flows!$C16=""),0,IF(AND(20&lt;=Setup!$B$5,20&gt;=$C15,OR(AND($E15="once",20=$C15),AND($E15="weekly",20&lt;=$D15),AND($E15="biweekly",20&lt;=$D15,MOD(20-$C15,2)=0))),Flows!$C16,0))</f>
        <v/>
      </c>
      <c r="Z15" s="13">
        <f>IF(OR($A15="",Flows!$C16=""),0,IF(AND(21&lt;=Setup!$B$5,21&gt;=$C15,OR(AND($E15="once",21=$C15),AND($E15="weekly",21&lt;=$D15),AND($E15="biweekly",21&lt;=$D15,MOD(21-$C15,2)=0))),Flows!$C16,0))</f>
        <v/>
      </c>
      <c r="AA15" s="13">
        <f>IF(OR($A15="",Flows!$C16=""),0,IF(AND(22&lt;=Setup!$B$5,22&gt;=$C15,OR(AND($E15="once",22=$C15),AND($E15="weekly",22&lt;=$D15),AND($E15="biweekly",22&lt;=$D15,MOD(22-$C15,2)=0))),Flows!$C16,0))</f>
        <v/>
      </c>
      <c r="AB15" s="13">
        <f>IF(OR($A15="",Flows!$C16=""),0,IF(AND(23&lt;=Setup!$B$5,23&gt;=$C15,OR(AND($E15="once",23=$C15),AND($E15="weekly",23&lt;=$D15),AND($E15="biweekly",23&lt;=$D15,MOD(23-$C15,2)=0))),Flows!$C16,0))</f>
        <v/>
      </c>
      <c r="AC15" s="13">
        <f>IF(OR($A15="",Flows!$C16=""),0,IF(AND(24&lt;=Setup!$B$5,24&gt;=$C15,OR(AND($E15="once",24=$C15),AND($E15="weekly",24&lt;=$D15),AND($E15="biweekly",24&lt;=$D15,MOD(24-$C15,2)=0))),Flows!$C16,0))</f>
        <v/>
      </c>
      <c r="AD15" s="13">
        <f>IF(OR($A15="",Flows!$C16=""),0,IF(AND(25&lt;=Setup!$B$5,25&gt;=$C15,OR(AND($E15="once",25=$C15),AND($E15="weekly",25&lt;=$D15),AND($E15="biweekly",25&lt;=$D15,MOD(25-$C15,2)=0))),Flows!$C16,0))</f>
        <v/>
      </c>
      <c r="AE15" s="13">
        <f>IF(OR($A15="",Flows!$C16=""),0,IF(AND(26&lt;=Setup!$B$5,26&gt;=$C15,OR(AND($E15="once",26=$C15),AND($E15="weekly",26&lt;=$D15),AND($E15="biweekly",26&lt;=$D15,MOD(26-$C15,2)=0))),Flows!$C16,0))</f>
        <v/>
      </c>
      <c r="AF15" s="13">
        <f>IF(OR($A15="",Flows!$C16=""),0,IF(AND(27&lt;=Setup!$B$5,27&gt;=$C15,OR(AND($E15="once",27=$C15),AND($E15="weekly",27&lt;=$D15),AND($E15="biweekly",27&lt;=$D15,MOD(27-$C15,2)=0))),Flows!$C16,0))</f>
        <v/>
      </c>
      <c r="AG15" s="13">
        <f>IF(OR($A15="",Flows!$C16=""),0,IF(AND(28&lt;=Setup!$B$5,28&gt;=$C15,OR(AND($E15="once",28=$C15),AND($E15="weekly",28&lt;=$D15),AND($E15="biweekly",28&lt;=$D15,MOD(28-$C15,2)=0))),Flows!$C16,0))</f>
        <v/>
      </c>
      <c r="AH15" s="13">
        <f>IF(OR($A15="",Flows!$C16=""),0,IF(AND(29&lt;=Setup!$B$5,29&gt;=$C15,OR(AND($E15="once",29=$C15),AND($E15="weekly",29&lt;=$D15),AND($E15="biweekly",29&lt;=$D15,MOD(29-$C15,2)=0))),Flows!$C16,0))</f>
        <v/>
      </c>
      <c r="AI15" s="13">
        <f>IF(OR($A15="",Flows!$C16=""),0,IF(AND(30&lt;=Setup!$B$5,30&gt;=$C15,OR(AND($E15="once",30=$C15),AND($E15="weekly",30&lt;=$D15),AND($E15="biweekly",30&lt;=$D15,MOD(30-$C15,2)=0))),Flows!$C16,0))</f>
        <v/>
      </c>
      <c r="AJ15" s="13">
        <f>IF(OR($A15="",Flows!$C16=""),0,IF(AND(31&lt;=Setup!$B$5,31&gt;=$C15,OR(AND($E15="once",31=$C15),AND($E15="weekly",31&lt;=$D15),AND($E15="biweekly",31&lt;=$D15,MOD(31-$C15,2)=0))),Flows!$C16,0))</f>
        <v/>
      </c>
      <c r="AK15" s="13">
        <f>IF(OR($A15="",Flows!$C16=""),0,IF(AND(32&lt;=Setup!$B$5,32&gt;=$C15,OR(AND($E15="once",32=$C15),AND($E15="weekly",32&lt;=$D15),AND($E15="biweekly",32&lt;=$D15,MOD(32-$C15,2)=0))),Flows!$C16,0))</f>
        <v/>
      </c>
      <c r="AL15" s="13">
        <f>IF(OR($A15="",Flows!$C16=""),0,IF(AND(33&lt;=Setup!$B$5,33&gt;=$C15,OR(AND($E15="once",33=$C15),AND($E15="weekly",33&lt;=$D15),AND($E15="biweekly",33&lt;=$D15,MOD(33-$C15,2)=0))),Flows!$C16,0))</f>
        <v/>
      </c>
      <c r="AM15" s="13">
        <f>IF(OR($A15="",Flows!$C16=""),0,IF(AND(34&lt;=Setup!$B$5,34&gt;=$C15,OR(AND($E15="once",34=$C15),AND($E15="weekly",34&lt;=$D15),AND($E15="biweekly",34&lt;=$D15,MOD(34-$C15,2)=0))),Flows!$C16,0))</f>
        <v/>
      </c>
      <c r="AN15" s="13">
        <f>IF(OR($A15="",Flows!$C16=""),0,IF(AND(35&lt;=Setup!$B$5,35&gt;=$C15,OR(AND($E15="once",35=$C15),AND($E15="weekly",35&lt;=$D15),AND($E15="biweekly",35&lt;=$D15,MOD(35-$C15,2)=0))),Flows!$C16,0))</f>
        <v/>
      </c>
      <c r="AO15" s="13">
        <f>IF(OR($A15="",Flows!$C16=""),0,IF(AND(36&lt;=Setup!$B$5,36&gt;=$C15,OR(AND($E15="once",36=$C15),AND($E15="weekly",36&lt;=$D15),AND($E15="biweekly",36&lt;=$D15,MOD(36-$C15,2)=0))),Flows!$C16,0))</f>
        <v/>
      </c>
      <c r="AP15" s="13">
        <f>IF(OR($A15="",Flows!$C16=""),0,IF(AND(37&lt;=Setup!$B$5,37&gt;=$C15,OR(AND($E15="once",37=$C15),AND($E15="weekly",37&lt;=$D15),AND($E15="biweekly",37&lt;=$D15,MOD(37-$C15,2)=0))),Flows!$C16,0))</f>
        <v/>
      </c>
      <c r="AQ15" s="13">
        <f>IF(OR($A15="",Flows!$C16=""),0,IF(AND(38&lt;=Setup!$B$5,38&gt;=$C15,OR(AND($E15="once",38=$C15),AND($E15="weekly",38&lt;=$D15),AND($E15="biweekly",38&lt;=$D15,MOD(38-$C15,2)=0))),Flows!$C16,0))</f>
        <v/>
      </c>
      <c r="AR15" s="13">
        <f>IF(OR($A15="",Flows!$C16=""),0,IF(AND(39&lt;=Setup!$B$5,39&gt;=$C15,OR(AND($E15="once",39=$C15),AND($E15="weekly",39&lt;=$D15),AND($E15="biweekly",39&lt;=$D15,MOD(39-$C15,2)=0))),Flows!$C16,0))</f>
        <v/>
      </c>
      <c r="AS15" s="13">
        <f>IF(OR($A15="",Flows!$C16=""),0,IF(AND(40&lt;=Setup!$B$5,40&gt;=$C15,OR(AND($E15="once",40=$C15),AND($E15="weekly",40&lt;=$D15),AND($E15="biweekly",40&lt;=$D15,MOD(40-$C15,2)=0))),Flows!$C16,0))</f>
        <v/>
      </c>
      <c r="AT15" s="13">
        <f>IF(OR($A15="",Flows!$C16=""),0,IF(AND(41&lt;=Setup!$B$5,41&gt;=$C15,OR(AND($E15="once",41=$C15),AND($E15="weekly",41&lt;=$D15),AND($E15="biweekly",41&lt;=$D15,MOD(41-$C15,2)=0))),Flows!$C16,0))</f>
        <v/>
      </c>
      <c r="AU15" s="13">
        <f>IF(OR($A15="",Flows!$C16=""),0,IF(AND(42&lt;=Setup!$B$5,42&gt;=$C15,OR(AND($E15="once",42=$C15),AND($E15="weekly",42&lt;=$D15),AND($E15="biweekly",42&lt;=$D15,MOD(42-$C15,2)=0))),Flows!$C16,0))</f>
        <v/>
      </c>
      <c r="AV15" s="13">
        <f>IF(OR($A15="",Flows!$C16=""),0,IF(AND(43&lt;=Setup!$B$5,43&gt;=$C15,OR(AND($E15="once",43=$C15),AND($E15="weekly",43&lt;=$D15),AND($E15="biweekly",43&lt;=$D15,MOD(43-$C15,2)=0))),Flows!$C16,0))</f>
        <v/>
      </c>
      <c r="AW15" s="13">
        <f>IF(OR($A15="",Flows!$C16=""),0,IF(AND(44&lt;=Setup!$B$5,44&gt;=$C15,OR(AND($E15="once",44=$C15),AND($E15="weekly",44&lt;=$D15),AND($E15="biweekly",44&lt;=$D15,MOD(44-$C15,2)=0))),Flows!$C16,0))</f>
        <v/>
      </c>
      <c r="AX15" s="13">
        <f>IF(OR($A15="",Flows!$C16=""),0,IF(AND(45&lt;=Setup!$B$5,45&gt;=$C15,OR(AND($E15="once",45=$C15),AND($E15="weekly",45&lt;=$D15),AND($E15="biweekly",45&lt;=$D15,MOD(45-$C15,2)=0))),Flows!$C16,0))</f>
        <v/>
      </c>
      <c r="AY15" s="13">
        <f>IF(OR($A15="",Flows!$C16=""),0,IF(AND(46&lt;=Setup!$B$5,46&gt;=$C15,OR(AND($E15="once",46=$C15),AND($E15="weekly",46&lt;=$D15),AND($E15="biweekly",46&lt;=$D15,MOD(46-$C15,2)=0))),Flows!$C16,0))</f>
        <v/>
      </c>
      <c r="AZ15" s="13">
        <f>IF(OR($A15="",Flows!$C16=""),0,IF(AND(47&lt;=Setup!$B$5,47&gt;=$C15,OR(AND($E15="once",47=$C15),AND($E15="weekly",47&lt;=$D15),AND($E15="biweekly",47&lt;=$D15,MOD(47-$C15,2)=0))),Flows!$C16,0))</f>
        <v/>
      </c>
      <c r="BA15" s="13">
        <f>IF(OR($A15="",Flows!$C16=""),0,IF(AND(48&lt;=Setup!$B$5,48&gt;=$C15,OR(AND($E15="once",48=$C15),AND($E15="weekly",48&lt;=$D15),AND($E15="biweekly",48&lt;=$D15,MOD(48-$C15,2)=0))),Flows!$C16,0))</f>
        <v/>
      </c>
      <c r="BB15" s="13">
        <f>IF(OR($A15="",Flows!$C16=""),0,IF(AND(49&lt;=Setup!$B$5,49&gt;=$C15,OR(AND($E15="once",49=$C15),AND($E15="weekly",49&lt;=$D15),AND($E15="biweekly",49&lt;=$D15,MOD(49-$C15,2)=0))),Flows!$C16,0))</f>
        <v/>
      </c>
      <c r="BC15" s="13">
        <f>IF(OR($A15="",Flows!$C16=""),0,IF(AND(50&lt;=Setup!$B$5,50&gt;=$C15,OR(AND($E15="once",50=$C15),AND($E15="weekly",50&lt;=$D15),AND($E15="biweekly",50&lt;=$D15,MOD(50-$C15,2)=0))),Flows!$C16,0))</f>
        <v/>
      </c>
      <c r="BD15" s="13">
        <f>IF(OR($A15="",Flows!$C16=""),0,IF(AND(51&lt;=Setup!$B$5,51&gt;=$C15,OR(AND($E15="once",51=$C15),AND($E15="weekly",51&lt;=$D15),AND($E15="biweekly",51&lt;=$D15,MOD(51-$C15,2)=0))),Flows!$C16,0))</f>
        <v/>
      </c>
      <c r="BE15" s="13">
        <f>IF(OR($A15="",Flows!$C16=""),0,IF(AND(52&lt;=Setup!$B$5,52&gt;=$C15,OR(AND($E15="once",52=$C15),AND($E15="weekly",52&lt;=$D15),AND($E15="biweekly",52&lt;=$D15,MOD(52-$C15,2)=0))),Flows!$C16,0))</f>
        <v/>
      </c>
    </row>
    <row r="16">
      <c r="A16" s="7">
        <f>IF(Flows!A17="","",LOWER(Flows!A17))</f>
        <v/>
      </c>
      <c r="B16" s="7">
        <f>IF(Flows!B17="","",Flows!B17)</f>
        <v/>
      </c>
      <c r="C16" s="7">
        <f>N(Flows!D17)</f>
        <v/>
      </c>
      <c r="D16" s="7">
        <f>IF(Flows!F17="",Setup!$B$5,Flows!F17)</f>
        <v/>
      </c>
      <c r="E16" s="7">
        <f>IF(Flows!E17="","once",LOWER(Flows!E17))</f>
        <v/>
      </c>
      <c r="F16" s="13">
        <f>IF(OR($A16="",Flows!$C17=""),0,IF(AND(1&lt;=Setup!$B$5,1&gt;=$C16,OR(AND($E16="once",1=$C16),AND($E16="weekly",1&lt;=$D16),AND($E16="biweekly",1&lt;=$D16,MOD(1-$C16,2)=0))),Flows!$C17,0))</f>
        <v/>
      </c>
      <c r="G16" s="13">
        <f>IF(OR($A16="",Flows!$C17=""),0,IF(AND(2&lt;=Setup!$B$5,2&gt;=$C16,OR(AND($E16="once",2=$C16),AND($E16="weekly",2&lt;=$D16),AND($E16="biweekly",2&lt;=$D16,MOD(2-$C16,2)=0))),Flows!$C17,0))</f>
        <v/>
      </c>
      <c r="H16" s="13">
        <f>IF(OR($A16="",Flows!$C17=""),0,IF(AND(3&lt;=Setup!$B$5,3&gt;=$C16,OR(AND($E16="once",3=$C16),AND($E16="weekly",3&lt;=$D16),AND($E16="biweekly",3&lt;=$D16,MOD(3-$C16,2)=0))),Flows!$C17,0))</f>
        <v/>
      </c>
      <c r="I16" s="13">
        <f>IF(OR($A16="",Flows!$C17=""),0,IF(AND(4&lt;=Setup!$B$5,4&gt;=$C16,OR(AND($E16="once",4=$C16),AND($E16="weekly",4&lt;=$D16),AND($E16="biweekly",4&lt;=$D16,MOD(4-$C16,2)=0))),Flows!$C17,0))</f>
        <v/>
      </c>
      <c r="J16" s="13">
        <f>IF(OR($A16="",Flows!$C17=""),0,IF(AND(5&lt;=Setup!$B$5,5&gt;=$C16,OR(AND($E16="once",5=$C16),AND($E16="weekly",5&lt;=$D16),AND($E16="biweekly",5&lt;=$D16,MOD(5-$C16,2)=0))),Flows!$C17,0))</f>
        <v/>
      </c>
      <c r="K16" s="13">
        <f>IF(OR($A16="",Flows!$C17=""),0,IF(AND(6&lt;=Setup!$B$5,6&gt;=$C16,OR(AND($E16="once",6=$C16),AND($E16="weekly",6&lt;=$D16),AND($E16="biweekly",6&lt;=$D16,MOD(6-$C16,2)=0))),Flows!$C17,0))</f>
        <v/>
      </c>
      <c r="L16" s="13">
        <f>IF(OR($A16="",Flows!$C17=""),0,IF(AND(7&lt;=Setup!$B$5,7&gt;=$C16,OR(AND($E16="once",7=$C16),AND($E16="weekly",7&lt;=$D16),AND($E16="biweekly",7&lt;=$D16,MOD(7-$C16,2)=0))),Flows!$C17,0))</f>
        <v/>
      </c>
      <c r="M16" s="13">
        <f>IF(OR($A16="",Flows!$C17=""),0,IF(AND(8&lt;=Setup!$B$5,8&gt;=$C16,OR(AND($E16="once",8=$C16),AND($E16="weekly",8&lt;=$D16),AND($E16="biweekly",8&lt;=$D16,MOD(8-$C16,2)=0))),Flows!$C17,0))</f>
        <v/>
      </c>
      <c r="N16" s="13">
        <f>IF(OR($A16="",Flows!$C17=""),0,IF(AND(9&lt;=Setup!$B$5,9&gt;=$C16,OR(AND($E16="once",9=$C16),AND($E16="weekly",9&lt;=$D16),AND($E16="biweekly",9&lt;=$D16,MOD(9-$C16,2)=0))),Flows!$C17,0))</f>
        <v/>
      </c>
      <c r="O16" s="13">
        <f>IF(OR($A16="",Flows!$C17=""),0,IF(AND(10&lt;=Setup!$B$5,10&gt;=$C16,OR(AND($E16="once",10=$C16),AND($E16="weekly",10&lt;=$D16),AND($E16="biweekly",10&lt;=$D16,MOD(10-$C16,2)=0))),Flows!$C17,0))</f>
        <v/>
      </c>
      <c r="P16" s="13">
        <f>IF(OR($A16="",Flows!$C17=""),0,IF(AND(11&lt;=Setup!$B$5,11&gt;=$C16,OR(AND($E16="once",11=$C16),AND($E16="weekly",11&lt;=$D16),AND($E16="biweekly",11&lt;=$D16,MOD(11-$C16,2)=0))),Flows!$C17,0))</f>
        <v/>
      </c>
      <c r="Q16" s="13">
        <f>IF(OR($A16="",Flows!$C17=""),0,IF(AND(12&lt;=Setup!$B$5,12&gt;=$C16,OR(AND($E16="once",12=$C16),AND($E16="weekly",12&lt;=$D16),AND($E16="biweekly",12&lt;=$D16,MOD(12-$C16,2)=0))),Flows!$C17,0))</f>
        <v/>
      </c>
      <c r="R16" s="13">
        <f>IF(OR($A16="",Flows!$C17=""),0,IF(AND(13&lt;=Setup!$B$5,13&gt;=$C16,OR(AND($E16="once",13=$C16),AND($E16="weekly",13&lt;=$D16),AND($E16="biweekly",13&lt;=$D16,MOD(13-$C16,2)=0))),Flows!$C17,0))</f>
        <v/>
      </c>
      <c r="S16" s="13">
        <f>IF(OR($A16="",Flows!$C17=""),0,IF(AND(14&lt;=Setup!$B$5,14&gt;=$C16,OR(AND($E16="once",14=$C16),AND($E16="weekly",14&lt;=$D16),AND($E16="biweekly",14&lt;=$D16,MOD(14-$C16,2)=0))),Flows!$C17,0))</f>
        <v/>
      </c>
      <c r="T16" s="13">
        <f>IF(OR($A16="",Flows!$C17=""),0,IF(AND(15&lt;=Setup!$B$5,15&gt;=$C16,OR(AND($E16="once",15=$C16),AND($E16="weekly",15&lt;=$D16),AND($E16="biweekly",15&lt;=$D16,MOD(15-$C16,2)=0))),Flows!$C17,0))</f>
        <v/>
      </c>
      <c r="U16" s="13">
        <f>IF(OR($A16="",Flows!$C17=""),0,IF(AND(16&lt;=Setup!$B$5,16&gt;=$C16,OR(AND($E16="once",16=$C16),AND($E16="weekly",16&lt;=$D16),AND($E16="biweekly",16&lt;=$D16,MOD(16-$C16,2)=0))),Flows!$C17,0))</f>
        <v/>
      </c>
      <c r="V16" s="13">
        <f>IF(OR($A16="",Flows!$C17=""),0,IF(AND(17&lt;=Setup!$B$5,17&gt;=$C16,OR(AND($E16="once",17=$C16),AND($E16="weekly",17&lt;=$D16),AND($E16="biweekly",17&lt;=$D16,MOD(17-$C16,2)=0))),Flows!$C17,0))</f>
        <v/>
      </c>
      <c r="W16" s="13">
        <f>IF(OR($A16="",Flows!$C17=""),0,IF(AND(18&lt;=Setup!$B$5,18&gt;=$C16,OR(AND($E16="once",18=$C16),AND($E16="weekly",18&lt;=$D16),AND($E16="biweekly",18&lt;=$D16,MOD(18-$C16,2)=0))),Flows!$C17,0))</f>
        <v/>
      </c>
      <c r="X16" s="13">
        <f>IF(OR($A16="",Flows!$C17=""),0,IF(AND(19&lt;=Setup!$B$5,19&gt;=$C16,OR(AND($E16="once",19=$C16),AND($E16="weekly",19&lt;=$D16),AND($E16="biweekly",19&lt;=$D16,MOD(19-$C16,2)=0))),Flows!$C17,0))</f>
        <v/>
      </c>
      <c r="Y16" s="13">
        <f>IF(OR($A16="",Flows!$C17=""),0,IF(AND(20&lt;=Setup!$B$5,20&gt;=$C16,OR(AND($E16="once",20=$C16),AND($E16="weekly",20&lt;=$D16),AND($E16="biweekly",20&lt;=$D16,MOD(20-$C16,2)=0))),Flows!$C17,0))</f>
        <v/>
      </c>
      <c r="Z16" s="13">
        <f>IF(OR($A16="",Flows!$C17=""),0,IF(AND(21&lt;=Setup!$B$5,21&gt;=$C16,OR(AND($E16="once",21=$C16),AND($E16="weekly",21&lt;=$D16),AND($E16="biweekly",21&lt;=$D16,MOD(21-$C16,2)=0))),Flows!$C17,0))</f>
        <v/>
      </c>
      <c r="AA16" s="13">
        <f>IF(OR($A16="",Flows!$C17=""),0,IF(AND(22&lt;=Setup!$B$5,22&gt;=$C16,OR(AND($E16="once",22=$C16),AND($E16="weekly",22&lt;=$D16),AND($E16="biweekly",22&lt;=$D16,MOD(22-$C16,2)=0))),Flows!$C17,0))</f>
        <v/>
      </c>
      <c r="AB16" s="13">
        <f>IF(OR($A16="",Flows!$C17=""),0,IF(AND(23&lt;=Setup!$B$5,23&gt;=$C16,OR(AND($E16="once",23=$C16),AND($E16="weekly",23&lt;=$D16),AND($E16="biweekly",23&lt;=$D16,MOD(23-$C16,2)=0))),Flows!$C17,0))</f>
        <v/>
      </c>
      <c r="AC16" s="13">
        <f>IF(OR($A16="",Flows!$C17=""),0,IF(AND(24&lt;=Setup!$B$5,24&gt;=$C16,OR(AND($E16="once",24=$C16),AND($E16="weekly",24&lt;=$D16),AND($E16="biweekly",24&lt;=$D16,MOD(24-$C16,2)=0))),Flows!$C17,0))</f>
        <v/>
      </c>
      <c r="AD16" s="13">
        <f>IF(OR($A16="",Flows!$C17=""),0,IF(AND(25&lt;=Setup!$B$5,25&gt;=$C16,OR(AND($E16="once",25=$C16),AND($E16="weekly",25&lt;=$D16),AND($E16="biweekly",25&lt;=$D16,MOD(25-$C16,2)=0))),Flows!$C17,0))</f>
        <v/>
      </c>
      <c r="AE16" s="13">
        <f>IF(OR($A16="",Flows!$C17=""),0,IF(AND(26&lt;=Setup!$B$5,26&gt;=$C16,OR(AND($E16="once",26=$C16),AND($E16="weekly",26&lt;=$D16),AND($E16="biweekly",26&lt;=$D16,MOD(26-$C16,2)=0))),Flows!$C17,0))</f>
        <v/>
      </c>
      <c r="AF16" s="13">
        <f>IF(OR($A16="",Flows!$C17=""),0,IF(AND(27&lt;=Setup!$B$5,27&gt;=$C16,OR(AND($E16="once",27=$C16),AND($E16="weekly",27&lt;=$D16),AND($E16="biweekly",27&lt;=$D16,MOD(27-$C16,2)=0))),Flows!$C17,0))</f>
        <v/>
      </c>
      <c r="AG16" s="13">
        <f>IF(OR($A16="",Flows!$C17=""),0,IF(AND(28&lt;=Setup!$B$5,28&gt;=$C16,OR(AND($E16="once",28=$C16),AND($E16="weekly",28&lt;=$D16),AND($E16="biweekly",28&lt;=$D16,MOD(28-$C16,2)=0))),Flows!$C17,0))</f>
        <v/>
      </c>
      <c r="AH16" s="13">
        <f>IF(OR($A16="",Flows!$C17=""),0,IF(AND(29&lt;=Setup!$B$5,29&gt;=$C16,OR(AND($E16="once",29=$C16),AND($E16="weekly",29&lt;=$D16),AND($E16="biweekly",29&lt;=$D16,MOD(29-$C16,2)=0))),Flows!$C17,0))</f>
        <v/>
      </c>
      <c r="AI16" s="13">
        <f>IF(OR($A16="",Flows!$C17=""),0,IF(AND(30&lt;=Setup!$B$5,30&gt;=$C16,OR(AND($E16="once",30=$C16),AND($E16="weekly",30&lt;=$D16),AND($E16="biweekly",30&lt;=$D16,MOD(30-$C16,2)=0))),Flows!$C17,0))</f>
        <v/>
      </c>
      <c r="AJ16" s="13">
        <f>IF(OR($A16="",Flows!$C17=""),0,IF(AND(31&lt;=Setup!$B$5,31&gt;=$C16,OR(AND($E16="once",31=$C16),AND($E16="weekly",31&lt;=$D16),AND($E16="biweekly",31&lt;=$D16,MOD(31-$C16,2)=0))),Flows!$C17,0))</f>
        <v/>
      </c>
      <c r="AK16" s="13">
        <f>IF(OR($A16="",Flows!$C17=""),0,IF(AND(32&lt;=Setup!$B$5,32&gt;=$C16,OR(AND($E16="once",32=$C16),AND($E16="weekly",32&lt;=$D16),AND($E16="biweekly",32&lt;=$D16,MOD(32-$C16,2)=0))),Flows!$C17,0))</f>
        <v/>
      </c>
      <c r="AL16" s="13">
        <f>IF(OR($A16="",Flows!$C17=""),0,IF(AND(33&lt;=Setup!$B$5,33&gt;=$C16,OR(AND($E16="once",33=$C16),AND($E16="weekly",33&lt;=$D16),AND($E16="biweekly",33&lt;=$D16,MOD(33-$C16,2)=0))),Flows!$C17,0))</f>
        <v/>
      </c>
      <c r="AM16" s="13">
        <f>IF(OR($A16="",Flows!$C17=""),0,IF(AND(34&lt;=Setup!$B$5,34&gt;=$C16,OR(AND($E16="once",34=$C16),AND($E16="weekly",34&lt;=$D16),AND($E16="biweekly",34&lt;=$D16,MOD(34-$C16,2)=0))),Flows!$C17,0))</f>
        <v/>
      </c>
      <c r="AN16" s="13">
        <f>IF(OR($A16="",Flows!$C17=""),0,IF(AND(35&lt;=Setup!$B$5,35&gt;=$C16,OR(AND($E16="once",35=$C16),AND($E16="weekly",35&lt;=$D16),AND($E16="biweekly",35&lt;=$D16,MOD(35-$C16,2)=0))),Flows!$C17,0))</f>
        <v/>
      </c>
      <c r="AO16" s="13">
        <f>IF(OR($A16="",Flows!$C17=""),0,IF(AND(36&lt;=Setup!$B$5,36&gt;=$C16,OR(AND($E16="once",36=$C16),AND($E16="weekly",36&lt;=$D16),AND($E16="biweekly",36&lt;=$D16,MOD(36-$C16,2)=0))),Flows!$C17,0))</f>
        <v/>
      </c>
      <c r="AP16" s="13">
        <f>IF(OR($A16="",Flows!$C17=""),0,IF(AND(37&lt;=Setup!$B$5,37&gt;=$C16,OR(AND($E16="once",37=$C16),AND($E16="weekly",37&lt;=$D16),AND($E16="biweekly",37&lt;=$D16,MOD(37-$C16,2)=0))),Flows!$C17,0))</f>
        <v/>
      </c>
      <c r="AQ16" s="13">
        <f>IF(OR($A16="",Flows!$C17=""),0,IF(AND(38&lt;=Setup!$B$5,38&gt;=$C16,OR(AND($E16="once",38=$C16),AND($E16="weekly",38&lt;=$D16),AND($E16="biweekly",38&lt;=$D16,MOD(38-$C16,2)=0))),Flows!$C17,0))</f>
        <v/>
      </c>
      <c r="AR16" s="13">
        <f>IF(OR($A16="",Flows!$C17=""),0,IF(AND(39&lt;=Setup!$B$5,39&gt;=$C16,OR(AND($E16="once",39=$C16),AND($E16="weekly",39&lt;=$D16),AND($E16="biweekly",39&lt;=$D16,MOD(39-$C16,2)=0))),Flows!$C17,0))</f>
        <v/>
      </c>
      <c r="AS16" s="13">
        <f>IF(OR($A16="",Flows!$C17=""),0,IF(AND(40&lt;=Setup!$B$5,40&gt;=$C16,OR(AND($E16="once",40=$C16),AND($E16="weekly",40&lt;=$D16),AND($E16="biweekly",40&lt;=$D16,MOD(40-$C16,2)=0))),Flows!$C17,0))</f>
        <v/>
      </c>
      <c r="AT16" s="13">
        <f>IF(OR($A16="",Flows!$C17=""),0,IF(AND(41&lt;=Setup!$B$5,41&gt;=$C16,OR(AND($E16="once",41=$C16),AND($E16="weekly",41&lt;=$D16),AND($E16="biweekly",41&lt;=$D16,MOD(41-$C16,2)=0))),Flows!$C17,0))</f>
        <v/>
      </c>
      <c r="AU16" s="13">
        <f>IF(OR($A16="",Flows!$C17=""),0,IF(AND(42&lt;=Setup!$B$5,42&gt;=$C16,OR(AND($E16="once",42=$C16),AND($E16="weekly",42&lt;=$D16),AND($E16="biweekly",42&lt;=$D16,MOD(42-$C16,2)=0))),Flows!$C17,0))</f>
        <v/>
      </c>
      <c r="AV16" s="13">
        <f>IF(OR($A16="",Flows!$C17=""),0,IF(AND(43&lt;=Setup!$B$5,43&gt;=$C16,OR(AND($E16="once",43=$C16),AND($E16="weekly",43&lt;=$D16),AND($E16="biweekly",43&lt;=$D16,MOD(43-$C16,2)=0))),Flows!$C17,0))</f>
        <v/>
      </c>
      <c r="AW16" s="13">
        <f>IF(OR($A16="",Flows!$C17=""),0,IF(AND(44&lt;=Setup!$B$5,44&gt;=$C16,OR(AND($E16="once",44=$C16),AND($E16="weekly",44&lt;=$D16),AND($E16="biweekly",44&lt;=$D16,MOD(44-$C16,2)=0))),Flows!$C17,0))</f>
        <v/>
      </c>
      <c r="AX16" s="13">
        <f>IF(OR($A16="",Flows!$C17=""),0,IF(AND(45&lt;=Setup!$B$5,45&gt;=$C16,OR(AND($E16="once",45=$C16),AND($E16="weekly",45&lt;=$D16),AND($E16="biweekly",45&lt;=$D16,MOD(45-$C16,2)=0))),Flows!$C17,0))</f>
        <v/>
      </c>
      <c r="AY16" s="13">
        <f>IF(OR($A16="",Flows!$C17=""),0,IF(AND(46&lt;=Setup!$B$5,46&gt;=$C16,OR(AND($E16="once",46=$C16),AND($E16="weekly",46&lt;=$D16),AND($E16="biweekly",46&lt;=$D16,MOD(46-$C16,2)=0))),Flows!$C17,0))</f>
        <v/>
      </c>
      <c r="AZ16" s="13">
        <f>IF(OR($A16="",Flows!$C17=""),0,IF(AND(47&lt;=Setup!$B$5,47&gt;=$C16,OR(AND($E16="once",47=$C16),AND($E16="weekly",47&lt;=$D16),AND($E16="biweekly",47&lt;=$D16,MOD(47-$C16,2)=0))),Flows!$C17,0))</f>
        <v/>
      </c>
      <c r="BA16" s="13">
        <f>IF(OR($A16="",Flows!$C17=""),0,IF(AND(48&lt;=Setup!$B$5,48&gt;=$C16,OR(AND($E16="once",48=$C16),AND($E16="weekly",48&lt;=$D16),AND($E16="biweekly",48&lt;=$D16,MOD(48-$C16,2)=0))),Flows!$C17,0))</f>
        <v/>
      </c>
      <c r="BB16" s="13">
        <f>IF(OR($A16="",Flows!$C17=""),0,IF(AND(49&lt;=Setup!$B$5,49&gt;=$C16,OR(AND($E16="once",49=$C16),AND($E16="weekly",49&lt;=$D16),AND($E16="biweekly",49&lt;=$D16,MOD(49-$C16,2)=0))),Flows!$C17,0))</f>
        <v/>
      </c>
      <c r="BC16" s="13">
        <f>IF(OR($A16="",Flows!$C17=""),0,IF(AND(50&lt;=Setup!$B$5,50&gt;=$C16,OR(AND($E16="once",50=$C16),AND($E16="weekly",50&lt;=$D16),AND($E16="biweekly",50&lt;=$D16,MOD(50-$C16,2)=0))),Flows!$C17,0))</f>
        <v/>
      </c>
      <c r="BD16" s="13">
        <f>IF(OR($A16="",Flows!$C17=""),0,IF(AND(51&lt;=Setup!$B$5,51&gt;=$C16,OR(AND($E16="once",51=$C16),AND($E16="weekly",51&lt;=$D16),AND($E16="biweekly",51&lt;=$D16,MOD(51-$C16,2)=0))),Flows!$C17,0))</f>
        <v/>
      </c>
      <c r="BE16" s="13">
        <f>IF(OR($A16="",Flows!$C17=""),0,IF(AND(52&lt;=Setup!$B$5,52&gt;=$C16,OR(AND($E16="once",52=$C16),AND($E16="weekly",52&lt;=$D16),AND($E16="biweekly",52&lt;=$D16,MOD(52-$C16,2)=0))),Flows!$C17,0))</f>
        <v/>
      </c>
    </row>
    <row r="17">
      <c r="A17" s="7">
        <f>IF(Flows!A18="","",LOWER(Flows!A18))</f>
        <v/>
      </c>
      <c r="B17" s="7">
        <f>IF(Flows!B18="","",Flows!B18)</f>
        <v/>
      </c>
      <c r="C17" s="7">
        <f>N(Flows!D18)</f>
        <v/>
      </c>
      <c r="D17" s="7">
        <f>IF(Flows!F18="",Setup!$B$5,Flows!F18)</f>
        <v/>
      </c>
      <c r="E17" s="7">
        <f>IF(Flows!E18="","once",LOWER(Flows!E18))</f>
        <v/>
      </c>
      <c r="F17" s="13">
        <f>IF(OR($A17="",Flows!$C18=""),0,IF(AND(1&lt;=Setup!$B$5,1&gt;=$C17,OR(AND($E17="once",1=$C17),AND($E17="weekly",1&lt;=$D17),AND($E17="biweekly",1&lt;=$D17,MOD(1-$C17,2)=0))),Flows!$C18,0))</f>
        <v/>
      </c>
      <c r="G17" s="13">
        <f>IF(OR($A17="",Flows!$C18=""),0,IF(AND(2&lt;=Setup!$B$5,2&gt;=$C17,OR(AND($E17="once",2=$C17),AND($E17="weekly",2&lt;=$D17),AND($E17="biweekly",2&lt;=$D17,MOD(2-$C17,2)=0))),Flows!$C18,0))</f>
        <v/>
      </c>
      <c r="H17" s="13">
        <f>IF(OR($A17="",Flows!$C18=""),0,IF(AND(3&lt;=Setup!$B$5,3&gt;=$C17,OR(AND($E17="once",3=$C17),AND($E17="weekly",3&lt;=$D17),AND($E17="biweekly",3&lt;=$D17,MOD(3-$C17,2)=0))),Flows!$C18,0))</f>
        <v/>
      </c>
      <c r="I17" s="13">
        <f>IF(OR($A17="",Flows!$C18=""),0,IF(AND(4&lt;=Setup!$B$5,4&gt;=$C17,OR(AND($E17="once",4=$C17),AND($E17="weekly",4&lt;=$D17),AND($E17="biweekly",4&lt;=$D17,MOD(4-$C17,2)=0))),Flows!$C18,0))</f>
        <v/>
      </c>
      <c r="J17" s="13">
        <f>IF(OR($A17="",Flows!$C18=""),0,IF(AND(5&lt;=Setup!$B$5,5&gt;=$C17,OR(AND($E17="once",5=$C17),AND($E17="weekly",5&lt;=$D17),AND($E17="biweekly",5&lt;=$D17,MOD(5-$C17,2)=0))),Flows!$C18,0))</f>
        <v/>
      </c>
      <c r="K17" s="13">
        <f>IF(OR($A17="",Flows!$C18=""),0,IF(AND(6&lt;=Setup!$B$5,6&gt;=$C17,OR(AND($E17="once",6=$C17),AND($E17="weekly",6&lt;=$D17),AND($E17="biweekly",6&lt;=$D17,MOD(6-$C17,2)=0))),Flows!$C18,0))</f>
        <v/>
      </c>
      <c r="L17" s="13">
        <f>IF(OR($A17="",Flows!$C18=""),0,IF(AND(7&lt;=Setup!$B$5,7&gt;=$C17,OR(AND($E17="once",7=$C17),AND($E17="weekly",7&lt;=$D17),AND($E17="biweekly",7&lt;=$D17,MOD(7-$C17,2)=0))),Flows!$C18,0))</f>
        <v/>
      </c>
      <c r="M17" s="13">
        <f>IF(OR($A17="",Flows!$C18=""),0,IF(AND(8&lt;=Setup!$B$5,8&gt;=$C17,OR(AND($E17="once",8=$C17),AND($E17="weekly",8&lt;=$D17),AND($E17="biweekly",8&lt;=$D17,MOD(8-$C17,2)=0))),Flows!$C18,0))</f>
        <v/>
      </c>
      <c r="N17" s="13">
        <f>IF(OR($A17="",Flows!$C18=""),0,IF(AND(9&lt;=Setup!$B$5,9&gt;=$C17,OR(AND($E17="once",9=$C17),AND($E17="weekly",9&lt;=$D17),AND($E17="biweekly",9&lt;=$D17,MOD(9-$C17,2)=0))),Flows!$C18,0))</f>
        <v/>
      </c>
      <c r="O17" s="13">
        <f>IF(OR($A17="",Flows!$C18=""),0,IF(AND(10&lt;=Setup!$B$5,10&gt;=$C17,OR(AND($E17="once",10=$C17),AND($E17="weekly",10&lt;=$D17),AND($E17="biweekly",10&lt;=$D17,MOD(10-$C17,2)=0))),Flows!$C18,0))</f>
        <v/>
      </c>
      <c r="P17" s="13">
        <f>IF(OR($A17="",Flows!$C18=""),0,IF(AND(11&lt;=Setup!$B$5,11&gt;=$C17,OR(AND($E17="once",11=$C17),AND($E17="weekly",11&lt;=$D17),AND($E17="biweekly",11&lt;=$D17,MOD(11-$C17,2)=0))),Flows!$C18,0))</f>
        <v/>
      </c>
      <c r="Q17" s="13">
        <f>IF(OR($A17="",Flows!$C18=""),0,IF(AND(12&lt;=Setup!$B$5,12&gt;=$C17,OR(AND($E17="once",12=$C17),AND($E17="weekly",12&lt;=$D17),AND($E17="biweekly",12&lt;=$D17,MOD(12-$C17,2)=0))),Flows!$C18,0))</f>
        <v/>
      </c>
      <c r="R17" s="13">
        <f>IF(OR($A17="",Flows!$C18=""),0,IF(AND(13&lt;=Setup!$B$5,13&gt;=$C17,OR(AND($E17="once",13=$C17),AND($E17="weekly",13&lt;=$D17),AND($E17="biweekly",13&lt;=$D17,MOD(13-$C17,2)=0))),Flows!$C18,0))</f>
        <v/>
      </c>
      <c r="S17" s="13">
        <f>IF(OR($A17="",Flows!$C18=""),0,IF(AND(14&lt;=Setup!$B$5,14&gt;=$C17,OR(AND($E17="once",14=$C17),AND($E17="weekly",14&lt;=$D17),AND($E17="biweekly",14&lt;=$D17,MOD(14-$C17,2)=0))),Flows!$C18,0))</f>
        <v/>
      </c>
      <c r="T17" s="13">
        <f>IF(OR($A17="",Flows!$C18=""),0,IF(AND(15&lt;=Setup!$B$5,15&gt;=$C17,OR(AND($E17="once",15=$C17),AND($E17="weekly",15&lt;=$D17),AND($E17="biweekly",15&lt;=$D17,MOD(15-$C17,2)=0))),Flows!$C18,0))</f>
        <v/>
      </c>
      <c r="U17" s="13">
        <f>IF(OR($A17="",Flows!$C18=""),0,IF(AND(16&lt;=Setup!$B$5,16&gt;=$C17,OR(AND($E17="once",16=$C17),AND($E17="weekly",16&lt;=$D17),AND($E17="biweekly",16&lt;=$D17,MOD(16-$C17,2)=0))),Flows!$C18,0))</f>
        <v/>
      </c>
      <c r="V17" s="13">
        <f>IF(OR($A17="",Flows!$C18=""),0,IF(AND(17&lt;=Setup!$B$5,17&gt;=$C17,OR(AND($E17="once",17=$C17),AND($E17="weekly",17&lt;=$D17),AND($E17="biweekly",17&lt;=$D17,MOD(17-$C17,2)=0))),Flows!$C18,0))</f>
        <v/>
      </c>
      <c r="W17" s="13">
        <f>IF(OR($A17="",Flows!$C18=""),0,IF(AND(18&lt;=Setup!$B$5,18&gt;=$C17,OR(AND($E17="once",18=$C17),AND($E17="weekly",18&lt;=$D17),AND($E17="biweekly",18&lt;=$D17,MOD(18-$C17,2)=0))),Flows!$C18,0))</f>
        <v/>
      </c>
      <c r="X17" s="13">
        <f>IF(OR($A17="",Flows!$C18=""),0,IF(AND(19&lt;=Setup!$B$5,19&gt;=$C17,OR(AND($E17="once",19=$C17),AND($E17="weekly",19&lt;=$D17),AND($E17="biweekly",19&lt;=$D17,MOD(19-$C17,2)=0))),Flows!$C18,0))</f>
        <v/>
      </c>
      <c r="Y17" s="13">
        <f>IF(OR($A17="",Flows!$C18=""),0,IF(AND(20&lt;=Setup!$B$5,20&gt;=$C17,OR(AND($E17="once",20=$C17),AND($E17="weekly",20&lt;=$D17),AND($E17="biweekly",20&lt;=$D17,MOD(20-$C17,2)=0))),Flows!$C18,0))</f>
        <v/>
      </c>
      <c r="Z17" s="13">
        <f>IF(OR($A17="",Flows!$C18=""),0,IF(AND(21&lt;=Setup!$B$5,21&gt;=$C17,OR(AND($E17="once",21=$C17),AND($E17="weekly",21&lt;=$D17),AND($E17="biweekly",21&lt;=$D17,MOD(21-$C17,2)=0))),Flows!$C18,0))</f>
        <v/>
      </c>
      <c r="AA17" s="13">
        <f>IF(OR($A17="",Flows!$C18=""),0,IF(AND(22&lt;=Setup!$B$5,22&gt;=$C17,OR(AND($E17="once",22=$C17),AND($E17="weekly",22&lt;=$D17),AND($E17="biweekly",22&lt;=$D17,MOD(22-$C17,2)=0))),Flows!$C18,0))</f>
        <v/>
      </c>
      <c r="AB17" s="13">
        <f>IF(OR($A17="",Flows!$C18=""),0,IF(AND(23&lt;=Setup!$B$5,23&gt;=$C17,OR(AND($E17="once",23=$C17),AND($E17="weekly",23&lt;=$D17),AND($E17="biweekly",23&lt;=$D17,MOD(23-$C17,2)=0))),Flows!$C18,0))</f>
        <v/>
      </c>
      <c r="AC17" s="13">
        <f>IF(OR($A17="",Flows!$C18=""),0,IF(AND(24&lt;=Setup!$B$5,24&gt;=$C17,OR(AND($E17="once",24=$C17),AND($E17="weekly",24&lt;=$D17),AND($E17="biweekly",24&lt;=$D17,MOD(24-$C17,2)=0))),Flows!$C18,0))</f>
        <v/>
      </c>
      <c r="AD17" s="13">
        <f>IF(OR($A17="",Flows!$C18=""),0,IF(AND(25&lt;=Setup!$B$5,25&gt;=$C17,OR(AND($E17="once",25=$C17),AND($E17="weekly",25&lt;=$D17),AND($E17="biweekly",25&lt;=$D17,MOD(25-$C17,2)=0))),Flows!$C18,0))</f>
        <v/>
      </c>
      <c r="AE17" s="13">
        <f>IF(OR($A17="",Flows!$C18=""),0,IF(AND(26&lt;=Setup!$B$5,26&gt;=$C17,OR(AND($E17="once",26=$C17),AND($E17="weekly",26&lt;=$D17),AND($E17="biweekly",26&lt;=$D17,MOD(26-$C17,2)=0))),Flows!$C18,0))</f>
        <v/>
      </c>
      <c r="AF17" s="13">
        <f>IF(OR($A17="",Flows!$C18=""),0,IF(AND(27&lt;=Setup!$B$5,27&gt;=$C17,OR(AND($E17="once",27=$C17),AND($E17="weekly",27&lt;=$D17),AND($E17="biweekly",27&lt;=$D17,MOD(27-$C17,2)=0))),Flows!$C18,0))</f>
        <v/>
      </c>
      <c r="AG17" s="13">
        <f>IF(OR($A17="",Flows!$C18=""),0,IF(AND(28&lt;=Setup!$B$5,28&gt;=$C17,OR(AND($E17="once",28=$C17),AND($E17="weekly",28&lt;=$D17),AND($E17="biweekly",28&lt;=$D17,MOD(28-$C17,2)=0))),Flows!$C18,0))</f>
        <v/>
      </c>
      <c r="AH17" s="13">
        <f>IF(OR($A17="",Flows!$C18=""),0,IF(AND(29&lt;=Setup!$B$5,29&gt;=$C17,OR(AND($E17="once",29=$C17),AND($E17="weekly",29&lt;=$D17),AND($E17="biweekly",29&lt;=$D17,MOD(29-$C17,2)=0))),Flows!$C18,0))</f>
        <v/>
      </c>
      <c r="AI17" s="13">
        <f>IF(OR($A17="",Flows!$C18=""),0,IF(AND(30&lt;=Setup!$B$5,30&gt;=$C17,OR(AND($E17="once",30=$C17),AND($E17="weekly",30&lt;=$D17),AND($E17="biweekly",30&lt;=$D17,MOD(30-$C17,2)=0))),Flows!$C18,0))</f>
        <v/>
      </c>
      <c r="AJ17" s="13">
        <f>IF(OR($A17="",Flows!$C18=""),0,IF(AND(31&lt;=Setup!$B$5,31&gt;=$C17,OR(AND($E17="once",31=$C17),AND($E17="weekly",31&lt;=$D17),AND($E17="biweekly",31&lt;=$D17,MOD(31-$C17,2)=0))),Flows!$C18,0))</f>
        <v/>
      </c>
      <c r="AK17" s="13">
        <f>IF(OR($A17="",Flows!$C18=""),0,IF(AND(32&lt;=Setup!$B$5,32&gt;=$C17,OR(AND($E17="once",32=$C17),AND($E17="weekly",32&lt;=$D17),AND($E17="biweekly",32&lt;=$D17,MOD(32-$C17,2)=0))),Flows!$C18,0))</f>
        <v/>
      </c>
      <c r="AL17" s="13">
        <f>IF(OR($A17="",Flows!$C18=""),0,IF(AND(33&lt;=Setup!$B$5,33&gt;=$C17,OR(AND($E17="once",33=$C17),AND($E17="weekly",33&lt;=$D17),AND($E17="biweekly",33&lt;=$D17,MOD(33-$C17,2)=0))),Flows!$C18,0))</f>
        <v/>
      </c>
      <c r="AM17" s="13">
        <f>IF(OR($A17="",Flows!$C18=""),0,IF(AND(34&lt;=Setup!$B$5,34&gt;=$C17,OR(AND($E17="once",34=$C17),AND($E17="weekly",34&lt;=$D17),AND($E17="biweekly",34&lt;=$D17,MOD(34-$C17,2)=0))),Flows!$C18,0))</f>
        <v/>
      </c>
      <c r="AN17" s="13">
        <f>IF(OR($A17="",Flows!$C18=""),0,IF(AND(35&lt;=Setup!$B$5,35&gt;=$C17,OR(AND($E17="once",35=$C17),AND($E17="weekly",35&lt;=$D17),AND($E17="biweekly",35&lt;=$D17,MOD(35-$C17,2)=0))),Flows!$C18,0))</f>
        <v/>
      </c>
      <c r="AO17" s="13">
        <f>IF(OR($A17="",Flows!$C18=""),0,IF(AND(36&lt;=Setup!$B$5,36&gt;=$C17,OR(AND($E17="once",36=$C17),AND($E17="weekly",36&lt;=$D17),AND($E17="biweekly",36&lt;=$D17,MOD(36-$C17,2)=0))),Flows!$C18,0))</f>
        <v/>
      </c>
      <c r="AP17" s="13">
        <f>IF(OR($A17="",Flows!$C18=""),0,IF(AND(37&lt;=Setup!$B$5,37&gt;=$C17,OR(AND($E17="once",37=$C17),AND($E17="weekly",37&lt;=$D17),AND($E17="biweekly",37&lt;=$D17,MOD(37-$C17,2)=0))),Flows!$C18,0))</f>
        <v/>
      </c>
      <c r="AQ17" s="13">
        <f>IF(OR($A17="",Flows!$C18=""),0,IF(AND(38&lt;=Setup!$B$5,38&gt;=$C17,OR(AND($E17="once",38=$C17),AND($E17="weekly",38&lt;=$D17),AND($E17="biweekly",38&lt;=$D17,MOD(38-$C17,2)=0))),Flows!$C18,0))</f>
        <v/>
      </c>
      <c r="AR17" s="13">
        <f>IF(OR($A17="",Flows!$C18=""),0,IF(AND(39&lt;=Setup!$B$5,39&gt;=$C17,OR(AND($E17="once",39=$C17),AND($E17="weekly",39&lt;=$D17),AND($E17="biweekly",39&lt;=$D17,MOD(39-$C17,2)=0))),Flows!$C18,0))</f>
        <v/>
      </c>
      <c r="AS17" s="13">
        <f>IF(OR($A17="",Flows!$C18=""),0,IF(AND(40&lt;=Setup!$B$5,40&gt;=$C17,OR(AND($E17="once",40=$C17),AND($E17="weekly",40&lt;=$D17),AND($E17="biweekly",40&lt;=$D17,MOD(40-$C17,2)=0))),Flows!$C18,0))</f>
        <v/>
      </c>
      <c r="AT17" s="13">
        <f>IF(OR($A17="",Flows!$C18=""),0,IF(AND(41&lt;=Setup!$B$5,41&gt;=$C17,OR(AND($E17="once",41=$C17),AND($E17="weekly",41&lt;=$D17),AND($E17="biweekly",41&lt;=$D17,MOD(41-$C17,2)=0))),Flows!$C18,0))</f>
        <v/>
      </c>
      <c r="AU17" s="13">
        <f>IF(OR($A17="",Flows!$C18=""),0,IF(AND(42&lt;=Setup!$B$5,42&gt;=$C17,OR(AND($E17="once",42=$C17),AND($E17="weekly",42&lt;=$D17),AND($E17="biweekly",42&lt;=$D17,MOD(42-$C17,2)=0))),Flows!$C18,0))</f>
        <v/>
      </c>
      <c r="AV17" s="13">
        <f>IF(OR($A17="",Flows!$C18=""),0,IF(AND(43&lt;=Setup!$B$5,43&gt;=$C17,OR(AND($E17="once",43=$C17),AND($E17="weekly",43&lt;=$D17),AND($E17="biweekly",43&lt;=$D17,MOD(43-$C17,2)=0))),Flows!$C18,0))</f>
        <v/>
      </c>
      <c r="AW17" s="13">
        <f>IF(OR($A17="",Flows!$C18=""),0,IF(AND(44&lt;=Setup!$B$5,44&gt;=$C17,OR(AND($E17="once",44=$C17),AND($E17="weekly",44&lt;=$D17),AND($E17="biweekly",44&lt;=$D17,MOD(44-$C17,2)=0))),Flows!$C18,0))</f>
        <v/>
      </c>
      <c r="AX17" s="13">
        <f>IF(OR($A17="",Flows!$C18=""),0,IF(AND(45&lt;=Setup!$B$5,45&gt;=$C17,OR(AND($E17="once",45=$C17),AND($E17="weekly",45&lt;=$D17),AND($E17="biweekly",45&lt;=$D17,MOD(45-$C17,2)=0))),Flows!$C18,0))</f>
        <v/>
      </c>
      <c r="AY17" s="13">
        <f>IF(OR($A17="",Flows!$C18=""),0,IF(AND(46&lt;=Setup!$B$5,46&gt;=$C17,OR(AND($E17="once",46=$C17),AND($E17="weekly",46&lt;=$D17),AND($E17="biweekly",46&lt;=$D17,MOD(46-$C17,2)=0))),Flows!$C18,0))</f>
        <v/>
      </c>
      <c r="AZ17" s="13">
        <f>IF(OR($A17="",Flows!$C18=""),0,IF(AND(47&lt;=Setup!$B$5,47&gt;=$C17,OR(AND($E17="once",47=$C17),AND($E17="weekly",47&lt;=$D17),AND($E17="biweekly",47&lt;=$D17,MOD(47-$C17,2)=0))),Flows!$C18,0))</f>
        <v/>
      </c>
      <c r="BA17" s="13">
        <f>IF(OR($A17="",Flows!$C18=""),0,IF(AND(48&lt;=Setup!$B$5,48&gt;=$C17,OR(AND($E17="once",48=$C17),AND($E17="weekly",48&lt;=$D17),AND($E17="biweekly",48&lt;=$D17,MOD(48-$C17,2)=0))),Flows!$C18,0))</f>
        <v/>
      </c>
      <c r="BB17" s="13">
        <f>IF(OR($A17="",Flows!$C18=""),0,IF(AND(49&lt;=Setup!$B$5,49&gt;=$C17,OR(AND($E17="once",49=$C17),AND($E17="weekly",49&lt;=$D17),AND($E17="biweekly",49&lt;=$D17,MOD(49-$C17,2)=0))),Flows!$C18,0))</f>
        <v/>
      </c>
      <c r="BC17" s="13">
        <f>IF(OR($A17="",Flows!$C18=""),0,IF(AND(50&lt;=Setup!$B$5,50&gt;=$C17,OR(AND($E17="once",50=$C17),AND($E17="weekly",50&lt;=$D17),AND($E17="biweekly",50&lt;=$D17,MOD(50-$C17,2)=0))),Flows!$C18,0))</f>
        <v/>
      </c>
      <c r="BD17" s="13">
        <f>IF(OR($A17="",Flows!$C18=""),0,IF(AND(51&lt;=Setup!$B$5,51&gt;=$C17,OR(AND($E17="once",51=$C17),AND($E17="weekly",51&lt;=$D17),AND($E17="biweekly",51&lt;=$D17,MOD(51-$C17,2)=0))),Flows!$C18,0))</f>
        <v/>
      </c>
      <c r="BE17" s="13">
        <f>IF(OR($A17="",Flows!$C18=""),0,IF(AND(52&lt;=Setup!$B$5,52&gt;=$C17,OR(AND($E17="once",52=$C17),AND($E17="weekly",52&lt;=$D17),AND($E17="biweekly",52&lt;=$D17,MOD(52-$C17,2)=0))),Flows!$C18,0))</f>
        <v/>
      </c>
    </row>
    <row r="18">
      <c r="A18" s="7">
        <f>IF(Flows!A19="","",LOWER(Flows!A19))</f>
        <v/>
      </c>
      <c r="B18" s="7">
        <f>IF(Flows!B19="","",Flows!B19)</f>
        <v/>
      </c>
      <c r="C18" s="7">
        <f>N(Flows!D19)</f>
        <v/>
      </c>
      <c r="D18" s="7">
        <f>IF(Flows!F19="",Setup!$B$5,Flows!F19)</f>
        <v/>
      </c>
      <c r="E18" s="7">
        <f>IF(Flows!E19="","once",LOWER(Flows!E19))</f>
        <v/>
      </c>
      <c r="F18" s="13">
        <f>IF(OR($A18="",Flows!$C19=""),0,IF(AND(1&lt;=Setup!$B$5,1&gt;=$C18,OR(AND($E18="once",1=$C18),AND($E18="weekly",1&lt;=$D18),AND($E18="biweekly",1&lt;=$D18,MOD(1-$C18,2)=0))),Flows!$C19,0))</f>
        <v/>
      </c>
      <c r="G18" s="13">
        <f>IF(OR($A18="",Flows!$C19=""),0,IF(AND(2&lt;=Setup!$B$5,2&gt;=$C18,OR(AND($E18="once",2=$C18),AND($E18="weekly",2&lt;=$D18),AND($E18="biweekly",2&lt;=$D18,MOD(2-$C18,2)=0))),Flows!$C19,0))</f>
        <v/>
      </c>
      <c r="H18" s="13">
        <f>IF(OR($A18="",Flows!$C19=""),0,IF(AND(3&lt;=Setup!$B$5,3&gt;=$C18,OR(AND($E18="once",3=$C18),AND($E18="weekly",3&lt;=$D18),AND($E18="biweekly",3&lt;=$D18,MOD(3-$C18,2)=0))),Flows!$C19,0))</f>
        <v/>
      </c>
      <c r="I18" s="13">
        <f>IF(OR($A18="",Flows!$C19=""),0,IF(AND(4&lt;=Setup!$B$5,4&gt;=$C18,OR(AND($E18="once",4=$C18),AND($E18="weekly",4&lt;=$D18),AND($E18="biweekly",4&lt;=$D18,MOD(4-$C18,2)=0))),Flows!$C19,0))</f>
        <v/>
      </c>
      <c r="J18" s="13">
        <f>IF(OR($A18="",Flows!$C19=""),0,IF(AND(5&lt;=Setup!$B$5,5&gt;=$C18,OR(AND($E18="once",5=$C18),AND($E18="weekly",5&lt;=$D18),AND($E18="biweekly",5&lt;=$D18,MOD(5-$C18,2)=0))),Flows!$C19,0))</f>
        <v/>
      </c>
      <c r="K18" s="13">
        <f>IF(OR($A18="",Flows!$C19=""),0,IF(AND(6&lt;=Setup!$B$5,6&gt;=$C18,OR(AND($E18="once",6=$C18),AND($E18="weekly",6&lt;=$D18),AND($E18="biweekly",6&lt;=$D18,MOD(6-$C18,2)=0))),Flows!$C19,0))</f>
        <v/>
      </c>
      <c r="L18" s="13">
        <f>IF(OR($A18="",Flows!$C19=""),0,IF(AND(7&lt;=Setup!$B$5,7&gt;=$C18,OR(AND($E18="once",7=$C18),AND($E18="weekly",7&lt;=$D18),AND($E18="biweekly",7&lt;=$D18,MOD(7-$C18,2)=0))),Flows!$C19,0))</f>
        <v/>
      </c>
      <c r="M18" s="13">
        <f>IF(OR($A18="",Flows!$C19=""),0,IF(AND(8&lt;=Setup!$B$5,8&gt;=$C18,OR(AND($E18="once",8=$C18),AND($E18="weekly",8&lt;=$D18),AND($E18="biweekly",8&lt;=$D18,MOD(8-$C18,2)=0))),Flows!$C19,0))</f>
        <v/>
      </c>
      <c r="N18" s="13">
        <f>IF(OR($A18="",Flows!$C19=""),0,IF(AND(9&lt;=Setup!$B$5,9&gt;=$C18,OR(AND($E18="once",9=$C18),AND($E18="weekly",9&lt;=$D18),AND($E18="biweekly",9&lt;=$D18,MOD(9-$C18,2)=0))),Flows!$C19,0))</f>
        <v/>
      </c>
      <c r="O18" s="13">
        <f>IF(OR($A18="",Flows!$C19=""),0,IF(AND(10&lt;=Setup!$B$5,10&gt;=$C18,OR(AND($E18="once",10=$C18),AND($E18="weekly",10&lt;=$D18),AND($E18="biweekly",10&lt;=$D18,MOD(10-$C18,2)=0))),Flows!$C19,0))</f>
        <v/>
      </c>
      <c r="P18" s="13">
        <f>IF(OR($A18="",Flows!$C19=""),0,IF(AND(11&lt;=Setup!$B$5,11&gt;=$C18,OR(AND($E18="once",11=$C18),AND($E18="weekly",11&lt;=$D18),AND($E18="biweekly",11&lt;=$D18,MOD(11-$C18,2)=0))),Flows!$C19,0))</f>
        <v/>
      </c>
      <c r="Q18" s="13">
        <f>IF(OR($A18="",Flows!$C19=""),0,IF(AND(12&lt;=Setup!$B$5,12&gt;=$C18,OR(AND($E18="once",12=$C18),AND($E18="weekly",12&lt;=$D18),AND($E18="biweekly",12&lt;=$D18,MOD(12-$C18,2)=0))),Flows!$C19,0))</f>
        <v/>
      </c>
      <c r="R18" s="13">
        <f>IF(OR($A18="",Flows!$C19=""),0,IF(AND(13&lt;=Setup!$B$5,13&gt;=$C18,OR(AND($E18="once",13=$C18),AND($E18="weekly",13&lt;=$D18),AND($E18="biweekly",13&lt;=$D18,MOD(13-$C18,2)=0))),Flows!$C19,0))</f>
        <v/>
      </c>
      <c r="S18" s="13">
        <f>IF(OR($A18="",Flows!$C19=""),0,IF(AND(14&lt;=Setup!$B$5,14&gt;=$C18,OR(AND($E18="once",14=$C18),AND($E18="weekly",14&lt;=$D18),AND($E18="biweekly",14&lt;=$D18,MOD(14-$C18,2)=0))),Flows!$C19,0))</f>
        <v/>
      </c>
      <c r="T18" s="13">
        <f>IF(OR($A18="",Flows!$C19=""),0,IF(AND(15&lt;=Setup!$B$5,15&gt;=$C18,OR(AND($E18="once",15=$C18),AND($E18="weekly",15&lt;=$D18),AND($E18="biweekly",15&lt;=$D18,MOD(15-$C18,2)=0))),Flows!$C19,0))</f>
        <v/>
      </c>
      <c r="U18" s="13">
        <f>IF(OR($A18="",Flows!$C19=""),0,IF(AND(16&lt;=Setup!$B$5,16&gt;=$C18,OR(AND($E18="once",16=$C18),AND($E18="weekly",16&lt;=$D18),AND($E18="biweekly",16&lt;=$D18,MOD(16-$C18,2)=0))),Flows!$C19,0))</f>
        <v/>
      </c>
      <c r="V18" s="13">
        <f>IF(OR($A18="",Flows!$C19=""),0,IF(AND(17&lt;=Setup!$B$5,17&gt;=$C18,OR(AND($E18="once",17=$C18),AND($E18="weekly",17&lt;=$D18),AND($E18="biweekly",17&lt;=$D18,MOD(17-$C18,2)=0))),Flows!$C19,0))</f>
        <v/>
      </c>
      <c r="W18" s="13">
        <f>IF(OR($A18="",Flows!$C19=""),0,IF(AND(18&lt;=Setup!$B$5,18&gt;=$C18,OR(AND($E18="once",18=$C18),AND($E18="weekly",18&lt;=$D18),AND($E18="biweekly",18&lt;=$D18,MOD(18-$C18,2)=0))),Flows!$C19,0))</f>
        <v/>
      </c>
      <c r="X18" s="13">
        <f>IF(OR($A18="",Flows!$C19=""),0,IF(AND(19&lt;=Setup!$B$5,19&gt;=$C18,OR(AND($E18="once",19=$C18),AND($E18="weekly",19&lt;=$D18),AND($E18="biweekly",19&lt;=$D18,MOD(19-$C18,2)=0))),Flows!$C19,0))</f>
        <v/>
      </c>
      <c r="Y18" s="13">
        <f>IF(OR($A18="",Flows!$C19=""),0,IF(AND(20&lt;=Setup!$B$5,20&gt;=$C18,OR(AND($E18="once",20=$C18),AND($E18="weekly",20&lt;=$D18),AND($E18="biweekly",20&lt;=$D18,MOD(20-$C18,2)=0))),Flows!$C19,0))</f>
        <v/>
      </c>
      <c r="Z18" s="13">
        <f>IF(OR($A18="",Flows!$C19=""),0,IF(AND(21&lt;=Setup!$B$5,21&gt;=$C18,OR(AND($E18="once",21=$C18),AND($E18="weekly",21&lt;=$D18),AND($E18="biweekly",21&lt;=$D18,MOD(21-$C18,2)=0))),Flows!$C19,0))</f>
        <v/>
      </c>
      <c r="AA18" s="13">
        <f>IF(OR($A18="",Flows!$C19=""),0,IF(AND(22&lt;=Setup!$B$5,22&gt;=$C18,OR(AND($E18="once",22=$C18),AND($E18="weekly",22&lt;=$D18),AND($E18="biweekly",22&lt;=$D18,MOD(22-$C18,2)=0))),Flows!$C19,0))</f>
        <v/>
      </c>
      <c r="AB18" s="13">
        <f>IF(OR($A18="",Flows!$C19=""),0,IF(AND(23&lt;=Setup!$B$5,23&gt;=$C18,OR(AND($E18="once",23=$C18),AND($E18="weekly",23&lt;=$D18),AND($E18="biweekly",23&lt;=$D18,MOD(23-$C18,2)=0))),Flows!$C19,0))</f>
        <v/>
      </c>
      <c r="AC18" s="13">
        <f>IF(OR($A18="",Flows!$C19=""),0,IF(AND(24&lt;=Setup!$B$5,24&gt;=$C18,OR(AND($E18="once",24=$C18),AND($E18="weekly",24&lt;=$D18),AND($E18="biweekly",24&lt;=$D18,MOD(24-$C18,2)=0))),Flows!$C19,0))</f>
        <v/>
      </c>
      <c r="AD18" s="13">
        <f>IF(OR($A18="",Flows!$C19=""),0,IF(AND(25&lt;=Setup!$B$5,25&gt;=$C18,OR(AND($E18="once",25=$C18),AND($E18="weekly",25&lt;=$D18),AND($E18="biweekly",25&lt;=$D18,MOD(25-$C18,2)=0))),Flows!$C19,0))</f>
        <v/>
      </c>
      <c r="AE18" s="13">
        <f>IF(OR($A18="",Flows!$C19=""),0,IF(AND(26&lt;=Setup!$B$5,26&gt;=$C18,OR(AND($E18="once",26=$C18),AND($E18="weekly",26&lt;=$D18),AND($E18="biweekly",26&lt;=$D18,MOD(26-$C18,2)=0))),Flows!$C19,0))</f>
        <v/>
      </c>
      <c r="AF18" s="13">
        <f>IF(OR($A18="",Flows!$C19=""),0,IF(AND(27&lt;=Setup!$B$5,27&gt;=$C18,OR(AND($E18="once",27=$C18),AND($E18="weekly",27&lt;=$D18),AND($E18="biweekly",27&lt;=$D18,MOD(27-$C18,2)=0))),Flows!$C19,0))</f>
        <v/>
      </c>
      <c r="AG18" s="13">
        <f>IF(OR($A18="",Flows!$C19=""),0,IF(AND(28&lt;=Setup!$B$5,28&gt;=$C18,OR(AND($E18="once",28=$C18),AND($E18="weekly",28&lt;=$D18),AND($E18="biweekly",28&lt;=$D18,MOD(28-$C18,2)=0))),Flows!$C19,0))</f>
        <v/>
      </c>
      <c r="AH18" s="13">
        <f>IF(OR($A18="",Flows!$C19=""),0,IF(AND(29&lt;=Setup!$B$5,29&gt;=$C18,OR(AND($E18="once",29=$C18),AND($E18="weekly",29&lt;=$D18),AND($E18="biweekly",29&lt;=$D18,MOD(29-$C18,2)=0))),Flows!$C19,0))</f>
        <v/>
      </c>
      <c r="AI18" s="13">
        <f>IF(OR($A18="",Flows!$C19=""),0,IF(AND(30&lt;=Setup!$B$5,30&gt;=$C18,OR(AND($E18="once",30=$C18),AND($E18="weekly",30&lt;=$D18),AND($E18="biweekly",30&lt;=$D18,MOD(30-$C18,2)=0))),Flows!$C19,0))</f>
        <v/>
      </c>
      <c r="AJ18" s="13">
        <f>IF(OR($A18="",Flows!$C19=""),0,IF(AND(31&lt;=Setup!$B$5,31&gt;=$C18,OR(AND($E18="once",31=$C18),AND($E18="weekly",31&lt;=$D18),AND($E18="biweekly",31&lt;=$D18,MOD(31-$C18,2)=0))),Flows!$C19,0))</f>
        <v/>
      </c>
      <c r="AK18" s="13">
        <f>IF(OR($A18="",Flows!$C19=""),0,IF(AND(32&lt;=Setup!$B$5,32&gt;=$C18,OR(AND($E18="once",32=$C18),AND($E18="weekly",32&lt;=$D18),AND($E18="biweekly",32&lt;=$D18,MOD(32-$C18,2)=0))),Flows!$C19,0))</f>
        <v/>
      </c>
      <c r="AL18" s="13">
        <f>IF(OR($A18="",Flows!$C19=""),0,IF(AND(33&lt;=Setup!$B$5,33&gt;=$C18,OR(AND($E18="once",33=$C18),AND($E18="weekly",33&lt;=$D18),AND($E18="biweekly",33&lt;=$D18,MOD(33-$C18,2)=0))),Flows!$C19,0))</f>
        <v/>
      </c>
      <c r="AM18" s="13">
        <f>IF(OR($A18="",Flows!$C19=""),0,IF(AND(34&lt;=Setup!$B$5,34&gt;=$C18,OR(AND($E18="once",34=$C18),AND($E18="weekly",34&lt;=$D18),AND($E18="biweekly",34&lt;=$D18,MOD(34-$C18,2)=0))),Flows!$C19,0))</f>
        <v/>
      </c>
      <c r="AN18" s="13">
        <f>IF(OR($A18="",Flows!$C19=""),0,IF(AND(35&lt;=Setup!$B$5,35&gt;=$C18,OR(AND($E18="once",35=$C18),AND($E18="weekly",35&lt;=$D18),AND($E18="biweekly",35&lt;=$D18,MOD(35-$C18,2)=0))),Flows!$C19,0))</f>
        <v/>
      </c>
      <c r="AO18" s="13">
        <f>IF(OR($A18="",Flows!$C19=""),0,IF(AND(36&lt;=Setup!$B$5,36&gt;=$C18,OR(AND($E18="once",36=$C18),AND($E18="weekly",36&lt;=$D18),AND($E18="biweekly",36&lt;=$D18,MOD(36-$C18,2)=0))),Flows!$C19,0))</f>
        <v/>
      </c>
      <c r="AP18" s="13">
        <f>IF(OR($A18="",Flows!$C19=""),0,IF(AND(37&lt;=Setup!$B$5,37&gt;=$C18,OR(AND($E18="once",37=$C18),AND($E18="weekly",37&lt;=$D18),AND($E18="biweekly",37&lt;=$D18,MOD(37-$C18,2)=0))),Flows!$C19,0))</f>
        <v/>
      </c>
      <c r="AQ18" s="13">
        <f>IF(OR($A18="",Flows!$C19=""),0,IF(AND(38&lt;=Setup!$B$5,38&gt;=$C18,OR(AND($E18="once",38=$C18),AND($E18="weekly",38&lt;=$D18),AND($E18="biweekly",38&lt;=$D18,MOD(38-$C18,2)=0))),Flows!$C19,0))</f>
        <v/>
      </c>
      <c r="AR18" s="13">
        <f>IF(OR($A18="",Flows!$C19=""),0,IF(AND(39&lt;=Setup!$B$5,39&gt;=$C18,OR(AND($E18="once",39=$C18),AND($E18="weekly",39&lt;=$D18),AND($E18="biweekly",39&lt;=$D18,MOD(39-$C18,2)=0))),Flows!$C19,0))</f>
        <v/>
      </c>
      <c r="AS18" s="13">
        <f>IF(OR($A18="",Flows!$C19=""),0,IF(AND(40&lt;=Setup!$B$5,40&gt;=$C18,OR(AND($E18="once",40=$C18),AND($E18="weekly",40&lt;=$D18),AND($E18="biweekly",40&lt;=$D18,MOD(40-$C18,2)=0))),Flows!$C19,0))</f>
        <v/>
      </c>
      <c r="AT18" s="13">
        <f>IF(OR($A18="",Flows!$C19=""),0,IF(AND(41&lt;=Setup!$B$5,41&gt;=$C18,OR(AND($E18="once",41=$C18),AND($E18="weekly",41&lt;=$D18),AND($E18="biweekly",41&lt;=$D18,MOD(41-$C18,2)=0))),Flows!$C19,0))</f>
        <v/>
      </c>
      <c r="AU18" s="13">
        <f>IF(OR($A18="",Flows!$C19=""),0,IF(AND(42&lt;=Setup!$B$5,42&gt;=$C18,OR(AND($E18="once",42=$C18),AND($E18="weekly",42&lt;=$D18),AND($E18="biweekly",42&lt;=$D18,MOD(42-$C18,2)=0))),Flows!$C19,0))</f>
        <v/>
      </c>
      <c r="AV18" s="13">
        <f>IF(OR($A18="",Flows!$C19=""),0,IF(AND(43&lt;=Setup!$B$5,43&gt;=$C18,OR(AND($E18="once",43=$C18),AND($E18="weekly",43&lt;=$D18),AND($E18="biweekly",43&lt;=$D18,MOD(43-$C18,2)=0))),Flows!$C19,0))</f>
        <v/>
      </c>
      <c r="AW18" s="13">
        <f>IF(OR($A18="",Flows!$C19=""),0,IF(AND(44&lt;=Setup!$B$5,44&gt;=$C18,OR(AND($E18="once",44=$C18),AND($E18="weekly",44&lt;=$D18),AND($E18="biweekly",44&lt;=$D18,MOD(44-$C18,2)=0))),Flows!$C19,0))</f>
        <v/>
      </c>
      <c r="AX18" s="13">
        <f>IF(OR($A18="",Flows!$C19=""),0,IF(AND(45&lt;=Setup!$B$5,45&gt;=$C18,OR(AND($E18="once",45=$C18),AND($E18="weekly",45&lt;=$D18),AND($E18="biweekly",45&lt;=$D18,MOD(45-$C18,2)=0))),Flows!$C19,0))</f>
        <v/>
      </c>
      <c r="AY18" s="13">
        <f>IF(OR($A18="",Flows!$C19=""),0,IF(AND(46&lt;=Setup!$B$5,46&gt;=$C18,OR(AND($E18="once",46=$C18),AND($E18="weekly",46&lt;=$D18),AND($E18="biweekly",46&lt;=$D18,MOD(46-$C18,2)=0))),Flows!$C19,0))</f>
        <v/>
      </c>
      <c r="AZ18" s="13">
        <f>IF(OR($A18="",Flows!$C19=""),0,IF(AND(47&lt;=Setup!$B$5,47&gt;=$C18,OR(AND($E18="once",47=$C18),AND($E18="weekly",47&lt;=$D18),AND($E18="biweekly",47&lt;=$D18,MOD(47-$C18,2)=0))),Flows!$C19,0))</f>
        <v/>
      </c>
      <c r="BA18" s="13">
        <f>IF(OR($A18="",Flows!$C19=""),0,IF(AND(48&lt;=Setup!$B$5,48&gt;=$C18,OR(AND($E18="once",48=$C18),AND($E18="weekly",48&lt;=$D18),AND($E18="biweekly",48&lt;=$D18,MOD(48-$C18,2)=0))),Flows!$C19,0))</f>
        <v/>
      </c>
      <c r="BB18" s="13">
        <f>IF(OR($A18="",Flows!$C19=""),0,IF(AND(49&lt;=Setup!$B$5,49&gt;=$C18,OR(AND($E18="once",49=$C18),AND($E18="weekly",49&lt;=$D18),AND($E18="biweekly",49&lt;=$D18,MOD(49-$C18,2)=0))),Flows!$C19,0))</f>
        <v/>
      </c>
      <c r="BC18" s="13">
        <f>IF(OR($A18="",Flows!$C19=""),0,IF(AND(50&lt;=Setup!$B$5,50&gt;=$C18,OR(AND($E18="once",50=$C18),AND($E18="weekly",50&lt;=$D18),AND($E18="biweekly",50&lt;=$D18,MOD(50-$C18,2)=0))),Flows!$C19,0))</f>
        <v/>
      </c>
      <c r="BD18" s="13">
        <f>IF(OR($A18="",Flows!$C19=""),0,IF(AND(51&lt;=Setup!$B$5,51&gt;=$C18,OR(AND($E18="once",51=$C18),AND($E18="weekly",51&lt;=$D18),AND($E18="biweekly",51&lt;=$D18,MOD(51-$C18,2)=0))),Flows!$C19,0))</f>
        <v/>
      </c>
      <c r="BE18" s="13">
        <f>IF(OR($A18="",Flows!$C19=""),0,IF(AND(52&lt;=Setup!$B$5,52&gt;=$C18,OR(AND($E18="once",52=$C18),AND($E18="weekly",52&lt;=$D18),AND($E18="biweekly",52&lt;=$D18,MOD(52-$C18,2)=0))),Flows!$C19,0))</f>
        <v/>
      </c>
    </row>
    <row r="19">
      <c r="A19" s="7">
        <f>IF(Flows!A20="","",LOWER(Flows!A20))</f>
        <v/>
      </c>
      <c r="B19" s="7">
        <f>IF(Flows!B20="","",Flows!B20)</f>
        <v/>
      </c>
      <c r="C19" s="7">
        <f>N(Flows!D20)</f>
        <v/>
      </c>
      <c r="D19" s="7">
        <f>IF(Flows!F20="",Setup!$B$5,Flows!F20)</f>
        <v/>
      </c>
      <c r="E19" s="7">
        <f>IF(Flows!E20="","once",LOWER(Flows!E20))</f>
        <v/>
      </c>
      <c r="F19" s="13">
        <f>IF(OR($A19="",Flows!$C20=""),0,IF(AND(1&lt;=Setup!$B$5,1&gt;=$C19,OR(AND($E19="once",1=$C19),AND($E19="weekly",1&lt;=$D19),AND($E19="biweekly",1&lt;=$D19,MOD(1-$C19,2)=0))),Flows!$C20,0))</f>
        <v/>
      </c>
      <c r="G19" s="13">
        <f>IF(OR($A19="",Flows!$C20=""),0,IF(AND(2&lt;=Setup!$B$5,2&gt;=$C19,OR(AND($E19="once",2=$C19),AND($E19="weekly",2&lt;=$D19),AND($E19="biweekly",2&lt;=$D19,MOD(2-$C19,2)=0))),Flows!$C20,0))</f>
        <v/>
      </c>
      <c r="H19" s="13">
        <f>IF(OR($A19="",Flows!$C20=""),0,IF(AND(3&lt;=Setup!$B$5,3&gt;=$C19,OR(AND($E19="once",3=$C19),AND($E19="weekly",3&lt;=$D19),AND($E19="biweekly",3&lt;=$D19,MOD(3-$C19,2)=0))),Flows!$C20,0))</f>
        <v/>
      </c>
      <c r="I19" s="13">
        <f>IF(OR($A19="",Flows!$C20=""),0,IF(AND(4&lt;=Setup!$B$5,4&gt;=$C19,OR(AND($E19="once",4=$C19),AND($E19="weekly",4&lt;=$D19),AND($E19="biweekly",4&lt;=$D19,MOD(4-$C19,2)=0))),Flows!$C20,0))</f>
        <v/>
      </c>
      <c r="J19" s="13">
        <f>IF(OR($A19="",Flows!$C20=""),0,IF(AND(5&lt;=Setup!$B$5,5&gt;=$C19,OR(AND($E19="once",5=$C19),AND($E19="weekly",5&lt;=$D19),AND($E19="biweekly",5&lt;=$D19,MOD(5-$C19,2)=0))),Flows!$C20,0))</f>
        <v/>
      </c>
      <c r="K19" s="13">
        <f>IF(OR($A19="",Flows!$C20=""),0,IF(AND(6&lt;=Setup!$B$5,6&gt;=$C19,OR(AND($E19="once",6=$C19),AND($E19="weekly",6&lt;=$D19),AND($E19="biweekly",6&lt;=$D19,MOD(6-$C19,2)=0))),Flows!$C20,0))</f>
        <v/>
      </c>
      <c r="L19" s="13">
        <f>IF(OR($A19="",Flows!$C20=""),0,IF(AND(7&lt;=Setup!$B$5,7&gt;=$C19,OR(AND($E19="once",7=$C19),AND($E19="weekly",7&lt;=$D19),AND($E19="biweekly",7&lt;=$D19,MOD(7-$C19,2)=0))),Flows!$C20,0))</f>
        <v/>
      </c>
      <c r="M19" s="13">
        <f>IF(OR($A19="",Flows!$C20=""),0,IF(AND(8&lt;=Setup!$B$5,8&gt;=$C19,OR(AND($E19="once",8=$C19),AND($E19="weekly",8&lt;=$D19),AND($E19="biweekly",8&lt;=$D19,MOD(8-$C19,2)=0))),Flows!$C20,0))</f>
        <v/>
      </c>
      <c r="N19" s="13">
        <f>IF(OR($A19="",Flows!$C20=""),0,IF(AND(9&lt;=Setup!$B$5,9&gt;=$C19,OR(AND($E19="once",9=$C19),AND($E19="weekly",9&lt;=$D19),AND($E19="biweekly",9&lt;=$D19,MOD(9-$C19,2)=0))),Flows!$C20,0))</f>
        <v/>
      </c>
      <c r="O19" s="13">
        <f>IF(OR($A19="",Flows!$C20=""),0,IF(AND(10&lt;=Setup!$B$5,10&gt;=$C19,OR(AND($E19="once",10=$C19),AND($E19="weekly",10&lt;=$D19),AND($E19="biweekly",10&lt;=$D19,MOD(10-$C19,2)=0))),Flows!$C20,0))</f>
        <v/>
      </c>
      <c r="P19" s="13">
        <f>IF(OR($A19="",Flows!$C20=""),0,IF(AND(11&lt;=Setup!$B$5,11&gt;=$C19,OR(AND($E19="once",11=$C19),AND($E19="weekly",11&lt;=$D19),AND($E19="biweekly",11&lt;=$D19,MOD(11-$C19,2)=0))),Flows!$C20,0))</f>
        <v/>
      </c>
      <c r="Q19" s="13">
        <f>IF(OR($A19="",Flows!$C20=""),0,IF(AND(12&lt;=Setup!$B$5,12&gt;=$C19,OR(AND($E19="once",12=$C19),AND($E19="weekly",12&lt;=$D19),AND($E19="biweekly",12&lt;=$D19,MOD(12-$C19,2)=0))),Flows!$C20,0))</f>
        <v/>
      </c>
      <c r="R19" s="13">
        <f>IF(OR($A19="",Flows!$C20=""),0,IF(AND(13&lt;=Setup!$B$5,13&gt;=$C19,OR(AND($E19="once",13=$C19),AND($E19="weekly",13&lt;=$D19),AND($E19="biweekly",13&lt;=$D19,MOD(13-$C19,2)=0))),Flows!$C20,0))</f>
        <v/>
      </c>
      <c r="S19" s="13">
        <f>IF(OR($A19="",Flows!$C20=""),0,IF(AND(14&lt;=Setup!$B$5,14&gt;=$C19,OR(AND($E19="once",14=$C19),AND($E19="weekly",14&lt;=$D19),AND($E19="biweekly",14&lt;=$D19,MOD(14-$C19,2)=0))),Flows!$C20,0))</f>
        <v/>
      </c>
      <c r="T19" s="13">
        <f>IF(OR($A19="",Flows!$C20=""),0,IF(AND(15&lt;=Setup!$B$5,15&gt;=$C19,OR(AND($E19="once",15=$C19),AND($E19="weekly",15&lt;=$D19),AND($E19="biweekly",15&lt;=$D19,MOD(15-$C19,2)=0))),Flows!$C20,0))</f>
        <v/>
      </c>
      <c r="U19" s="13">
        <f>IF(OR($A19="",Flows!$C20=""),0,IF(AND(16&lt;=Setup!$B$5,16&gt;=$C19,OR(AND($E19="once",16=$C19),AND($E19="weekly",16&lt;=$D19),AND($E19="biweekly",16&lt;=$D19,MOD(16-$C19,2)=0))),Flows!$C20,0))</f>
        <v/>
      </c>
      <c r="V19" s="13">
        <f>IF(OR($A19="",Flows!$C20=""),0,IF(AND(17&lt;=Setup!$B$5,17&gt;=$C19,OR(AND($E19="once",17=$C19),AND($E19="weekly",17&lt;=$D19),AND($E19="biweekly",17&lt;=$D19,MOD(17-$C19,2)=0))),Flows!$C20,0))</f>
        <v/>
      </c>
      <c r="W19" s="13">
        <f>IF(OR($A19="",Flows!$C20=""),0,IF(AND(18&lt;=Setup!$B$5,18&gt;=$C19,OR(AND($E19="once",18=$C19),AND($E19="weekly",18&lt;=$D19),AND($E19="biweekly",18&lt;=$D19,MOD(18-$C19,2)=0))),Flows!$C20,0))</f>
        <v/>
      </c>
      <c r="X19" s="13">
        <f>IF(OR($A19="",Flows!$C20=""),0,IF(AND(19&lt;=Setup!$B$5,19&gt;=$C19,OR(AND($E19="once",19=$C19),AND($E19="weekly",19&lt;=$D19),AND($E19="biweekly",19&lt;=$D19,MOD(19-$C19,2)=0))),Flows!$C20,0))</f>
        <v/>
      </c>
      <c r="Y19" s="13">
        <f>IF(OR($A19="",Flows!$C20=""),0,IF(AND(20&lt;=Setup!$B$5,20&gt;=$C19,OR(AND($E19="once",20=$C19),AND($E19="weekly",20&lt;=$D19),AND($E19="biweekly",20&lt;=$D19,MOD(20-$C19,2)=0))),Flows!$C20,0))</f>
        <v/>
      </c>
      <c r="Z19" s="13">
        <f>IF(OR($A19="",Flows!$C20=""),0,IF(AND(21&lt;=Setup!$B$5,21&gt;=$C19,OR(AND($E19="once",21=$C19),AND($E19="weekly",21&lt;=$D19),AND($E19="biweekly",21&lt;=$D19,MOD(21-$C19,2)=0))),Flows!$C20,0))</f>
        <v/>
      </c>
      <c r="AA19" s="13">
        <f>IF(OR($A19="",Flows!$C20=""),0,IF(AND(22&lt;=Setup!$B$5,22&gt;=$C19,OR(AND($E19="once",22=$C19),AND($E19="weekly",22&lt;=$D19),AND($E19="biweekly",22&lt;=$D19,MOD(22-$C19,2)=0))),Flows!$C20,0))</f>
        <v/>
      </c>
      <c r="AB19" s="13">
        <f>IF(OR($A19="",Flows!$C20=""),0,IF(AND(23&lt;=Setup!$B$5,23&gt;=$C19,OR(AND($E19="once",23=$C19),AND($E19="weekly",23&lt;=$D19),AND($E19="biweekly",23&lt;=$D19,MOD(23-$C19,2)=0))),Flows!$C20,0))</f>
        <v/>
      </c>
      <c r="AC19" s="13">
        <f>IF(OR($A19="",Flows!$C20=""),0,IF(AND(24&lt;=Setup!$B$5,24&gt;=$C19,OR(AND($E19="once",24=$C19),AND($E19="weekly",24&lt;=$D19),AND($E19="biweekly",24&lt;=$D19,MOD(24-$C19,2)=0))),Flows!$C20,0))</f>
        <v/>
      </c>
      <c r="AD19" s="13">
        <f>IF(OR($A19="",Flows!$C20=""),0,IF(AND(25&lt;=Setup!$B$5,25&gt;=$C19,OR(AND($E19="once",25=$C19),AND($E19="weekly",25&lt;=$D19),AND($E19="biweekly",25&lt;=$D19,MOD(25-$C19,2)=0))),Flows!$C20,0))</f>
        <v/>
      </c>
      <c r="AE19" s="13">
        <f>IF(OR($A19="",Flows!$C20=""),0,IF(AND(26&lt;=Setup!$B$5,26&gt;=$C19,OR(AND($E19="once",26=$C19),AND($E19="weekly",26&lt;=$D19),AND($E19="biweekly",26&lt;=$D19,MOD(26-$C19,2)=0))),Flows!$C20,0))</f>
        <v/>
      </c>
      <c r="AF19" s="13">
        <f>IF(OR($A19="",Flows!$C20=""),0,IF(AND(27&lt;=Setup!$B$5,27&gt;=$C19,OR(AND($E19="once",27=$C19),AND($E19="weekly",27&lt;=$D19),AND($E19="biweekly",27&lt;=$D19,MOD(27-$C19,2)=0))),Flows!$C20,0))</f>
        <v/>
      </c>
      <c r="AG19" s="13">
        <f>IF(OR($A19="",Flows!$C20=""),0,IF(AND(28&lt;=Setup!$B$5,28&gt;=$C19,OR(AND($E19="once",28=$C19),AND($E19="weekly",28&lt;=$D19),AND($E19="biweekly",28&lt;=$D19,MOD(28-$C19,2)=0))),Flows!$C20,0))</f>
        <v/>
      </c>
      <c r="AH19" s="13">
        <f>IF(OR($A19="",Flows!$C20=""),0,IF(AND(29&lt;=Setup!$B$5,29&gt;=$C19,OR(AND($E19="once",29=$C19),AND($E19="weekly",29&lt;=$D19),AND($E19="biweekly",29&lt;=$D19,MOD(29-$C19,2)=0))),Flows!$C20,0))</f>
        <v/>
      </c>
      <c r="AI19" s="13">
        <f>IF(OR($A19="",Flows!$C20=""),0,IF(AND(30&lt;=Setup!$B$5,30&gt;=$C19,OR(AND($E19="once",30=$C19),AND($E19="weekly",30&lt;=$D19),AND($E19="biweekly",30&lt;=$D19,MOD(30-$C19,2)=0))),Flows!$C20,0))</f>
        <v/>
      </c>
      <c r="AJ19" s="13">
        <f>IF(OR($A19="",Flows!$C20=""),0,IF(AND(31&lt;=Setup!$B$5,31&gt;=$C19,OR(AND($E19="once",31=$C19),AND($E19="weekly",31&lt;=$D19),AND($E19="biweekly",31&lt;=$D19,MOD(31-$C19,2)=0))),Flows!$C20,0))</f>
        <v/>
      </c>
      <c r="AK19" s="13">
        <f>IF(OR($A19="",Flows!$C20=""),0,IF(AND(32&lt;=Setup!$B$5,32&gt;=$C19,OR(AND($E19="once",32=$C19),AND($E19="weekly",32&lt;=$D19),AND($E19="biweekly",32&lt;=$D19,MOD(32-$C19,2)=0))),Flows!$C20,0))</f>
        <v/>
      </c>
      <c r="AL19" s="13">
        <f>IF(OR($A19="",Flows!$C20=""),0,IF(AND(33&lt;=Setup!$B$5,33&gt;=$C19,OR(AND($E19="once",33=$C19),AND($E19="weekly",33&lt;=$D19),AND($E19="biweekly",33&lt;=$D19,MOD(33-$C19,2)=0))),Flows!$C20,0))</f>
        <v/>
      </c>
      <c r="AM19" s="13">
        <f>IF(OR($A19="",Flows!$C20=""),0,IF(AND(34&lt;=Setup!$B$5,34&gt;=$C19,OR(AND($E19="once",34=$C19),AND($E19="weekly",34&lt;=$D19),AND($E19="biweekly",34&lt;=$D19,MOD(34-$C19,2)=0))),Flows!$C20,0))</f>
        <v/>
      </c>
      <c r="AN19" s="13">
        <f>IF(OR($A19="",Flows!$C20=""),0,IF(AND(35&lt;=Setup!$B$5,35&gt;=$C19,OR(AND($E19="once",35=$C19),AND($E19="weekly",35&lt;=$D19),AND($E19="biweekly",35&lt;=$D19,MOD(35-$C19,2)=0))),Flows!$C20,0))</f>
        <v/>
      </c>
      <c r="AO19" s="13">
        <f>IF(OR($A19="",Flows!$C20=""),0,IF(AND(36&lt;=Setup!$B$5,36&gt;=$C19,OR(AND($E19="once",36=$C19),AND($E19="weekly",36&lt;=$D19),AND($E19="biweekly",36&lt;=$D19,MOD(36-$C19,2)=0))),Flows!$C20,0))</f>
        <v/>
      </c>
      <c r="AP19" s="13">
        <f>IF(OR($A19="",Flows!$C20=""),0,IF(AND(37&lt;=Setup!$B$5,37&gt;=$C19,OR(AND($E19="once",37=$C19),AND($E19="weekly",37&lt;=$D19),AND($E19="biweekly",37&lt;=$D19,MOD(37-$C19,2)=0))),Flows!$C20,0))</f>
        <v/>
      </c>
      <c r="AQ19" s="13">
        <f>IF(OR($A19="",Flows!$C20=""),0,IF(AND(38&lt;=Setup!$B$5,38&gt;=$C19,OR(AND($E19="once",38=$C19),AND($E19="weekly",38&lt;=$D19),AND($E19="biweekly",38&lt;=$D19,MOD(38-$C19,2)=0))),Flows!$C20,0))</f>
        <v/>
      </c>
      <c r="AR19" s="13">
        <f>IF(OR($A19="",Flows!$C20=""),0,IF(AND(39&lt;=Setup!$B$5,39&gt;=$C19,OR(AND($E19="once",39=$C19),AND($E19="weekly",39&lt;=$D19),AND($E19="biweekly",39&lt;=$D19,MOD(39-$C19,2)=0))),Flows!$C20,0))</f>
        <v/>
      </c>
      <c r="AS19" s="13">
        <f>IF(OR($A19="",Flows!$C20=""),0,IF(AND(40&lt;=Setup!$B$5,40&gt;=$C19,OR(AND($E19="once",40=$C19),AND($E19="weekly",40&lt;=$D19),AND($E19="biweekly",40&lt;=$D19,MOD(40-$C19,2)=0))),Flows!$C20,0))</f>
        <v/>
      </c>
      <c r="AT19" s="13">
        <f>IF(OR($A19="",Flows!$C20=""),0,IF(AND(41&lt;=Setup!$B$5,41&gt;=$C19,OR(AND($E19="once",41=$C19),AND($E19="weekly",41&lt;=$D19),AND($E19="biweekly",41&lt;=$D19,MOD(41-$C19,2)=0))),Flows!$C20,0))</f>
        <v/>
      </c>
      <c r="AU19" s="13">
        <f>IF(OR($A19="",Flows!$C20=""),0,IF(AND(42&lt;=Setup!$B$5,42&gt;=$C19,OR(AND($E19="once",42=$C19),AND($E19="weekly",42&lt;=$D19),AND($E19="biweekly",42&lt;=$D19,MOD(42-$C19,2)=0))),Flows!$C20,0))</f>
        <v/>
      </c>
      <c r="AV19" s="13">
        <f>IF(OR($A19="",Flows!$C20=""),0,IF(AND(43&lt;=Setup!$B$5,43&gt;=$C19,OR(AND($E19="once",43=$C19),AND($E19="weekly",43&lt;=$D19),AND($E19="biweekly",43&lt;=$D19,MOD(43-$C19,2)=0))),Flows!$C20,0))</f>
        <v/>
      </c>
      <c r="AW19" s="13">
        <f>IF(OR($A19="",Flows!$C20=""),0,IF(AND(44&lt;=Setup!$B$5,44&gt;=$C19,OR(AND($E19="once",44=$C19),AND($E19="weekly",44&lt;=$D19),AND($E19="biweekly",44&lt;=$D19,MOD(44-$C19,2)=0))),Flows!$C20,0))</f>
        <v/>
      </c>
      <c r="AX19" s="13">
        <f>IF(OR($A19="",Flows!$C20=""),0,IF(AND(45&lt;=Setup!$B$5,45&gt;=$C19,OR(AND($E19="once",45=$C19),AND($E19="weekly",45&lt;=$D19),AND($E19="biweekly",45&lt;=$D19,MOD(45-$C19,2)=0))),Flows!$C20,0))</f>
        <v/>
      </c>
      <c r="AY19" s="13">
        <f>IF(OR($A19="",Flows!$C20=""),0,IF(AND(46&lt;=Setup!$B$5,46&gt;=$C19,OR(AND($E19="once",46=$C19),AND($E19="weekly",46&lt;=$D19),AND($E19="biweekly",46&lt;=$D19,MOD(46-$C19,2)=0))),Flows!$C20,0))</f>
        <v/>
      </c>
      <c r="AZ19" s="13">
        <f>IF(OR($A19="",Flows!$C20=""),0,IF(AND(47&lt;=Setup!$B$5,47&gt;=$C19,OR(AND($E19="once",47=$C19),AND($E19="weekly",47&lt;=$D19),AND($E19="biweekly",47&lt;=$D19,MOD(47-$C19,2)=0))),Flows!$C20,0))</f>
        <v/>
      </c>
      <c r="BA19" s="13">
        <f>IF(OR($A19="",Flows!$C20=""),0,IF(AND(48&lt;=Setup!$B$5,48&gt;=$C19,OR(AND($E19="once",48=$C19),AND($E19="weekly",48&lt;=$D19),AND($E19="biweekly",48&lt;=$D19,MOD(48-$C19,2)=0))),Flows!$C20,0))</f>
        <v/>
      </c>
      <c r="BB19" s="13">
        <f>IF(OR($A19="",Flows!$C20=""),0,IF(AND(49&lt;=Setup!$B$5,49&gt;=$C19,OR(AND($E19="once",49=$C19),AND($E19="weekly",49&lt;=$D19),AND($E19="biweekly",49&lt;=$D19,MOD(49-$C19,2)=0))),Flows!$C20,0))</f>
        <v/>
      </c>
      <c r="BC19" s="13">
        <f>IF(OR($A19="",Flows!$C20=""),0,IF(AND(50&lt;=Setup!$B$5,50&gt;=$C19,OR(AND($E19="once",50=$C19),AND($E19="weekly",50&lt;=$D19),AND($E19="biweekly",50&lt;=$D19,MOD(50-$C19,2)=0))),Flows!$C20,0))</f>
        <v/>
      </c>
      <c r="BD19" s="13">
        <f>IF(OR($A19="",Flows!$C20=""),0,IF(AND(51&lt;=Setup!$B$5,51&gt;=$C19,OR(AND($E19="once",51=$C19),AND($E19="weekly",51&lt;=$D19),AND($E19="biweekly",51&lt;=$D19,MOD(51-$C19,2)=0))),Flows!$C20,0))</f>
        <v/>
      </c>
      <c r="BE19" s="13">
        <f>IF(OR($A19="",Flows!$C20=""),0,IF(AND(52&lt;=Setup!$B$5,52&gt;=$C19,OR(AND($E19="once",52=$C19),AND($E19="weekly",52&lt;=$D19),AND($E19="biweekly",52&lt;=$D19,MOD(52-$C19,2)=0))),Flows!$C20,0))</f>
        <v/>
      </c>
    </row>
    <row r="20">
      <c r="A20" s="7">
        <f>IF(Flows!A21="","",LOWER(Flows!A21))</f>
        <v/>
      </c>
      <c r="B20" s="7">
        <f>IF(Flows!B21="","",Flows!B21)</f>
        <v/>
      </c>
      <c r="C20" s="7">
        <f>N(Flows!D21)</f>
        <v/>
      </c>
      <c r="D20" s="7">
        <f>IF(Flows!F21="",Setup!$B$5,Flows!F21)</f>
        <v/>
      </c>
      <c r="E20" s="7">
        <f>IF(Flows!E21="","once",LOWER(Flows!E21))</f>
        <v/>
      </c>
      <c r="F20" s="13">
        <f>IF(OR($A20="",Flows!$C21=""),0,IF(AND(1&lt;=Setup!$B$5,1&gt;=$C20,OR(AND($E20="once",1=$C20),AND($E20="weekly",1&lt;=$D20),AND($E20="biweekly",1&lt;=$D20,MOD(1-$C20,2)=0))),Flows!$C21,0))</f>
        <v/>
      </c>
      <c r="G20" s="13">
        <f>IF(OR($A20="",Flows!$C21=""),0,IF(AND(2&lt;=Setup!$B$5,2&gt;=$C20,OR(AND($E20="once",2=$C20),AND($E20="weekly",2&lt;=$D20),AND($E20="biweekly",2&lt;=$D20,MOD(2-$C20,2)=0))),Flows!$C21,0))</f>
        <v/>
      </c>
      <c r="H20" s="13">
        <f>IF(OR($A20="",Flows!$C21=""),0,IF(AND(3&lt;=Setup!$B$5,3&gt;=$C20,OR(AND($E20="once",3=$C20),AND($E20="weekly",3&lt;=$D20),AND($E20="biweekly",3&lt;=$D20,MOD(3-$C20,2)=0))),Flows!$C21,0))</f>
        <v/>
      </c>
      <c r="I20" s="13">
        <f>IF(OR($A20="",Flows!$C21=""),0,IF(AND(4&lt;=Setup!$B$5,4&gt;=$C20,OR(AND($E20="once",4=$C20),AND($E20="weekly",4&lt;=$D20),AND($E20="biweekly",4&lt;=$D20,MOD(4-$C20,2)=0))),Flows!$C21,0))</f>
        <v/>
      </c>
      <c r="J20" s="13">
        <f>IF(OR($A20="",Flows!$C21=""),0,IF(AND(5&lt;=Setup!$B$5,5&gt;=$C20,OR(AND($E20="once",5=$C20),AND($E20="weekly",5&lt;=$D20),AND($E20="biweekly",5&lt;=$D20,MOD(5-$C20,2)=0))),Flows!$C21,0))</f>
        <v/>
      </c>
      <c r="K20" s="13">
        <f>IF(OR($A20="",Flows!$C21=""),0,IF(AND(6&lt;=Setup!$B$5,6&gt;=$C20,OR(AND($E20="once",6=$C20),AND($E20="weekly",6&lt;=$D20),AND($E20="biweekly",6&lt;=$D20,MOD(6-$C20,2)=0))),Flows!$C21,0))</f>
        <v/>
      </c>
      <c r="L20" s="13">
        <f>IF(OR($A20="",Flows!$C21=""),0,IF(AND(7&lt;=Setup!$B$5,7&gt;=$C20,OR(AND($E20="once",7=$C20),AND($E20="weekly",7&lt;=$D20),AND($E20="biweekly",7&lt;=$D20,MOD(7-$C20,2)=0))),Flows!$C21,0))</f>
        <v/>
      </c>
      <c r="M20" s="13">
        <f>IF(OR($A20="",Flows!$C21=""),0,IF(AND(8&lt;=Setup!$B$5,8&gt;=$C20,OR(AND($E20="once",8=$C20),AND($E20="weekly",8&lt;=$D20),AND($E20="biweekly",8&lt;=$D20,MOD(8-$C20,2)=0))),Flows!$C21,0))</f>
        <v/>
      </c>
      <c r="N20" s="13">
        <f>IF(OR($A20="",Flows!$C21=""),0,IF(AND(9&lt;=Setup!$B$5,9&gt;=$C20,OR(AND($E20="once",9=$C20),AND($E20="weekly",9&lt;=$D20),AND($E20="biweekly",9&lt;=$D20,MOD(9-$C20,2)=0))),Flows!$C21,0))</f>
        <v/>
      </c>
      <c r="O20" s="13">
        <f>IF(OR($A20="",Flows!$C21=""),0,IF(AND(10&lt;=Setup!$B$5,10&gt;=$C20,OR(AND($E20="once",10=$C20),AND($E20="weekly",10&lt;=$D20),AND($E20="biweekly",10&lt;=$D20,MOD(10-$C20,2)=0))),Flows!$C21,0))</f>
        <v/>
      </c>
      <c r="P20" s="13">
        <f>IF(OR($A20="",Flows!$C21=""),0,IF(AND(11&lt;=Setup!$B$5,11&gt;=$C20,OR(AND($E20="once",11=$C20),AND($E20="weekly",11&lt;=$D20),AND($E20="biweekly",11&lt;=$D20,MOD(11-$C20,2)=0))),Flows!$C21,0))</f>
        <v/>
      </c>
      <c r="Q20" s="13">
        <f>IF(OR($A20="",Flows!$C21=""),0,IF(AND(12&lt;=Setup!$B$5,12&gt;=$C20,OR(AND($E20="once",12=$C20),AND($E20="weekly",12&lt;=$D20),AND($E20="biweekly",12&lt;=$D20,MOD(12-$C20,2)=0))),Flows!$C21,0))</f>
        <v/>
      </c>
      <c r="R20" s="13">
        <f>IF(OR($A20="",Flows!$C21=""),0,IF(AND(13&lt;=Setup!$B$5,13&gt;=$C20,OR(AND($E20="once",13=$C20),AND($E20="weekly",13&lt;=$D20),AND($E20="biweekly",13&lt;=$D20,MOD(13-$C20,2)=0))),Flows!$C21,0))</f>
        <v/>
      </c>
      <c r="S20" s="13">
        <f>IF(OR($A20="",Flows!$C21=""),0,IF(AND(14&lt;=Setup!$B$5,14&gt;=$C20,OR(AND($E20="once",14=$C20),AND($E20="weekly",14&lt;=$D20),AND($E20="biweekly",14&lt;=$D20,MOD(14-$C20,2)=0))),Flows!$C21,0))</f>
        <v/>
      </c>
      <c r="T20" s="13">
        <f>IF(OR($A20="",Flows!$C21=""),0,IF(AND(15&lt;=Setup!$B$5,15&gt;=$C20,OR(AND($E20="once",15=$C20),AND($E20="weekly",15&lt;=$D20),AND($E20="biweekly",15&lt;=$D20,MOD(15-$C20,2)=0))),Flows!$C21,0))</f>
        <v/>
      </c>
      <c r="U20" s="13">
        <f>IF(OR($A20="",Flows!$C21=""),0,IF(AND(16&lt;=Setup!$B$5,16&gt;=$C20,OR(AND($E20="once",16=$C20),AND($E20="weekly",16&lt;=$D20),AND($E20="biweekly",16&lt;=$D20,MOD(16-$C20,2)=0))),Flows!$C21,0))</f>
        <v/>
      </c>
      <c r="V20" s="13">
        <f>IF(OR($A20="",Flows!$C21=""),0,IF(AND(17&lt;=Setup!$B$5,17&gt;=$C20,OR(AND($E20="once",17=$C20),AND($E20="weekly",17&lt;=$D20),AND($E20="biweekly",17&lt;=$D20,MOD(17-$C20,2)=0))),Flows!$C21,0))</f>
        <v/>
      </c>
      <c r="W20" s="13">
        <f>IF(OR($A20="",Flows!$C21=""),0,IF(AND(18&lt;=Setup!$B$5,18&gt;=$C20,OR(AND($E20="once",18=$C20),AND($E20="weekly",18&lt;=$D20),AND($E20="biweekly",18&lt;=$D20,MOD(18-$C20,2)=0))),Flows!$C21,0))</f>
        <v/>
      </c>
      <c r="X20" s="13">
        <f>IF(OR($A20="",Flows!$C21=""),0,IF(AND(19&lt;=Setup!$B$5,19&gt;=$C20,OR(AND($E20="once",19=$C20),AND($E20="weekly",19&lt;=$D20),AND($E20="biweekly",19&lt;=$D20,MOD(19-$C20,2)=0))),Flows!$C21,0))</f>
        <v/>
      </c>
      <c r="Y20" s="13">
        <f>IF(OR($A20="",Flows!$C21=""),0,IF(AND(20&lt;=Setup!$B$5,20&gt;=$C20,OR(AND($E20="once",20=$C20),AND($E20="weekly",20&lt;=$D20),AND($E20="biweekly",20&lt;=$D20,MOD(20-$C20,2)=0))),Flows!$C21,0))</f>
        <v/>
      </c>
      <c r="Z20" s="13">
        <f>IF(OR($A20="",Flows!$C21=""),0,IF(AND(21&lt;=Setup!$B$5,21&gt;=$C20,OR(AND($E20="once",21=$C20),AND($E20="weekly",21&lt;=$D20),AND($E20="biweekly",21&lt;=$D20,MOD(21-$C20,2)=0))),Flows!$C21,0))</f>
        <v/>
      </c>
      <c r="AA20" s="13">
        <f>IF(OR($A20="",Flows!$C21=""),0,IF(AND(22&lt;=Setup!$B$5,22&gt;=$C20,OR(AND($E20="once",22=$C20),AND($E20="weekly",22&lt;=$D20),AND($E20="biweekly",22&lt;=$D20,MOD(22-$C20,2)=0))),Flows!$C21,0))</f>
        <v/>
      </c>
      <c r="AB20" s="13">
        <f>IF(OR($A20="",Flows!$C21=""),0,IF(AND(23&lt;=Setup!$B$5,23&gt;=$C20,OR(AND($E20="once",23=$C20),AND($E20="weekly",23&lt;=$D20),AND($E20="biweekly",23&lt;=$D20,MOD(23-$C20,2)=0))),Flows!$C21,0))</f>
        <v/>
      </c>
      <c r="AC20" s="13">
        <f>IF(OR($A20="",Flows!$C21=""),0,IF(AND(24&lt;=Setup!$B$5,24&gt;=$C20,OR(AND($E20="once",24=$C20),AND($E20="weekly",24&lt;=$D20),AND($E20="biweekly",24&lt;=$D20,MOD(24-$C20,2)=0))),Flows!$C21,0))</f>
        <v/>
      </c>
      <c r="AD20" s="13">
        <f>IF(OR($A20="",Flows!$C21=""),0,IF(AND(25&lt;=Setup!$B$5,25&gt;=$C20,OR(AND($E20="once",25=$C20),AND($E20="weekly",25&lt;=$D20),AND($E20="biweekly",25&lt;=$D20,MOD(25-$C20,2)=0))),Flows!$C21,0))</f>
        <v/>
      </c>
      <c r="AE20" s="13">
        <f>IF(OR($A20="",Flows!$C21=""),0,IF(AND(26&lt;=Setup!$B$5,26&gt;=$C20,OR(AND($E20="once",26=$C20),AND($E20="weekly",26&lt;=$D20),AND($E20="biweekly",26&lt;=$D20,MOD(26-$C20,2)=0))),Flows!$C21,0))</f>
        <v/>
      </c>
      <c r="AF20" s="13">
        <f>IF(OR($A20="",Flows!$C21=""),0,IF(AND(27&lt;=Setup!$B$5,27&gt;=$C20,OR(AND($E20="once",27=$C20),AND($E20="weekly",27&lt;=$D20),AND($E20="biweekly",27&lt;=$D20,MOD(27-$C20,2)=0))),Flows!$C21,0))</f>
        <v/>
      </c>
      <c r="AG20" s="13">
        <f>IF(OR($A20="",Flows!$C21=""),0,IF(AND(28&lt;=Setup!$B$5,28&gt;=$C20,OR(AND($E20="once",28=$C20),AND($E20="weekly",28&lt;=$D20),AND($E20="biweekly",28&lt;=$D20,MOD(28-$C20,2)=0))),Flows!$C21,0))</f>
        <v/>
      </c>
      <c r="AH20" s="13">
        <f>IF(OR($A20="",Flows!$C21=""),0,IF(AND(29&lt;=Setup!$B$5,29&gt;=$C20,OR(AND($E20="once",29=$C20),AND($E20="weekly",29&lt;=$D20),AND($E20="biweekly",29&lt;=$D20,MOD(29-$C20,2)=0))),Flows!$C21,0))</f>
        <v/>
      </c>
      <c r="AI20" s="13">
        <f>IF(OR($A20="",Flows!$C21=""),0,IF(AND(30&lt;=Setup!$B$5,30&gt;=$C20,OR(AND($E20="once",30=$C20),AND($E20="weekly",30&lt;=$D20),AND($E20="biweekly",30&lt;=$D20,MOD(30-$C20,2)=0))),Flows!$C21,0))</f>
        <v/>
      </c>
      <c r="AJ20" s="13">
        <f>IF(OR($A20="",Flows!$C21=""),0,IF(AND(31&lt;=Setup!$B$5,31&gt;=$C20,OR(AND($E20="once",31=$C20),AND($E20="weekly",31&lt;=$D20),AND($E20="biweekly",31&lt;=$D20,MOD(31-$C20,2)=0))),Flows!$C21,0))</f>
        <v/>
      </c>
      <c r="AK20" s="13">
        <f>IF(OR($A20="",Flows!$C21=""),0,IF(AND(32&lt;=Setup!$B$5,32&gt;=$C20,OR(AND($E20="once",32=$C20),AND($E20="weekly",32&lt;=$D20),AND($E20="biweekly",32&lt;=$D20,MOD(32-$C20,2)=0))),Flows!$C21,0))</f>
        <v/>
      </c>
      <c r="AL20" s="13">
        <f>IF(OR($A20="",Flows!$C21=""),0,IF(AND(33&lt;=Setup!$B$5,33&gt;=$C20,OR(AND($E20="once",33=$C20),AND($E20="weekly",33&lt;=$D20),AND($E20="biweekly",33&lt;=$D20,MOD(33-$C20,2)=0))),Flows!$C21,0))</f>
        <v/>
      </c>
      <c r="AM20" s="13">
        <f>IF(OR($A20="",Flows!$C21=""),0,IF(AND(34&lt;=Setup!$B$5,34&gt;=$C20,OR(AND($E20="once",34=$C20),AND($E20="weekly",34&lt;=$D20),AND($E20="biweekly",34&lt;=$D20,MOD(34-$C20,2)=0))),Flows!$C21,0))</f>
        <v/>
      </c>
      <c r="AN20" s="13">
        <f>IF(OR($A20="",Flows!$C21=""),0,IF(AND(35&lt;=Setup!$B$5,35&gt;=$C20,OR(AND($E20="once",35=$C20),AND($E20="weekly",35&lt;=$D20),AND($E20="biweekly",35&lt;=$D20,MOD(35-$C20,2)=0))),Flows!$C21,0))</f>
        <v/>
      </c>
      <c r="AO20" s="13">
        <f>IF(OR($A20="",Flows!$C21=""),0,IF(AND(36&lt;=Setup!$B$5,36&gt;=$C20,OR(AND($E20="once",36=$C20),AND($E20="weekly",36&lt;=$D20),AND($E20="biweekly",36&lt;=$D20,MOD(36-$C20,2)=0))),Flows!$C21,0))</f>
        <v/>
      </c>
      <c r="AP20" s="13">
        <f>IF(OR($A20="",Flows!$C21=""),0,IF(AND(37&lt;=Setup!$B$5,37&gt;=$C20,OR(AND($E20="once",37=$C20),AND($E20="weekly",37&lt;=$D20),AND($E20="biweekly",37&lt;=$D20,MOD(37-$C20,2)=0))),Flows!$C21,0))</f>
        <v/>
      </c>
      <c r="AQ20" s="13">
        <f>IF(OR($A20="",Flows!$C21=""),0,IF(AND(38&lt;=Setup!$B$5,38&gt;=$C20,OR(AND($E20="once",38=$C20),AND($E20="weekly",38&lt;=$D20),AND($E20="biweekly",38&lt;=$D20,MOD(38-$C20,2)=0))),Flows!$C21,0))</f>
        <v/>
      </c>
      <c r="AR20" s="13">
        <f>IF(OR($A20="",Flows!$C21=""),0,IF(AND(39&lt;=Setup!$B$5,39&gt;=$C20,OR(AND($E20="once",39=$C20),AND($E20="weekly",39&lt;=$D20),AND($E20="biweekly",39&lt;=$D20,MOD(39-$C20,2)=0))),Flows!$C21,0))</f>
        <v/>
      </c>
      <c r="AS20" s="13">
        <f>IF(OR($A20="",Flows!$C21=""),0,IF(AND(40&lt;=Setup!$B$5,40&gt;=$C20,OR(AND($E20="once",40=$C20),AND($E20="weekly",40&lt;=$D20),AND($E20="biweekly",40&lt;=$D20,MOD(40-$C20,2)=0))),Flows!$C21,0))</f>
        <v/>
      </c>
      <c r="AT20" s="13">
        <f>IF(OR($A20="",Flows!$C21=""),0,IF(AND(41&lt;=Setup!$B$5,41&gt;=$C20,OR(AND($E20="once",41=$C20),AND($E20="weekly",41&lt;=$D20),AND($E20="biweekly",41&lt;=$D20,MOD(41-$C20,2)=0))),Flows!$C21,0))</f>
        <v/>
      </c>
      <c r="AU20" s="13">
        <f>IF(OR($A20="",Flows!$C21=""),0,IF(AND(42&lt;=Setup!$B$5,42&gt;=$C20,OR(AND($E20="once",42=$C20),AND($E20="weekly",42&lt;=$D20),AND($E20="biweekly",42&lt;=$D20,MOD(42-$C20,2)=0))),Flows!$C21,0))</f>
        <v/>
      </c>
      <c r="AV20" s="13">
        <f>IF(OR($A20="",Flows!$C21=""),0,IF(AND(43&lt;=Setup!$B$5,43&gt;=$C20,OR(AND($E20="once",43=$C20),AND($E20="weekly",43&lt;=$D20),AND($E20="biweekly",43&lt;=$D20,MOD(43-$C20,2)=0))),Flows!$C21,0))</f>
        <v/>
      </c>
      <c r="AW20" s="13">
        <f>IF(OR($A20="",Flows!$C21=""),0,IF(AND(44&lt;=Setup!$B$5,44&gt;=$C20,OR(AND($E20="once",44=$C20),AND($E20="weekly",44&lt;=$D20),AND($E20="biweekly",44&lt;=$D20,MOD(44-$C20,2)=0))),Flows!$C21,0))</f>
        <v/>
      </c>
      <c r="AX20" s="13">
        <f>IF(OR($A20="",Flows!$C21=""),0,IF(AND(45&lt;=Setup!$B$5,45&gt;=$C20,OR(AND($E20="once",45=$C20),AND($E20="weekly",45&lt;=$D20),AND($E20="biweekly",45&lt;=$D20,MOD(45-$C20,2)=0))),Flows!$C21,0))</f>
        <v/>
      </c>
      <c r="AY20" s="13">
        <f>IF(OR($A20="",Flows!$C21=""),0,IF(AND(46&lt;=Setup!$B$5,46&gt;=$C20,OR(AND($E20="once",46=$C20),AND($E20="weekly",46&lt;=$D20),AND($E20="biweekly",46&lt;=$D20,MOD(46-$C20,2)=0))),Flows!$C21,0))</f>
        <v/>
      </c>
      <c r="AZ20" s="13">
        <f>IF(OR($A20="",Flows!$C21=""),0,IF(AND(47&lt;=Setup!$B$5,47&gt;=$C20,OR(AND($E20="once",47=$C20),AND($E20="weekly",47&lt;=$D20),AND($E20="biweekly",47&lt;=$D20,MOD(47-$C20,2)=0))),Flows!$C21,0))</f>
        <v/>
      </c>
      <c r="BA20" s="13">
        <f>IF(OR($A20="",Flows!$C21=""),0,IF(AND(48&lt;=Setup!$B$5,48&gt;=$C20,OR(AND($E20="once",48=$C20),AND($E20="weekly",48&lt;=$D20),AND($E20="biweekly",48&lt;=$D20,MOD(48-$C20,2)=0))),Flows!$C21,0))</f>
        <v/>
      </c>
      <c r="BB20" s="13">
        <f>IF(OR($A20="",Flows!$C21=""),0,IF(AND(49&lt;=Setup!$B$5,49&gt;=$C20,OR(AND($E20="once",49=$C20),AND($E20="weekly",49&lt;=$D20),AND($E20="biweekly",49&lt;=$D20,MOD(49-$C20,2)=0))),Flows!$C21,0))</f>
        <v/>
      </c>
      <c r="BC20" s="13">
        <f>IF(OR($A20="",Flows!$C21=""),0,IF(AND(50&lt;=Setup!$B$5,50&gt;=$C20,OR(AND($E20="once",50=$C20),AND($E20="weekly",50&lt;=$D20),AND($E20="biweekly",50&lt;=$D20,MOD(50-$C20,2)=0))),Flows!$C21,0))</f>
        <v/>
      </c>
      <c r="BD20" s="13">
        <f>IF(OR($A20="",Flows!$C21=""),0,IF(AND(51&lt;=Setup!$B$5,51&gt;=$C20,OR(AND($E20="once",51=$C20),AND($E20="weekly",51&lt;=$D20),AND($E20="biweekly",51&lt;=$D20,MOD(51-$C20,2)=0))),Flows!$C21,0))</f>
        <v/>
      </c>
      <c r="BE20" s="13">
        <f>IF(OR($A20="",Flows!$C21=""),0,IF(AND(52&lt;=Setup!$B$5,52&gt;=$C20,OR(AND($E20="once",52=$C20),AND($E20="weekly",52&lt;=$D20),AND($E20="biweekly",52&lt;=$D20,MOD(52-$C20,2)=0))),Flows!$C21,0))</f>
        <v/>
      </c>
    </row>
    <row r="21">
      <c r="A21" s="7">
        <f>IF(Flows!A22="","",LOWER(Flows!A22))</f>
        <v/>
      </c>
      <c r="B21" s="7">
        <f>IF(Flows!B22="","",Flows!B22)</f>
        <v/>
      </c>
      <c r="C21" s="7">
        <f>N(Flows!D22)</f>
        <v/>
      </c>
      <c r="D21" s="7">
        <f>IF(Flows!F22="",Setup!$B$5,Flows!F22)</f>
        <v/>
      </c>
      <c r="E21" s="7">
        <f>IF(Flows!E22="","once",LOWER(Flows!E22))</f>
        <v/>
      </c>
      <c r="F21" s="13">
        <f>IF(OR($A21="",Flows!$C22=""),0,IF(AND(1&lt;=Setup!$B$5,1&gt;=$C21,OR(AND($E21="once",1=$C21),AND($E21="weekly",1&lt;=$D21),AND($E21="biweekly",1&lt;=$D21,MOD(1-$C21,2)=0))),Flows!$C22,0))</f>
        <v/>
      </c>
      <c r="G21" s="13">
        <f>IF(OR($A21="",Flows!$C22=""),0,IF(AND(2&lt;=Setup!$B$5,2&gt;=$C21,OR(AND($E21="once",2=$C21),AND($E21="weekly",2&lt;=$D21),AND($E21="biweekly",2&lt;=$D21,MOD(2-$C21,2)=0))),Flows!$C22,0))</f>
        <v/>
      </c>
      <c r="H21" s="13">
        <f>IF(OR($A21="",Flows!$C22=""),0,IF(AND(3&lt;=Setup!$B$5,3&gt;=$C21,OR(AND($E21="once",3=$C21),AND($E21="weekly",3&lt;=$D21),AND($E21="biweekly",3&lt;=$D21,MOD(3-$C21,2)=0))),Flows!$C22,0))</f>
        <v/>
      </c>
      <c r="I21" s="13">
        <f>IF(OR($A21="",Flows!$C22=""),0,IF(AND(4&lt;=Setup!$B$5,4&gt;=$C21,OR(AND($E21="once",4=$C21),AND($E21="weekly",4&lt;=$D21),AND($E21="biweekly",4&lt;=$D21,MOD(4-$C21,2)=0))),Flows!$C22,0))</f>
        <v/>
      </c>
      <c r="J21" s="13">
        <f>IF(OR($A21="",Flows!$C22=""),0,IF(AND(5&lt;=Setup!$B$5,5&gt;=$C21,OR(AND($E21="once",5=$C21),AND($E21="weekly",5&lt;=$D21),AND($E21="biweekly",5&lt;=$D21,MOD(5-$C21,2)=0))),Flows!$C22,0))</f>
        <v/>
      </c>
      <c r="K21" s="13">
        <f>IF(OR($A21="",Flows!$C22=""),0,IF(AND(6&lt;=Setup!$B$5,6&gt;=$C21,OR(AND($E21="once",6=$C21),AND($E21="weekly",6&lt;=$D21),AND($E21="biweekly",6&lt;=$D21,MOD(6-$C21,2)=0))),Flows!$C22,0))</f>
        <v/>
      </c>
      <c r="L21" s="13">
        <f>IF(OR($A21="",Flows!$C22=""),0,IF(AND(7&lt;=Setup!$B$5,7&gt;=$C21,OR(AND($E21="once",7=$C21),AND($E21="weekly",7&lt;=$D21),AND($E21="biweekly",7&lt;=$D21,MOD(7-$C21,2)=0))),Flows!$C22,0))</f>
        <v/>
      </c>
      <c r="M21" s="13">
        <f>IF(OR($A21="",Flows!$C22=""),0,IF(AND(8&lt;=Setup!$B$5,8&gt;=$C21,OR(AND($E21="once",8=$C21),AND($E21="weekly",8&lt;=$D21),AND($E21="biweekly",8&lt;=$D21,MOD(8-$C21,2)=0))),Flows!$C22,0))</f>
        <v/>
      </c>
      <c r="N21" s="13">
        <f>IF(OR($A21="",Flows!$C22=""),0,IF(AND(9&lt;=Setup!$B$5,9&gt;=$C21,OR(AND($E21="once",9=$C21),AND($E21="weekly",9&lt;=$D21),AND($E21="biweekly",9&lt;=$D21,MOD(9-$C21,2)=0))),Flows!$C22,0))</f>
        <v/>
      </c>
      <c r="O21" s="13">
        <f>IF(OR($A21="",Flows!$C22=""),0,IF(AND(10&lt;=Setup!$B$5,10&gt;=$C21,OR(AND($E21="once",10=$C21),AND($E21="weekly",10&lt;=$D21),AND($E21="biweekly",10&lt;=$D21,MOD(10-$C21,2)=0))),Flows!$C22,0))</f>
        <v/>
      </c>
      <c r="P21" s="13">
        <f>IF(OR($A21="",Flows!$C22=""),0,IF(AND(11&lt;=Setup!$B$5,11&gt;=$C21,OR(AND($E21="once",11=$C21),AND($E21="weekly",11&lt;=$D21),AND($E21="biweekly",11&lt;=$D21,MOD(11-$C21,2)=0))),Flows!$C22,0))</f>
        <v/>
      </c>
      <c r="Q21" s="13">
        <f>IF(OR($A21="",Flows!$C22=""),0,IF(AND(12&lt;=Setup!$B$5,12&gt;=$C21,OR(AND($E21="once",12=$C21),AND($E21="weekly",12&lt;=$D21),AND($E21="biweekly",12&lt;=$D21,MOD(12-$C21,2)=0))),Flows!$C22,0))</f>
        <v/>
      </c>
      <c r="R21" s="13">
        <f>IF(OR($A21="",Flows!$C22=""),0,IF(AND(13&lt;=Setup!$B$5,13&gt;=$C21,OR(AND($E21="once",13=$C21),AND($E21="weekly",13&lt;=$D21),AND($E21="biweekly",13&lt;=$D21,MOD(13-$C21,2)=0))),Flows!$C22,0))</f>
        <v/>
      </c>
      <c r="S21" s="13">
        <f>IF(OR($A21="",Flows!$C22=""),0,IF(AND(14&lt;=Setup!$B$5,14&gt;=$C21,OR(AND($E21="once",14=$C21),AND($E21="weekly",14&lt;=$D21),AND($E21="biweekly",14&lt;=$D21,MOD(14-$C21,2)=0))),Flows!$C22,0))</f>
        <v/>
      </c>
      <c r="T21" s="13">
        <f>IF(OR($A21="",Flows!$C22=""),0,IF(AND(15&lt;=Setup!$B$5,15&gt;=$C21,OR(AND($E21="once",15=$C21),AND($E21="weekly",15&lt;=$D21),AND($E21="biweekly",15&lt;=$D21,MOD(15-$C21,2)=0))),Flows!$C22,0))</f>
        <v/>
      </c>
      <c r="U21" s="13">
        <f>IF(OR($A21="",Flows!$C22=""),0,IF(AND(16&lt;=Setup!$B$5,16&gt;=$C21,OR(AND($E21="once",16=$C21),AND($E21="weekly",16&lt;=$D21),AND($E21="biweekly",16&lt;=$D21,MOD(16-$C21,2)=0))),Flows!$C22,0))</f>
        <v/>
      </c>
      <c r="V21" s="13">
        <f>IF(OR($A21="",Flows!$C22=""),0,IF(AND(17&lt;=Setup!$B$5,17&gt;=$C21,OR(AND($E21="once",17=$C21),AND($E21="weekly",17&lt;=$D21),AND($E21="biweekly",17&lt;=$D21,MOD(17-$C21,2)=0))),Flows!$C22,0))</f>
        <v/>
      </c>
      <c r="W21" s="13">
        <f>IF(OR($A21="",Flows!$C22=""),0,IF(AND(18&lt;=Setup!$B$5,18&gt;=$C21,OR(AND($E21="once",18=$C21),AND($E21="weekly",18&lt;=$D21),AND($E21="biweekly",18&lt;=$D21,MOD(18-$C21,2)=0))),Flows!$C22,0))</f>
        <v/>
      </c>
      <c r="X21" s="13">
        <f>IF(OR($A21="",Flows!$C22=""),0,IF(AND(19&lt;=Setup!$B$5,19&gt;=$C21,OR(AND($E21="once",19=$C21),AND($E21="weekly",19&lt;=$D21),AND($E21="biweekly",19&lt;=$D21,MOD(19-$C21,2)=0))),Flows!$C22,0))</f>
        <v/>
      </c>
      <c r="Y21" s="13">
        <f>IF(OR($A21="",Flows!$C22=""),0,IF(AND(20&lt;=Setup!$B$5,20&gt;=$C21,OR(AND($E21="once",20=$C21),AND($E21="weekly",20&lt;=$D21),AND($E21="biweekly",20&lt;=$D21,MOD(20-$C21,2)=0))),Flows!$C22,0))</f>
        <v/>
      </c>
      <c r="Z21" s="13">
        <f>IF(OR($A21="",Flows!$C22=""),0,IF(AND(21&lt;=Setup!$B$5,21&gt;=$C21,OR(AND($E21="once",21=$C21),AND($E21="weekly",21&lt;=$D21),AND($E21="biweekly",21&lt;=$D21,MOD(21-$C21,2)=0))),Flows!$C22,0))</f>
        <v/>
      </c>
      <c r="AA21" s="13">
        <f>IF(OR($A21="",Flows!$C22=""),0,IF(AND(22&lt;=Setup!$B$5,22&gt;=$C21,OR(AND($E21="once",22=$C21),AND($E21="weekly",22&lt;=$D21),AND($E21="biweekly",22&lt;=$D21,MOD(22-$C21,2)=0))),Flows!$C22,0))</f>
        <v/>
      </c>
      <c r="AB21" s="13">
        <f>IF(OR($A21="",Flows!$C22=""),0,IF(AND(23&lt;=Setup!$B$5,23&gt;=$C21,OR(AND($E21="once",23=$C21),AND($E21="weekly",23&lt;=$D21),AND($E21="biweekly",23&lt;=$D21,MOD(23-$C21,2)=0))),Flows!$C22,0))</f>
        <v/>
      </c>
      <c r="AC21" s="13">
        <f>IF(OR($A21="",Flows!$C22=""),0,IF(AND(24&lt;=Setup!$B$5,24&gt;=$C21,OR(AND($E21="once",24=$C21),AND($E21="weekly",24&lt;=$D21),AND($E21="biweekly",24&lt;=$D21,MOD(24-$C21,2)=0))),Flows!$C22,0))</f>
        <v/>
      </c>
      <c r="AD21" s="13">
        <f>IF(OR($A21="",Flows!$C22=""),0,IF(AND(25&lt;=Setup!$B$5,25&gt;=$C21,OR(AND($E21="once",25=$C21),AND($E21="weekly",25&lt;=$D21),AND($E21="biweekly",25&lt;=$D21,MOD(25-$C21,2)=0))),Flows!$C22,0))</f>
        <v/>
      </c>
      <c r="AE21" s="13">
        <f>IF(OR($A21="",Flows!$C22=""),0,IF(AND(26&lt;=Setup!$B$5,26&gt;=$C21,OR(AND($E21="once",26=$C21),AND($E21="weekly",26&lt;=$D21),AND($E21="biweekly",26&lt;=$D21,MOD(26-$C21,2)=0))),Flows!$C22,0))</f>
        <v/>
      </c>
      <c r="AF21" s="13">
        <f>IF(OR($A21="",Flows!$C22=""),0,IF(AND(27&lt;=Setup!$B$5,27&gt;=$C21,OR(AND($E21="once",27=$C21),AND($E21="weekly",27&lt;=$D21),AND($E21="biweekly",27&lt;=$D21,MOD(27-$C21,2)=0))),Flows!$C22,0))</f>
        <v/>
      </c>
      <c r="AG21" s="13">
        <f>IF(OR($A21="",Flows!$C22=""),0,IF(AND(28&lt;=Setup!$B$5,28&gt;=$C21,OR(AND($E21="once",28=$C21),AND($E21="weekly",28&lt;=$D21),AND($E21="biweekly",28&lt;=$D21,MOD(28-$C21,2)=0))),Flows!$C22,0))</f>
        <v/>
      </c>
      <c r="AH21" s="13">
        <f>IF(OR($A21="",Flows!$C22=""),0,IF(AND(29&lt;=Setup!$B$5,29&gt;=$C21,OR(AND($E21="once",29=$C21),AND($E21="weekly",29&lt;=$D21),AND($E21="biweekly",29&lt;=$D21,MOD(29-$C21,2)=0))),Flows!$C22,0))</f>
        <v/>
      </c>
      <c r="AI21" s="13">
        <f>IF(OR($A21="",Flows!$C22=""),0,IF(AND(30&lt;=Setup!$B$5,30&gt;=$C21,OR(AND($E21="once",30=$C21),AND($E21="weekly",30&lt;=$D21),AND($E21="biweekly",30&lt;=$D21,MOD(30-$C21,2)=0))),Flows!$C22,0))</f>
        <v/>
      </c>
      <c r="AJ21" s="13">
        <f>IF(OR($A21="",Flows!$C22=""),0,IF(AND(31&lt;=Setup!$B$5,31&gt;=$C21,OR(AND($E21="once",31=$C21),AND($E21="weekly",31&lt;=$D21),AND($E21="biweekly",31&lt;=$D21,MOD(31-$C21,2)=0))),Flows!$C22,0))</f>
        <v/>
      </c>
      <c r="AK21" s="13">
        <f>IF(OR($A21="",Flows!$C22=""),0,IF(AND(32&lt;=Setup!$B$5,32&gt;=$C21,OR(AND($E21="once",32=$C21),AND($E21="weekly",32&lt;=$D21),AND($E21="biweekly",32&lt;=$D21,MOD(32-$C21,2)=0))),Flows!$C22,0))</f>
        <v/>
      </c>
      <c r="AL21" s="13">
        <f>IF(OR($A21="",Flows!$C22=""),0,IF(AND(33&lt;=Setup!$B$5,33&gt;=$C21,OR(AND($E21="once",33=$C21),AND($E21="weekly",33&lt;=$D21),AND($E21="biweekly",33&lt;=$D21,MOD(33-$C21,2)=0))),Flows!$C22,0))</f>
        <v/>
      </c>
      <c r="AM21" s="13">
        <f>IF(OR($A21="",Flows!$C22=""),0,IF(AND(34&lt;=Setup!$B$5,34&gt;=$C21,OR(AND($E21="once",34=$C21),AND($E21="weekly",34&lt;=$D21),AND($E21="biweekly",34&lt;=$D21,MOD(34-$C21,2)=0))),Flows!$C22,0))</f>
        <v/>
      </c>
      <c r="AN21" s="13">
        <f>IF(OR($A21="",Flows!$C22=""),0,IF(AND(35&lt;=Setup!$B$5,35&gt;=$C21,OR(AND($E21="once",35=$C21),AND($E21="weekly",35&lt;=$D21),AND($E21="biweekly",35&lt;=$D21,MOD(35-$C21,2)=0))),Flows!$C22,0))</f>
        <v/>
      </c>
      <c r="AO21" s="13">
        <f>IF(OR($A21="",Flows!$C22=""),0,IF(AND(36&lt;=Setup!$B$5,36&gt;=$C21,OR(AND($E21="once",36=$C21),AND($E21="weekly",36&lt;=$D21),AND($E21="biweekly",36&lt;=$D21,MOD(36-$C21,2)=0))),Flows!$C22,0))</f>
        <v/>
      </c>
      <c r="AP21" s="13">
        <f>IF(OR($A21="",Flows!$C22=""),0,IF(AND(37&lt;=Setup!$B$5,37&gt;=$C21,OR(AND($E21="once",37=$C21),AND($E21="weekly",37&lt;=$D21),AND($E21="biweekly",37&lt;=$D21,MOD(37-$C21,2)=0))),Flows!$C22,0))</f>
        <v/>
      </c>
      <c r="AQ21" s="13">
        <f>IF(OR($A21="",Flows!$C22=""),0,IF(AND(38&lt;=Setup!$B$5,38&gt;=$C21,OR(AND($E21="once",38=$C21),AND($E21="weekly",38&lt;=$D21),AND($E21="biweekly",38&lt;=$D21,MOD(38-$C21,2)=0))),Flows!$C22,0))</f>
        <v/>
      </c>
      <c r="AR21" s="13">
        <f>IF(OR($A21="",Flows!$C22=""),0,IF(AND(39&lt;=Setup!$B$5,39&gt;=$C21,OR(AND($E21="once",39=$C21),AND($E21="weekly",39&lt;=$D21),AND($E21="biweekly",39&lt;=$D21,MOD(39-$C21,2)=0))),Flows!$C22,0))</f>
        <v/>
      </c>
      <c r="AS21" s="13">
        <f>IF(OR($A21="",Flows!$C22=""),0,IF(AND(40&lt;=Setup!$B$5,40&gt;=$C21,OR(AND($E21="once",40=$C21),AND($E21="weekly",40&lt;=$D21),AND($E21="biweekly",40&lt;=$D21,MOD(40-$C21,2)=0))),Flows!$C22,0))</f>
        <v/>
      </c>
      <c r="AT21" s="13">
        <f>IF(OR($A21="",Flows!$C22=""),0,IF(AND(41&lt;=Setup!$B$5,41&gt;=$C21,OR(AND($E21="once",41=$C21),AND($E21="weekly",41&lt;=$D21),AND($E21="biweekly",41&lt;=$D21,MOD(41-$C21,2)=0))),Flows!$C22,0))</f>
        <v/>
      </c>
      <c r="AU21" s="13">
        <f>IF(OR($A21="",Flows!$C22=""),0,IF(AND(42&lt;=Setup!$B$5,42&gt;=$C21,OR(AND($E21="once",42=$C21),AND($E21="weekly",42&lt;=$D21),AND($E21="biweekly",42&lt;=$D21,MOD(42-$C21,2)=0))),Flows!$C22,0))</f>
        <v/>
      </c>
      <c r="AV21" s="13">
        <f>IF(OR($A21="",Flows!$C22=""),0,IF(AND(43&lt;=Setup!$B$5,43&gt;=$C21,OR(AND($E21="once",43=$C21),AND($E21="weekly",43&lt;=$D21),AND($E21="biweekly",43&lt;=$D21,MOD(43-$C21,2)=0))),Flows!$C22,0))</f>
        <v/>
      </c>
      <c r="AW21" s="13">
        <f>IF(OR($A21="",Flows!$C22=""),0,IF(AND(44&lt;=Setup!$B$5,44&gt;=$C21,OR(AND($E21="once",44=$C21),AND($E21="weekly",44&lt;=$D21),AND($E21="biweekly",44&lt;=$D21,MOD(44-$C21,2)=0))),Flows!$C22,0))</f>
        <v/>
      </c>
      <c r="AX21" s="13">
        <f>IF(OR($A21="",Flows!$C22=""),0,IF(AND(45&lt;=Setup!$B$5,45&gt;=$C21,OR(AND($E21="once",45=$C21),AND($E21="weekly",45&lt;=$D21),AND($E21="biweekly",45&lt;=$D21,MOD(45-$C21,2)=0))),Flows!$C22,0))</f>
        <v/>
      </c>
      <c r="AY21" s="13">
        <f>IF(OR($A21="",Flows!$C22=""),0,IF(AND(46&lt;=Setup!$B$5,46&gt;=$C21,OR(AND($E21="once",46=$C21),AND($E21="weekly",46&lt;=$D21),AND($E21="biweekly",46&lt;=$D21,MOD(46-$C21,2)=0))),Flows!$C22,0))</f>
        <v/>
      </c>
      <c r="AZ21" s="13">
        <f>IF(OR($A21="",Flows!$C22=""),0,IF(AND(47&lt;=Setup!$B$5,47&gt;=$C21,OR(AND($E21="once",47=$C21),AND($E21="weekly",47&lt;=$D21),AND($E21="biweekly",47&lt;=$D21,MOD(47-$C21,2)=0))),Flows!$C22,0))</f>
        <v/>
      </c>
      <c r="BA21" s="13">
        <f>IF(OR($A21="",Flows!$C22=""),0,IF(AND(48&lt;=Setup!$B$5,48&gt;=$C21,OR(AND($E21="once",48=$C21),AND($E21="weekly",48&lt;=$D21),AND($E21="biweekly",48&lt;=$D21,MOD(48-$C21,2)=0))),Flows!$C22,0))</f>
        <v/>
      </c>
      <c r="BB21" s="13">
        <f>IF(OR($A21="",Flows!$C22=""),0,IF(AND(49&lt;=Setup!$B$5,49&gt;=$C21,OR(AND($E21="once",49=$C21),AND($E21="weekly",49&lt;=$D21),AND($E21="biweekly",49&lt;=$D21,MOD(49-$C21,2)=0))),Flows!$C22,0))</f>
        <v/>
      </c>
      <c r="BC21" s="13">
        <f>IF(OR($A21="",Flows!$C22=""),0,IF(AND(50&lt;=Setup!$B$5,50&gt;=$C21,OR(AND($E21="once",50=$C21),AND($E21="weekly",50&lt;=$D21),AND($E21="biweekly",50&lt;=$D21,MOD(50-$C21,2)=0))),Flows!$C22,0))</f>
        <v/>
      </c>
      <c r="BD21" s="13">
        <f>IF(OR($A21="",Flows!$C22=""),0,IF(AND(51&lt;=Setup!$B$5,51&gt;=$C21,OR(AND($E21="once",51=$C21),AND($E21="weekly",51&lt;=$D21),AND($E21="biweekly",51&lt;=$D21,MOD(51-$C21,2)=0))),Flows!$C22,0))</f>
        <v/>
      </c>
      <c r="BE21" s="13">
        <f>IF(OR($A21="",Flows!$C22=""),0,IF(AND(52&lt;=Setup!$B$5,52&gt;=$C21,OR(AND($E21="once",52=$C21),AND($E21="weekly",52&lt;=$D21),AND($E21="biweekly",52&lt;=$D21,MOD(52-$C21,2)=0))),Flows!$C22,0))</f>
        <v/>
      </c>
    </row>
    <row r="22">
      <c r="A22" s="7">
        <f>IF(Flows!A23="","",LOWER(Flows!A23))</f>
        <v/>
      </c>
      <c r="B22" s="7">
        <f>IF(Flows!B23="","",Flows!B23)</f>
        <v/>
      </c>
      <c r="C22" s="7">
        <f>N(Flows!D23)</f>
        <v/>
      </c>
      <c r="D22" s="7">
        <f>IF(Flows!F23="",Setup!$B$5,Flows!F23)</f>
        <v/>
      </c>
      <c r="E22" s="7">
        <f>IF(Flows!E23="","once",LOWER(Flows!E23))</f>
        <v/>
      </c>
      <c r="F22" s="13">
        <f>IF(OR($A22="",Flows!$C23=""),0,IF(AND(1&lt;=Setup!$B$5,1&gt;=$C22,OR(AND($E22="once",1=$C22),AND($E22="weekly",1&lt;=$D22),AND($E22="biweekly",1&lt;=$D22,MOD(1-$C22,2)=0))),Flows!$C23,0))</f>
        <v/>
      </c>
      <c r="G22" s="13">
        <f>IF(OR($A22="",Flows!$C23=""),0,IF(AND(2&lt;=Setup!$B$5,2&gt;=$C22,OR(AND($E22="once",2=$C22),AND($E22="weekly",2&lt;=$D22),AND($E22="biweekly",2&lt;=$D22,MOD(2-$C22,2)=0))),Flows!$C23,0))</f>
        <v/>
      </c>
      <c r="H22" s="13">
        <f>IF(OR($A22="",Flows!$C23=""),0,IF(AND(3&lt;=Setup!$B$5,3&gt;=$C22,OR(AND($E22="once",3=$C22),AND($E22="weekly",3&lt;=$D22),AND($E22="biweekly",3&lt;=$D22,MOD(3-$C22,2)=0))),Flows!$C23,0))</f>
        <v/>
      </c>
      <c r="I22" s="13">
        <f>IF(OR($A22="",Flows!$C23=""),0,IF(AND(4&lt;=Setup!$B$5,4&gt;=$C22,OR(AND($E22="once",4=$C22),AND($E22="weekly",4&lt;=$D22),AND($E22="biweekly",4&lt;=$D22,MOD(4-$C22,2)=0))),Flows!$C23,0))</f>
        <v/>
      </c>
      <c r="J22" s="13">
        <f>IF(OR($A22="",Flows!$C23=""),0,IF(AND(5&lt;=Setup!$B$5,5&gt;=$C22,OR(AND($E22="once",5=$C22),AND($E22="weekly",5&lt;=$D22),AND($E22="biweekly",5&lt;=$D22,MOD(5-$C22,2)=0))),Flows!$C23,0))</f>
        <v/>
      </c>
      <c r="K22" s="13">
        <f>IF(OR($A22="",Flows!$C23=""),0,IF(AND(6&lt;=Setup!$B$5,6&gt;=$C22,OR(AND($E22="once",6=$C22),AND($E22="weekly",6&lt;=$D22),AND($E22="biweekly",6&lt;=$D22,MOD(6-$C22,2)=0))),Flows!$C23,0))</f>
        <v/>
      </c>
      <c r="L22" s="13">
        <f>IF(OR($A22="",Flows!$C23=""),0,IF(AND(7&lt;=Setup!$B$5,7&gt;=$C22,OR(AND($E22="once",7=$C22),AND($E22="weekly",7&lt;=$D22),AND($E22="biweekly",7&lt;=$D22,MOD(7-$C22,2)=0))),Flows!$C23,0))</f>
        <v/>
      </c>
      <c r="M22" s="13">
        <f>IF(OR($A22="",Flows!$C23=""),0,IF(AND(8&lt;=Setup!$B$5,8&gt;=$C22,OR(AND($E22="once",8=$C22),AND($E22="weekly",8&lt;=$D22),AND($E22="biweekly",8&lt;=$D22,MOD(8-$C22,2)=0))),Flows!$C23,0))</f>
        <v/>
      </c>
      <c r="N22" s="13">
        <f>IF(OR($A22="",Flows!$C23=""),0,IF(AND(9&lt;=Setup!$B$5,9&gt;=$C22,OR(AND($E22="once",9=$C22),AND($E22="weekly",9&lt;=$D22),AND($E22="biweekly",9&lt;=$D22,MOD(9-$C22,2)=0))),Flows!$C23,0))</f>
        <v/>
      </c>
      <c r="O22" s="13">
        <f>IF(OR($A22="",Flows!$C23=""),0,IF(AND(10&lt;=Setup!$B$5,10&gt;=$C22,OR(AND($E22="once",10=$C22),AND($E22="weekly",10&lt;=$D22),AND($E22="biweekly",10&lt;=$D22,MOD(10-$C22,2)=0))),Flows!$C23,0))</f>
        <v/>
      </c>
      <c r="P22" s="13">
        <f>IF(OR($A22="",Flows!$C23=""),0,IF(AND(11&lt;=Setup!$B$5,11&gt;=$C22,OR(AND($E22="once",11=$C22),AND($E22="weekly",11&lt;=$D22),AND($E22="biweekly",11&lt;=$D22,MOD(11-$C22,2)=0))),Flows!$C23,0))</f>
        <v/>
      </c>
      <c r="Q22" s="13">
        <f>IF(OR($A22="",Flows!$C23=""),0,IF(AND(12&lt;=Setup!$B$5,12&gt;=$C22,OR(AND($E22="once",12=$C22),AND($E22="weekly",12&lt;=$D22),AND($E22="biweekly",12&lt;=$D22,MOD(12-$C22,2)=0))),Flows!$C23,0))</f>
        <v/>
      </c>
      <c r="R22" s="13">
        <f>IF(OR($A22="",Flows!$C23=""),0,IF(AND(13&lt;=Setup!$B$5,13&gt;=$C22,OR(AND($E22="once",13=$C22),AND($E22="weekly",13&lt;=$D22),AND($E22="biweekly",13&lt;=$D22,MOD(13-$C22,2)=0))),Flows!$C23,0))</f>
        <v/>
      </c>
      <c r="S22" s="13">
        <f>IF(OR($A22="",Flows!$C23=""),0,IF(AND(14&lt;=Setup!$B$5,14&gt;=$C22,OR(AND($E22="once",14=$C22),AND($E22="weekly",14&lt;=$D22),AND($E22="biweekly",14&lt;=$D22,MOD(14-$C22,2)=0))),Flows!$C23,0))</f>
        <v/>
      </c>
      <c r="T22" s="13">
        <f>IF(OR($A22="",Flows!$C23=""),0,IF(AND(15&lt;=Setup!$B$5,15&gt;=$C22,OR(AND($E22="once",15=$C22),AND($E22="weekly",15&lt;=$D22),AND($E22="biweekly",15&lt;=$D22,MOD(15-$C22,2)=0))),Flows!$C23,0))</f>
        <v/>
      </c>
      <c r="U22" s="13">
        <f>IF(OR($A22="",Flows!$C23=""),0,IF(AND(16&lt;=Setup!$B$5,16&gt;=$C22,OR(AND($E22="once",16=$C22),AND($E22="weekly",16&lt;=$D22),AND($E22="biweekly",16&lt;=$D22,MOD(16-$C22,2)=0))),Flows!$C23,0))</f>
        <v/>
      </c>
      <c r="V22" s="13">
        <f>IF(OR($A22="",Flows!$C23=""),0,IF(AND(17&lt;=Setup!$B$5,17&gt;=$C22,OR(AND($E22="once",17=$C22),AND($E22="weekly",17&lt;=$D22),AND($E22="biweekly",17&lt;=$D22,MOD(17-$C22,2)=0))),Flows!$C23,0))</f>
        <v/>
      </c>
      <c r="W22" s="13">
        <f>IF(OR($A22="",Flows!$C23=""),0,IF(AND(18&lt;=Setup!$B$5,18&gt;=$C22,OR(AND($E22="once",18=$C22),AND($E22="weekly",18&lt;=$D22),AND($E22="biweekly",18&lt;=$D22,MOD(18-$C22,2)=0))),Flows!$C23,0))</f>
        <v/>
      </c>
      <c r="X22" s="13">
        <f>IF(OR($A22="",Flows!$C23=""),0,IF(AND(19&lt;=Setup!$B$5,19&gt;=$C22,OR(AND($E22="once",19=$C22),AND($E22="weekly",19&lt;=$D22),AND($E22="biweekly",19&lt;=$D22,MOD(19-$C22,2)=0))),Flows!$C23,0))</f>
        <v/>
      </c>
      <c r="Y22" s="13">
        <f>IF(OR($A22="",Flows!$C23=""),0,IF(AND(20&lt;=Setup!$B$5,20&gt;=$C22,OR(AND($E22="once",20=$C22),AND($E22="weekly",20&lt;=$D22),AND($E22="biweekly",20&lt;=$D22,MOD(20-$C22,2)=0))),Flows!$C23,0))</f>
        <v/>
      </c>
      <c r="Z22" s="13">
        <f>IF(OR($A22="",Flows!$C23=""),0,IF(AND(21&lt;=Setup!$B$5,21&gt;=$C22,OR(AND($E22="once",21=$C22),AND($E22="weekly",21&lt;=$D22),AND($E22="biweekly",21&lt;=$D22,MOD(21-$C22,2)=0))),Flows!$C23,0))</f>
        <v/>
      </c>
      <c r="AA22" s="13">
        <f>IF(OR($A22="",Flows!$C23=""),0,IF(AND(22&lt;=Setup!$B$5,22&gt;=$C22,OR(AND($E22="once",22=$C22),AND($E22="weekly",22&lt;=$D22),AND($E22="biweekly",22&lt;=$D22,MOD(22-$C22,2)=0))),Flows!$C23,0))</f>
        <v/>
      </c>
      <c r="AB22" s="13">
        <f>IF(OR($A22="",Flows!$C23=""),0,IF(AND(23&lt;=Setup!$B$5,23&gt;=$C22,OR(AND($E22="once",23=$C22),AND($E22="weekly",23&lt;=$D22),AND($E22="biweekly",23&lt;=$D22,MOD(23-$C22,2)=0))),Flows!$C23,0))</f>
        <v/>
      </c>
      <c r="AC22" s="13">
        <f>IF(OR($A22="",Flows!$C23=""),0,IF(AND(24&lt;=Setup!$B$5,24&gt;=$C22,OR(AND($E22="once",24=$C22),AND($E22="weekly",24&lt;=$D22),AND($E22="biweekly",24&lt;=$D22,MOD(24-$C22,2)=0))),Flows!$C23,0))</f>
        <v/>
      </c>
      <c r="AD22" s="13">
        <f>IF(OR($A22="",Flows!$C23=""),0,IF(AND(25&lt;=Setup!$B$5,25&gt;=$C22,OR(AND($E22="once",25=$C22),AND($E22="weekly",25&lt;=$D22),AND($E22="biweekly",25&lt;=$D22,MOD(25-$C22,2)=0))),Flows!$C23,0))</f>
        <v/>
      </c>
      <c r="AE22" s="13">
        <f>IF(OR($A22="",Flows!$C23=""),0,IF(AND(26&lt;=Setup!$B$5,26&gt;=$C22,OR(AND($E22="once",26=$C22),AND($E22="weekly",26&lt;=$D22),AND($E22="biweekly",26&lt;=$D22,MOD(26-$C22,2)=0))),Flows!$C23,0))</f>
        <v/>
      </c>
      <c r="AF22" s="13">
        <f>IF(OR($A22="",Flows!$C23=""),0,IF(AND(27&lt;=Setup!$B$5,27&gt;=$C22,OR(AND($E22="once",27=$C22),AND($E22="weekly",27&lt;=$D22),AND($E22="biweekly",27&lt;=$D22,MOD(27-$C22,2)=0))),Flows!$C23,0))</f>
        <v/>
      </c>
      <c r="AG22" s="13">
        <f>IF(OR($A22="",Flows!$C23=""),0,IF(AND(28&lt;=Setup!$B$5,28&gt;=$C22,OR(AND($E22="once",28=$C22),AND($E22="weekly",28&lt;=$D22),AND($E22="biweekly",28&lt;=$D22,MOD(28-$C22,2)=0))),Flows!$C23,0))</f>
        <v/>
      </c>
      <c r="AH22" s="13">
        <f>IF(OR($A22="",Flows!$C23=""),0,IF(AND(29&lt;=Setup!$B$5,29&gt;=$C22,OR(AND($E22="once",29=$C22),AND($E22="weekly",29&lt;=$D22),AND($E22="biweekly",29&lt;=$D22,MOD(29-$C22,2)=0))),Flows!$C23,0))</f>
        <v/>
      </c>
      <c r="AI22" s="13">
        <f>IF(OR($A22="",Flows!$C23=""),0,IF(AND(30&lt;=Setup!$B$5,30&gt;=$C22,OR(AND($E22="once",30=$C22),AND($E22="weekly",30&lt;=$D22),AND($E22="biweekly",30&lt;=$D22,MOD(30-$C22,2)=0))),Flows!$C23,0))</f>
        <v/>
      </c>
      <c r="AJ22" s="13">
        <f>IF(OR($A22="",Flows!$C23=""),0,IF(AND(31&lt;=Setup!$B$5,31&gt;=$C22,OR(AND($E22="once",31=$C22),AND($E22="weekly",31&lt;=$D22),AND($E22="biweekly",31&lt;=$D22,MOD(31-$C22,2)=0))),Flows!$C23,0))</f>
        <v/>
      </c>
      <c r="AK22" s="13">
        <f>IF(OR($A22="",Flows!$C23=""),0,IF(AND(32&lt;=Setup!$B$5,32&gt;=$C22,OR(AND($E22="once",32=$C22),AND($E22="weekly",32&lt;=$D22),AND($E22="biweekly",32&lt;=$D22,MOD(32-$C22,2)=0))),Flows!$C23,0))</f>
        <v/>
      </c>
      <c r="AL22" s="13">
        <f>IF(OR($A22="",Flows!$C23=""),0,IF(AND(33&lt;=Setup!$B$5,33&gt;=$C22,OR(AND($E22="once",33=$C22),AND($E22="weekly",33&lt;=$D22),AND($E22="biweekly",33&lt;=$D22,MOD(33-$C22,2)=0))),Flows!$C23,0))</f>
        <v/>
      </c>
      <c r="AM22" s="13">
        <f>IF(OR($A22="",Flows!$C23=""),0,IF(AND(34&lt;=Setup!$B$5,34&gt;=$C22,OR(AND($E22="once",34=$C22),AND($E22="weekly",34&lt;=$D22),AND($E22="biweekly",34&lt;=$D22,MOD(34-$C22,2)=0))),Flows!$C23,0))</f>
        <v/>
      </c>
      <c r="AN22" s="13">
        <f>IF(OR($A22="",Flows!$C23=""),0,IF(AND(35&lt;=Setup!$B$5,35&gt;=$C22,OR(AND($E22="once",35=$C22),AND($E22="weekly",35&lt;=$D22),AND($E22="biweekly",35&lt;=$D22,MOD(35-$C22,2)=0))),Flows!$C23,0))</f>
        <v/>
      </c>
      <c r="AO22" s="13">
        <f>IF(OR($A22="",Flows!$C23=""),0,IF(AND(36&lt;=Setup!$B$5,36&gt;=$C22,OR(AND($E22="once",36=$C22),AND($E22="weekly",36&lt;=$D22),AND($E22="biweekly",36&lt;=$D22,MOD(36-$C22,2)=0))),Flows!$C23,0))</f>
        <v/>
      </c>
      <c r="AP22" s="13">
        <f>IF(OR($A22="",Flows!$C23=""),0,IF(AND(37&lt;=Setup!$B$5,37&gt;=$C22,OR(AND($E22="once",37=$C22),AND($E22="weekly",37&lt;=$D22),AND($E22="biweekly",37&lt;=$D22,MOD(37-$C22,2)=0))),Flows!$C23,0))</f>
        <v/>
      </c>
      <c r="AQ22" s="13">
        <f>IF(OR($A22="",Flows!$C23=""),0,IF(AND(38&lt;=Setup!$B$5,38&gt;=$C22,OR(AND($E22="once",38=$C22),AND($E22="weekly",38&lt;=$D22),AND($E22="biweekly",38&lt;=$D22,MOD(38-$C22,2)=0))),Flows!$C23,0))</f>
        <v/>
      </c>
      <c r="AR22" s="13">
        <f>IF(OR($A22="",Flows!$C23=""),0,IF(AND(39&lt;=Setup!$B$5,39&gt;=$C22,OR(AND($E22="once",39=$C22),AND($E22="weekly",39&lt;=$D22),AND($E22="biweekly",39&lt;=$D22,MOD(39-$C22,2)=0))),Flows!$C23,0))</f>
        <v/>
      </c>
      <c r="AS22" s="13">
        <f>IF(OR($A22="",Flows!$C23=""),0,IF(AND(40&lt;=Setup!$B$5,40&gt;=$C22,OR(AND($E22="once",40=$C22),AND($E22="weekly",40&lt;=$D22),AND($E22="biweekly",40&lt;=$D22,MOD(40-$C22,2)=0))),Flows!$C23,0))</f>
        <v/>
      </c>
      <c r="AT22" s="13">
        <f>IF(OR($A22="",Flows!$C23=""),0,IF(AND(41&lt;=Setup!$B$5,41&gt;=$C22,OR(AND($E22="once",41=$C22),AND($E22="weekly",41&lt;=$D22),AND($E22="biweekly",41&lt;=$D22,MOD(41-$C22,2)=0))),Flows!$C23,0))</f>
        <v/>
      </c>
      <c r="AU22" s="13">
        <f>IF(OR($A22="",Flows!$C23=""),0,IF(AND(42&lt;=Setup!$B$5,42&gt;=$C22,OR(AND($E22="once",42=$C22),AND($E22="weekly",42&lt;=$D22),AND($E22="biweekly",42&lt;=$D22,MOD(42-$C22,2)=0))),Flows!$C23,0))</f>
        <v/>
      </c>
      <c r="AV22" s="13">
        <f>IF(OR($A22="",Flows!$C23=""),0,IF(AND(43&lt;=Setup!$B$5,43&gt;=$C22,OR(AND($E22="once",43=$C22),AND($E22="weekly",43&lt;=$D22),AND($E22="biweekly",43&lt;=$D22,MOD(43-$C22,2)=0))),Flows!$C23,0))</f>
        <v/>
      </c>
      <c r="AW22" s="13">
        <f>IF(OR($A22="",Flows!$C23=""),0,IF(AND(44&lt;=Setup!$B$5,44&gt;=$C22,OR(AND($E22="once",44=$C22),AND($E22="weekly",44&lt;=$D22),AND($E22="biweekly",44&lt;=$D22,MOD(44-$C22,2)=0))),Flows!$C23,0))</f>
        <v/>
      </c>
      <c r="AX22" s="13">
        <f>IF(OR($A22="",Flows!$C23=""),0,IF(AND(45&lt;=Setup!$B$5,45&gt;=$C22,OR(AND($E22="once",45=$C22),AND($E22="weekly",45&lt;=$D22),AND($E22="biweekly",45&lt;=$D22,MOD(45-$C22,2)=0))),Flows!$C23,0))</f>
        <v/>
      </c>
      <c r="AY22" s="13">
        <f>IF(OR($A22="",Flows!$C23=""),0,IF(AND(46&lt;=Setup!$B$5,46&gt;=$C22,OR(AND($E22="once",46=$C22),AND($E22="weekly",46&lt;=$D22),AND($E22="biweekly",46&lt;=$D22,MOD(46-$C22,2)=0))),Flows!$C23,0))</f>
        <v/>
      </c>
      <c r="AZ22" s="13">
        <f>IF(OR($A22="",Flows!$C23=""),0,IF(AND(47&lt;=Setup!$B$5,47&gt;=$C22,OR(AND($E22="once",47=$C22),AND($E22="weekly",47&lt;=$D22),AND($E22="biweekly",47&lt;=$D22,MOD(47-$C22,2)=0))),Flows!$C23,0))</f>
        <v/>
      </c>
      <c r="BA22" s="13">
        <f>IF(OR($A22="",Flows!$C23=""),0,IF(AND(48&lt;=Setup!$B$5,48&gt;=$C22,OR(AND($E22="once",48=$C22),AND($E22="weekly",48&lt;=$D22),AND($E22="biweekly",48&lt;=$D22,MOD(48-$C22,2)=0))),Flows!$C23,0))</f>
        <v/>
      </c>
      <c r="BB22" s="13">
        <f>IF(OR($A22="",Flows!$C23=""),0,IF(AND(49&lt;=Setup!$B$5,49&gt;=$C22,OR(AND($E22="once",49=$C22),AND($E22="weekly",49&lt;=$D22),AND($E22="biweekly",49&lt;=$D22,MOD(49-$C22,2)=0))),Flows!$C23,0))</f>
        <v/>
      </c>
      <c r="BC22" s="13">
        <f>IF(OR($A22="",Flows!$C23=""),0,IF(AND(50&lt;=Setup!$B$5,50&gt;=$C22,OR(AND($E22="once",50=$C22),AND($E22="weekly",50&lt;=$D22),AND($E22="biweekly",50&lt;=$D22,MOD(50-$C22,2)=0))),Flows!$C23,0))</f>
        <v/>
      </c>
      <c r="BD22" s="13">
        <f>IF(OR($A22="",Flows!$C23=""),0,IF(AND(51&lt;=Setup!$B$5,51&gt;=$C22,OR(AND($E22="once",51=$C22),AND($E22="weekly",51&lt;=$D22),AND($E22="biweekly",51&lt;=$D22,MOD(51-$C22,2)=0))),Flows!$C23,0))</f>
        <v/>
      </c>
      <c r="BE22" s="13">
        <f>IF(OR($A22="",Flows!$C23=""),0,IF(AND(52&lt;=Setup!$B$5,52&gt;=$C22,OR(AND($E22="once",52=$C22),AND($E22="weekly",52&lt;=$D22),AND($E22="biweekly",52&lt;=$D22,MOD(52-$C22,2)=0))),Flows!$C23,0))</f>
        <v/>
      </c>
    </row>
    <row r="23">
      <c r="A23" s="7">
        <f>IF(Flows!A24="","",LOWER(Flows!A24))</f>
        <v/>
      </c>
      <c r="B23" s="7">
        <f>IF(Flows!B24="","",Flows!B24)</f>
        <v/>
      </c>
      <c r="C23" s="7">
        <f>N(Flows!D24)</f>
        <v/>
      </c>
      <c r="D23" s="7">
        <f>IF(Flows!F24="",Setup!$B$5,Flows!F24)</f>
        <v/>
      </c>
      <c r="E23" s="7">
        <f>IF(Flows!E24="","once",LOWER(Flows!E24))</f>
        <v/>
      </c>
      <c r="F23" s="13">
        <f>IF(OR($A23="",Flows!$C24=""),0,IF(AND(1&lt;=Setup!$B$5,1&gt;=$C23,OR(AND($E23="once",1=$C23),AND($E23="weekly",1&lt;=$D23),AND($E23="biweekly",1&lt;=$D23,MOD(1-$C23,2)=0))),Flows!$C24,0))</f>
        <v/>
      </c>
      <c r="G23" s="13">
        <f>IF(OR($A23="",Flows!$C24=""),0,IF(AND(2&lt;=Setup!$B$5,2&gt;=$C23,OR(AND($E23="once",2=$C23),AND($E23="weekly",2&lt;=$D23),AND($E23="biweekly",2&lt;=$D23,MOD(2-$C23,2)=0))),Flows!$C24,0))</f>
        <v/>
      </c>
      <c r="H23" s="13">
        <f>IF(OR($A23="",Flows!$C24=""),0,IF(AND(3&lt;=Setup!$B$5,3&gt;=$C23,OR(AND($E23="once",3=$C23),AND($E23="weekly",3&lt;=$D23),AND($E23="biweekly",3&lt;=$D23,MOD(3-$C23,2)=0))),Flows!$C24,0))</f>
        <v/>
      </c>
      <c r="I23" s="13">
        <f>IF(OR($A23="",Flows!$C24=""),0,IF(AND(4&lt;=Setup!$B$5,4&gt;=$C23,OR(AND($E23="once",4=$C23),AND($E23="weekly",4&lt;=$D23),AND($E23="biweekly",4&lt;=$D23,MOD(4-$C23,2)=0))),Flows!$C24,0))</f>
        <v/>
      </c>
      <c r="J23" s="13">
        <f>IF(OR($A23="",Flows!$C24=""),0,IF(AND(5&lt;=Setup!$B$5,5&gt;=$C23,OR(AND($E23="once",5=$C23),AND($E23="weekly",5&lt;=$D23),AND($E23="biweekly",5&lt;=$D23,MOD(5-$C23,2)=0))),Flows!$C24,0))</f>
        <v/>
      </c>
      <c r="K23" s="13">
        <f>IF(OR($A23="",Flows!$C24=""),0,IF(AND(6&lt;=Setup!$B$5,6&gt;=$C23,OR(AND($E23="once",6=$C23),AND($E23="weekly",6&lt;=$D23),AND($E23="biweekly",6&lt;=$D23,MOD(6-$C23,2)=0))),Flows!$C24,0))</f>
        <v/>
      </c>
      <c r="L23" s="13">
        <f>IF(OR($A23="",Flows!$C24=""),0,IF(AND(7&lt;=Setup!$B$5,7&gt;=$C23,OR(AND($E23="once",7=$C23),AND($E23="weekly",7&lt;=$D23),AND($E23="biweekly",7&lt;=$D23,MOD(7-$C23,2)=0))),Flows!$C24,0))</f>
        <v/>
      </c>
      <c r="M23" s="13">
        <f>IF(OR($A23="",Flows!$C24=""),0,IF(AND(8&lt;=Setup!$B$5,8&gt;=$C23,OR(AND($E23="once",8=$C23),AND($E23="weekly",8&lt;=$D23),AND($E23="biweekly",8&lt;=$D23,MOD(8-$C23,2)=0))),Flows!$C24,0))</f>
        <v/>
      </c>
      <c r="N23" s="13">
        <f>IF(OR($A23="",Flows!$C24=""),0,IF(AND(9&lt;=Setup!$B$5,9&gt;=$C23,OR(AND($E23="once",9=$C23),AND($E23="weekly",9&lt;=$D23),AND($E23="biweekly",9&lt;=$D23,MOD(9-$C23,2)=0))),Flows!$C24,0))</f>
        <v/>
      </c>
      <c r="O23" s="13">
        <f>IF(OR($A23="",Flows!$C24=""),0,IF(AND(10&lt;=Setup!$B$5,10&gt;=$C23,OR(AND($E23="once",10=$C23),AND($E23="weekly",10&lt;=$D23),AND($E23="biweekly",10&lt;=$D23,MOD(10-$C23,2)=0))),Flows!$C24,0))</f>
        <v/>
      </c>
      <c r="P23" s="13">
        <f>IF(OR($A23="",Flows!$C24=""),0,IF(AND(11&lt;=Setup!$B$5,11&gt;=$C23,OR(AND($E23="once",11=$C23),AND($E23="weekly",11&lt;=$D23),AND($E23="biweekly",11&lt;=$D23,MOD(11-$C23,2)=0))),Flows!$C24,0))</f>
        <v/>
      </c>
      <c r="Q23" s="13">
        <f>IF(OR($A23="",Flows!$C24=""),0,IF(AND(12&lt;=Setup!$B$5,12&gt;=$C23,OR(AND($E23="once",12=$C23),AND($E23="weekly",12&lt;=$D23),AND($E23="biweekly",12&lt;=$D23,MOD(12-$C23,2)=0))),Flows!$C24,0))</f>
        <v/>
      </c>
      <c r="R23" s="13">
        <f>IF(OR($A23="",Flows!$C24=""),0,IF(AND(13&lt;=Setup!$B$5,13&gt;=$C23,OR(AND($E23="once",13=$C23),AND($E23="weekly",13&lt;=$D23),AND($E23="biweekly",13&lt;=$D23,MOD(13-$C23,2)=0))),Flows!$C24,0))</f>
        <v/>
      </c>
      <c r="S23" s="13">
        <f>IF(OR($A23="",Flows!$C24=""),0,IF(AND(14&lt;=Setup!$B$5,14&gt;=$C23,OR(AND($E23="once",14=$C23),AND($E23="weekly",14&lt;=$D23),AND($E23="biweekly",14&lt;=$D23,MOD(14-$C23,2)=0))),Flows!$C24,0))</f>
        <v/>
      </c>
      <c r="T23" s="13">
        <f>IF(OR($A23="",Flows!$C24=""),0,IF(AND(15&lt;=Setup!$B$5,15&gt;=$C23,OR(AND($E23="once",15=$C23),AND($E23="weekly",15&lt;=$D23),AND($E23="biweekly",15&lt;=$D23,MOD(15-$C23,2)=0))),Flows!$C24,0))</f>
        <v/>
      </c>
      <c r="U23" s="13">
        <f>IF(OR($A23="",Flows!$C24=""),0,IF(AND(16&lt;=Setup!$B$5,16&gt;=$C23,OR(AND($E23="once",16=$C23),AND($E23="weekly",16&lt;=$D23),AND($E23="biweekly",16&lt;=$D23,MOD(16-$C23,2)=0))),Flows!$C24,0))</f>
        <v/>
      </c>
      <c r="V23" s="13">
        <f>IF(OR($A23="",Flows!$C24=""),0,IF(AND(17&lt;=Setup!$B$5,17&gt;=$C23,OR(AND($E23="once",17=$C23),AND($E23="weekly",17&lt;=$D23),AND($E23="biweekly",17&lt;=$D23,MOD(17-$C23,2)=0))),Flows!$C24,0))</f>
        <v/>
      </c>
      <c r="W23" s="13">
        <f>IF(OR($A23="",Flows!$C24=""),0,IF(AND(18&lt;=Setup!$B$5,18&gt;=$C23,OR(AND($E23="once",18=$C23),AND($E23="weekly",18&lt;=$D23),AND($E23="biweekly",18&lt;=$D23,MOD(18-$C23,2)=0))),Flows!$C24,0))</f>
        <v/>
      </c>
      <c r="X23" s="13">
        <f>IF(OR($A23="",Flows!$C24=""),0,IF(AND(19&lt;=Setup!$B$5,19&gt;=$C23,OR(AND($E23="once",19=$C23),AND($E23="weekly",19&lt;=$D23),AND($E23="biweekly",19&lt;=$D23,MOD(19-$C23,2)=0))),Flows!$C24,0))</f>
        <v/>
      </c>
      <c r="Y23" s="13">
        <f>IF(OR($A23="",Flows!$C24=""),0,IF(AND(20&lt;=Setup!$B$5,20&gt;=$C23,OR(AND($E23="once",20=$C23),AND($E23="weekly",20&lt;=$D23),AND($E23="biweekly",20&lt;=$D23,MOD(20-$C23,2)=0))),Flows!$C24,0))</f>
        <v/>
      </c>
      <c r="Z23" s="13">
        <f>IF(OR($A23="",Flows!$C24=""),0,IF(AND(21&lt;=Setup!$B$5,21&gt;=$C23,OR(AND($E23="once",21=$C23),AND($E23="weekly",21&lt;=$D23),AND($E23="biweekly",21&lt;=$D23,MOD(21-$C23,2)=0))),Flows!$C24,0))</f>
        <v/>
      </c>
      <c r="AA23" s="13">
        <f>IF(OR($A23="",Flows!$C24=""),0,IF(AND(22&lt;=Setup!$B$5,22&gt;=$C23,OR(AND($E23="once",22=$C23),AND($E23="weekly",22&lt;=$D23),AND($E23="biweekly",22&lt;=$D23,MOD(22-$C23,2)=0))),Flows!$C24,0))</f>
        <v/>
      </c>
      <c r="AB23" s="13">
        <f>IF(OR($A23="",Flows!$C24=""),0,IF(AND(23&lt;=Setup!$B$5,23&gt;=$C23,OR(AND($E23="once",23=$C23),AND($E23="weekly",23&lt;=$D23),AND($E23="biweekly",23&lt;=$D23,MOD(23-$C23,2)=0))),Flows!$C24,0))</f>
        <v/>
      </c>
      <c r="AC23" s="13">
        <f>IF(OR($A23="",Flows!$C24=""),0,IF(AND(24&lt;=Setup!$B$5,24&gt;=$C23,OR(AND($E23="once",24=$C23),AND($E23="weekly",24&lt;=$D23),AND($E23="biweekly",24&lt;=$D23,MOD(24-$C23,2)=0))),Flows!$C24,0))</f>
        <v/>
      </c>
      <c r="AD23" s="13">
        <f>IF(OR($A23="",Flows!$C24=""),0,IF(AND(25&lt;=Setup!$B$5,25&gt;=$C23,OR(AND($E23="once",25=$C23),AND($E23="weekly",25&lt;=$D23),AND($E23="biweekly",25&lt;=$D23,MOD(25-$C23,2)=0))),Flows!$C24,0))</f>
        <v/>
      </c>
      <c r="AE23" s="13">
        <f>IF(OR($A23="",Flows!$C24=""),0,IF(AND(26&lt;=Setup!$B$5,26&gt;=$C23,OR(AND($E23="once",26=$C23),AND($E23="weekly",26&lt;=$D23),AND($E23="biweekly",26&lt;=$D23,MOD(26-$C23,2)=0))),Flows!$C24,0))</f>
        <v/>
      </c>
      <c r="AF23" s="13">
        <f>IF(OR($A23="",Flows!$C24=""),0,IF(AND(27&lt;=Setup!$B$5,27&gt;=$C23,OR(AND($E23="once",27=$C23),AND($E23="weekly",27&lt;=$D23),AND($E23="biweekly",27&lt;=$D23,MOD(27-$C23,2)=0))),Flows!$C24,0))</f>
        <v/>
      </c>
      <c r="AG23" s="13">
        <f>IF(OR($A23="",Flows!$C24=""),0,IF(AND(28&lt;=Setup!$B$5,28&gt;=$C23,OR(AND($E23="once",28=$C23),AND($E23="weekly",28&lt;=$D23),AND($E23="biweekly",28&lt;=$D23,MOD(28-$C23,2)=0))),Flows!$C24,0))</f>
        <v/>
      </c>
      <c r="AH23" s="13">
        <f>IF(OR($A23="",Flows!$C24=""),0,IF(AND(29&lt;=Setup!$B$5,29&gt;=$C23,OR(AND($E23="once",29=$C23),AND($E23="weekly",29&lt;=$D23),AND($E23="biweekly",29&lt;=$D23,MOD(29-$C23,2)=0))),Flows!$C24,0))</f>
        <v/>
      </c>
      <c r="AI23" s="13">
        <f>IF(OR($A23="",Flows!$C24=""),0,IF(AND(30&lt;=Setup!$B$5,30&gt;=$C23,OR(AND($E23="once",30=$C23),AND($E23="weekly",30&lt;=$D23),AND($E23="biweekly",30&lt;=$D23,MOD(30-$C23,2)=0))),Flows!$C24,0))</f>
        <v/>
      </c>
      <c r="AJ23" s="13">
        <f>IF(OR($A23="",Flows!$C24=""),0,IF(AND(31&lt;=Setup!$B$5,31&gt;=$C23,OR(AND($E23="once",31=$C23),AND($E23="weekly",31&lt;=$D23),AND($E23="biweekly",31&lt;=$D23,MOD(31-$C23,2)=0))),Flows!$C24,0))</f>
        <v/>
      </c>
      <c r="AK23" s="13">
        <f>IF(OR($A23="",Flows!$C24=""),0,IF(AND(32&lt;=Setup!$B$5,32&gt;=$C23,OR(AND($E23="once",32=$C23),AND($E23="weekly",32&lt;=$D23),AND($E23="biweekly",32&lt;=$D23,MOD(32-$C23,2)=0))),Flows!$C24,0))</f>
        <v/>
      </c>
      <c r="AL23" s="13">
        <f>IF(OR($A23="",Flows!$C24=""),0,IF(AND(33&lt;=Setup!$B$5,33&gt;=$C23,OR(AND($E23="once",33=$C23),AND($E23="weekly",33&lt;=$D23),AND($E23="biweekly",33&lt;=$D23,MOD(33-$C23,2)=0))),Flows!$C24,0))</f>
        <v/>
      </c>
      <c r="AM23" s="13">
        <f>IF(OR($A23="",Flows!$C24=""),0,IF(AND(34&lt;=Setup!$B$5,34&gt;=$C23,OR(AND($E23="once",34=$C23),AND($E23="weekly",34&lt;=$D23),AND($E23="biweekly",34&lt;=$D23,MOD(34-$C23,2)=0))),Flows!$C24,0))</f>
        <v/>
      </c>
      <c r="AN23" s="13">
        <f>IF(OR($A23="",Flows!$C24=""),0,IF(AND(35&lt;=Setup!$B$5,35&gt;=$C23,OR(AND($E23="once",35=$C23),AND($E23="weekly",35&lt;=$D23),AND($E23="biweekly",35&lt;=$D23,MOD(35-$C23,2)=0))),Flows!$C24,0))</f>
        <v/>
      </c>
      <c r="AO23" s="13">
        <f>IF(OR($A23="",Flows!$C24=""),0,IF(AND(36&lt;=Setup!$B$5,36&gt;=$C23,OR(AND($E23="once",36=$C23),AND($E23="weekly",36&lt;=$D23),AND($E23="biweekly",36&lt;=$D23,MOD(36-$C23,2)=0))),Flows!$C24,0))</f>
        <v/>
      </c>
      <c r="AP23" s="13">
        <f>IF(OR($A23="",Flows!$C24=""),0,IF(AND(37&lt;=Setup!$B$5,37&gt;=$C23,OR(AND($E23="once",37=$C23),AND($E23="weekly",37&lt;=$D23),AND($E23="biweekly",37&lt;=$D23,MOD(37-$C23,2)=0))),Flows!$C24,0))</f>
        <v/>
      </c>
      <c r="AQ23" s="13">
        <f>IF(OR($A23="",Flows!$C24=""),0,IF(AND(38&lt;=Setup!$B$5,38&gt;=$C23,OR(AND($E23="once",38=$C23),AND($E23="weekly",38&lt;=$D23),AND($E23="biweekly",38&lt;=$D23,MOD(38-$C23,2)=0))),Flows!$C24,0))</f>
        <v/>
      </c>
      <c r="AR23" s="13">
        <f>IF(OR($A23="",Flows!$C24=""),0,IF(AND(39&lt;=Setup!$B$5,39&gt;=$C23,OR(AND($E23="once",39=$C23),AND($E23="weekly",39&lt;=$D23),AND($E23="biweekly",39&lt;=$D23,MOD(39-$C23,2)=0))),Flows!$C24,0))</f>
        <v/>
      </c>
      <c r="AS23" s="13">
        <f>IF(OR($A23="",Flows!$C24=""),0,IF(AND(40&lt;=Setup!$B$5,40&gt;=$C23,OR(AND($E23="once",40=$C23),AND($E23="weekly",40&lt;=$D23),AND($E23="biweekly",40&lt;=$D23,MOD(40-$C23,2)=0))),Flows!$C24,0))</f>
        <v/>
      </c>
      <c r="AT23" s="13">
        <f>IF(OR($A23="",Flows!$C24=""),0,IF(AND(41&lt;=Setup!$B$5,41&gt;=$C23,OR(AND($E23="once",41=$C23),AND($E23="weekly",41&lt;=$D23),AND($E23="biweekly",41&lt;=$D23,MOD(41-$C23,2)=0))),Flows!$C24,0))</f>
        <v/>
      </c>
      <c r="AU23" s="13">
        <f>IF(OR($A23="",Flows!$C24=""),0,IF(AND(42&lt;=Setup!$B$5,42&gt;=$C23,OR(AND($E23="once",42=$C23),AND($E23="weekly",42&lt;=$D23),AND($E23="biweekly",42&lt;=$D23,MOD(42-$C23,2)=0))),Flows!$C24,0))</f>
        <v/>
      </c>
      <c r="AV23" s="13">
        <f>IF(OR($A23="",Flows!$C24=""),0,IF(AND(43&lt;=Setup!$B$5,43&gt;=$C23,OR(AND($E23="once",43=$C23),AND($E23="weekly",43&lt;=$D23),AND($E23="biweekly",43&lt;=$D23,MOD(43-$C23,2)=0))),Flows!$C24,0))</f>
        <v/>
      </c>
      <c r="AW23" s="13">
        <f>IF(OR($A23="",Flows!$C24=""),0,IF(AND(44&lt;=Setup!$B$5,44&gt;=$C23,OR(AND($E23="once",44=$C23),AND($E23="weekly",44&lt;=$D23),AND($E23="biweekly",44&lt;=$D23,MOD(44-$C23,2)=0))),Flows!$C24,0))</f>
        <v/>
      </c>
      <c r="AX23" s="13">
        <f>IF(OR($A23="",Flows!$C24=""),0,IF(AND(45&lt;=Setup!$B$5,45&gt;=$C23,OR(AND($E23="once",45=$C23),AND($E23="weekly",45&lt;=$D23),AND($E23="biweekly",45&lt;=$D23,MOD(45-$C23,2)=0))),Flows!$C24,0))</f>
        <v/>
      </c>
      <c r="AY23" s="13">
        <f>IF(OR($A23="",Flows!$C24=""),0,IF(AND(46&lt;=Setup!$B$5,46&gt;=$C23,OR(AND($E23="once",46=$C23),AND($E23="weekly",46&lt;=$D23),AND($E23="biweekly",46&lt;=$D23,MOD(46-$C23,2)=0))),Flows!$C24,0))</f>
        <v/>
      </c>
      <c r="AZ23" s="13">
        <f>IF(OR($A23="",Flows!$C24=""),0,IF(AND(47&lt;=Setup!$B$5,47&gt;=$C23,OR(AND($E23="once",47=$C23),AND($E23="weekly",47&lt;=$D23),AND($E23="biweekly",47&lt;=$D23,MOD(47-$C23,2)=0))),Flows!$C24,0))</f>
        <v/>
      </c>
      <c r="BA23" s="13">
        <f>IF(OR($A23="",Flows!$C24=""),0,IF(AND(48&lt;=Setup!$B$5,48&gt;=$C23,OR(AND($E23="once",48=$C23),AND($E23="weekly",48&lt;=$D23),AND($E23="biweekly",48&lt;=$D23,MOD(48-$C23,2)=0))),Flows!$C24,0))</f>
        <v/>
      </c>
      <c r="BB23" s="13">
        <f>IF(OR($A23="",Flows!$C24=""),0,IF(AND(49&lt;=Setup!$B$5,49&gt;=$C23,OR(AND($E23="once",49=$C23),AND($E23="weekly",49&lt;=$D23),AND($E23="biweekly",49&lt;=$D23,MOD(49-$C23,2)=0))),Flows!$C24,0))</f>
        <v/>
      </c>
      <c r="BC23" s="13">
        <f>IF(OR($A23="",Flows!$C24=""),0,IF(AND(50&lt;=Setup!$B$5,50&gt;=$C23,OR(AND($E23="once",50=$C23),AND($E23="weekly",50&lt;=$D23),AND($E23="biweekly",50&lt;=$D23,MOD(50-$C23,2)=0))),Flows!$C24,0))</f>
        <v/>
      </c>
      <c r="BD23" s="13">
        <f>IF(OR($A23="",Flows!$C24=""),0,IF(AND(51&lt;=Setup!$B$5,51&gt;=$C23,OR(AND($E23="once",51=$C23),AND($E23="weekly",51&lt;=$D23),AND($E23="biweekly",51&lt;=$D23,MOD(51-$C23,2)=0))),Flows!$C24,0))</f>
        <v/>
      </c>
      <c r="BE23" s="13">
        <f>IF(OR($A23="",Flows!$C24=""),0,IF(AND(52&lt;=Setup!$B$5,52&gt;=$C23,OR(AND($E23="once",52=$C23),AND($E23="weekly",52&lt;=$D23),AND($E23="biweekly",52&lt;=$D23,MOD(52-$C23,2)=0))),Flows!$C24,0))</f>
        <v/>
      </c>
    </row>
    <row r="24">
      <c r="A24" s="7">
        <f>IF(Flows!A25="","",LOWER(Flows!A25))</f>
        <v/>
      </c>
      <c r="B24" s="7">
        <f>IF(Flows!B25="","",Flows!B25)</f>
        <v/>
      </c>
      <c r="C24" s="7">
        <f>N(Flows!D25)</f>
        <v/>
      </c>
      <c r="D24" s="7">
        <f>IF(Flows!F25="",Setup!$B$5,Flows!F25)</f>
        <v/>
      </c>
      <c r="E24" s="7">
        <f>IF(Flows!E25="","once",LOWER(Flows!E25))</f>
        <v/>
      </c>
      <c r="F24" s="13">
        <f>IF(OR($A24="",Flows!$C25=""),0,IF(AND(1&lt;=Setup!$B$5,1&gt;=$C24,OR(AND($E24="once",1=$C24),AND($E24="weekly",1&lt;=$D24),AND($E24="biweekly",1&lt;=$D24,MOD(1-$C24,2)=0))),Flows!$C25,0))</f>
        <v/>
      </c>
      <c r="G24" s="13">
        <f>IF(OR($A24="",Flows!$C25=""),0,IF(AND(2&lt;=Setup!$B$5,2&gt;=$C24,OR(AND($E24="once",2=$C24),AND($E24="weekly",2&lt;=$D24),AND($E24="biweekly",2&lt;=$D24,MOD(2-$C24,2)=0))),Flows!$C25,0))</f>
        <v/>
      </c>
      <c r="H24" s="13">
        <f>IF(OR($A24="",Flows!$C25=""),0,IF(AND(3&lt;=Setup!$B$5,3&gt;=$C24,OR(AND($E24="once",3=$C24),AND($E24="weekly",3&lt;=$D24),AND($E24="biweekly",3&lt;=$D24,MOD(3-$C24,2)=0))),Flows!$C25,0))</f>
        <v/>
      </c>
      <c r="I24" s="13">
        <f>IF(OR($A24="",Flows!$C25=""),0,IF(AND(4&lt;=Setup!$B$5,4&gt;=$C24,OR(AND($E24="once",4=$C24),AND($E24="weekly",4&lt;=$D24),AND($E24="biweekly",4&lt;=$D24,MOD(4-$C24,2)=0))),Flows!$C25,0))</f>
        <v/>
      </c>
      <c r="J24" s="13">
        <f>IF(OR($A24="",Flows!$C25=""),0,IF(AND(5&lt;=Setup!$B$5,5&gt;=$C24,OR(AND($E24="once",5=$C24),AND($E24="weekly",5&lt;=$D24),AND($E24="biweekly",5&lt;=$D24,MOD(5-$C24,2)=0))),Flows!$C25,0))</f>
        <v/>
      </c>
      <c r="K24" s="13">
        <f>IF(OR($A24="",Flows!$C25=""),0,IF(AND(6&lt;=Setup!$B$5,6&gt;=$C24,OR(AND($E24="once",6=$C24),AND($E24="weekly",6&lt;=$D24),AND($E24="biweekly",6&lt;=$D24,MOD(6-$C24,2)=0))),Flows!$C25,0))</f>
        <v/>
      </c>
      <c r="L24" s="13">
        <f>IF(OR($A24="",Flows!$C25=""),0,IF(AND(7&lt;=Setup!$B$5,7&gt;=$C24,OR(AND($E24="once",7=$C24),AND($E24="weekly",7&lt;=$D24),AND($E24="biweekly",7&lt;=$D24,MOD(7-$C24,2)=0))),Flows!$C25,0))</f>
        <v/>
      </c>
      <c r="M24" s="13">
        <f>IF(OR($A24="",Flows!$C25=""),0,IF(AND(8&lt;=Setup!$B$5,8&gt;=$C24,OR(AND($E24="once",8=$C24),AND($E24="weekly",8&lt;=$D24),AND($E24="biweekly",8&lt;=$D24,MOD(8-$C24,2)=0))),Flows!$C25,0))</f>
        <v/>
      </c>
      <c r="N24" s="13">
        <f>IF(OR($A24="",Flows!$C25=""),0,IF(AND(9&lt;=Setup!$B$5,9&gt;=$C24,OR(AND($E24="once",9=$C24),AND($E24="weekly",9&lt;=$D24),AND($E24="biweekly",9&lt;=$D24,MOD(9-$C24,2)=0))),Flows!$C25,0))</f>
        <v/>
      </c>
      <c r="O24" s="13">
        <f>IF(OR($A24="",Flows!$C25=""),0,IF(AND(10&lt;=Setup!$B$5,10&gt;=$C24,OR(AND($E24="once",10=$C24),AND($E24="weekly",10&lt;=$D24),AND($E24="biweekly",10&lt;=$D24,MOD(10-$C24,2)=0))),Flows!$C25,0))</f>
        <v/>
      </c>
      <c r="P24" s="13">
        <f>IF(OR($A24="",Flows!$C25=""),0,IF(AND(11&lt;=Setup!$B$5,11&gt;=$C24,OR(AND($E24="once",11=$C24),AND($E24="weekly",11&lt;=$D24),AND($E24="biweekly",11&lt;=$D24,MOD(11-$C24,2)=0))),Flows!$C25,0))</f>
        <v/>
      </c>
      <c r="Q24" s="13">
        <f>IF(OR($A24="",Flows!$C25=""),0,IF(AND(12&lt;=Setup!$B$5,12&gt;=$C24,OR(AND($E24="once",12=$C24),AND($E24="weekly",12&lt;=$D24),AND($E24="biweekly",12&lt;=$D24,MOD(12-$C24,2)=0))),Flows!$C25,0))</f>
        <v/>
      </c>
      <c r="R24" s="13">
        <f>IF(OR($A24="",Flows!$C25=""),0,IF(AND(13&lt;=Setup!$B$5,13&gt;=$C24,OR(AND($E24="once",13=$C24),AND($E24="weekly",13&lt;=$D24),AND($E24="biweekly",13&lt;=$D24,MOD(13-$C24,2)=0))),Flows!$C25,0))</f>
        <v/>
      </c>
      <c r="S24" s="13">
        <f>IF(OR($A24="",Flows!$C25=""),0,IF(AND(14&lt;=Setup!$B$5,14&gt;=$C24,OR(AND($E24="once",14=$C24),AND($E24="weekly",14&lt;=$D24),AND($E24="biweekly",14&lt;=$D24,MOD(14-$C24,2)=0))),Flows!$C25,0))</f>
        <v/>
      </c>
      <c r="T24" s="13">
        <f>IF(OR($A24="",Flows!$C25=""),0,IF(AND(15&lt;=Setup!$B$5,15&gt;=$C24,OR(AND($E24="once",15=$C24),AND($E24="weekly",15&lt;=$D24),AND($E24="biweekly",15&lt;=$D24,MOD(15-$C24,2)=0))),Flows!$C25,0))</f>
        <v/>
      </c>
      <c r="U24" s="13">
        <f>IF(OR($A24="",Flows!$C25=""),0,IF(AND(16&lt;=Setup!$B$5,16&gt;=$C24,OR(AND($E24="once",16=$C24),AND($E24="weekly",16&lt;=$D24),AND($E24="biweekly",16&lt;=$D24,MOD(16-$C24,2)=0))),Flows!$C25,0))</f>
        <v/>
      </c>
      <c r="V24" s="13">
        <f>IF(OR($A24="",Flows!$C25=""),0,IF(AND(17&lt;=Setup!$B$5,17&gt;=$C24,OR(AND($E24="once",17=$C24),AND($E24="weekly",17&lt;=$D24),AND($E24="biweekly",17&lt;=$D24,MOD(17-$C24,2)=0))),Flows!$C25,0))</f>
        <v/>
      </c>
      <c r="W24" s="13">
        <f>IF(OR($A24="",Flows!$C25=""),0,IF(AND(18&lt;=Setup!$B$5,18&gt;=$C24,OR(AND($E24="once",18=$C24),AND($E24="weekly",18&lt;=$D24),AND($E24="biweekly",18&lt;=$D24,MOD(18-$C24,2)=0))),Flows!$C25,0))</f>
        <v/>
      </c>
      <c r="X24" s="13">
        <f>IF(OR($A24="",Flows!$C25=""),0,IF(AND(19&lt;=Setup!$B$5,19&gt;=$C24,OR(AND($E24="once",19=$C24),AND($E24="weekly",19&lt;=$D24),AND($E24="biweekly",19&lt;=$D24,MOD(19-$C24,2)=0))),Flows!$C25,0))</f>
        <v/>
      </c>
      <c r="Y24" s="13">
        <f>IF(OR($A24="",Flows!$C25=""),0,IF(AND(20&lt;=Setup!$B$5,20&gt;=$C24,OR(AND($E24="once",20=$C24),AND($E24="weekly",20&lt;=$D24),AND($E24="biweekly",20&lt;=$D24,MOD(20-$C24,2)=0))),Flows!$C25,0))</f>
        <v/>
      </c>
      <c r="Z24" s="13">
        <f>IF(OR($A24="",Flows!$C25=""),0,IF(AND(21&lt;=Setup!$B$5,21&gt;=$C24,OR(AND($E24="once",21=$C24),AND($E24="weekly",21&lt;=$D24),AND($E24="biweekly",21&lt;=$D24,MOD(21-$C24,2)=0))),Flows!$C25,0))</f>
        <v/>
      </c>
      <c r="AA24" s="13">
        <f>IF(OR($A24="",Flows!$C25=""),0,IF(AND(22&lt;=Setup!$B$5,22&gt;=$C24,OR(AND($E24="once",22=$C24),AND($E24="weekly",22&lt;=$D24),AND($E24="biweekly",22&lt;=$D24,MOD(22-$C24,2)=0))),Flows!$C25,0))</f>
        <v/>
      </c>
      <c r="AB24" s="13">
        <f>IF(OR($A24="",Flows!$C25=""),0,IF(AND(23&lt;=Setup!$B$5,23&gt;=$C24,OR(AND($E24="once",23=$C24),AND($E24="weekly",23&lt;=$D24),AND($E24="biweekly",23&lt;=$D24,MOD(23-$C24,2)=0))),Flows!$C25,0))</f>
        <v/>
      </c>
      <c r="AC24" s="13">
        <f>IF(OR($A24="",Flows!$C25=""),0,IF(AND(24&lt;=Setup!$B$5,24&gt;=$C24,OR(AND($E24="once",24=$C24),AND($E24="weekly",24&lt;=$D24),AND($E24="biweekly",24&lt;=$D24,MOD(24-$C24,2)=0))),Flows!$C25,0))</f>
        <v/>
      </c>
      <c r="AD24" s="13">
        <f>IF(OR($A24="",Flows!$C25=""),0,IF(AND(25&lt;=Setup!$B$5,25&gt;=$C24,OR(AND($E24="once",25=$C24),AND($E24="weekly",25&lt;=$D24),AND($E24="biweekly",25&lt;=$D24,MOD(25-$C24,2)=0))),Flows!$C25,0))</f>
        <v/>
      </c>
      <c r="AE24" s="13">
        <f>IF(OR($A24="",Flows!$C25=""),0,IF(AND(26&lt;=Setup!$B$5,26&gt;=$C24,OR(AND($E24="once",26=$C24),AND($E24="weekly",26&lt;=$D24),AND($E24="biweekly",26&lt;=$D24,MOD(26-$C24,2)=0))),Flows!$C25,0))</f>
        <v/>
      </c>
      <c r="AF24" s="13">
        <f>IF(OR($A24="",Flows!$C25=""),0,IF(AND(27&lt;=Setup!$B$5,27&gt;=$C24,OR(AND($E24="once",27=$C24),AND($E24="weekly",27&lt;=$D24),AND($E24="biweekly",27&lt;=$D24,MOD(27-$C24,2)=0))),Flows!$C25,0))</f>
        <v/>
      </c>
      <c r="AG24" s="13">
        <f>IF(OR($A24="",Flows!$C25=""),0,IF(AND(28&lt;=Setup!$B$5,28&gt;=$C24,OR(AND($E24="once",28=$C24),AND($E24="weekly",28&lt;=$D24),AND($E24="biweekly",28&lt;=$D24,MOD(28-$C24,2)=0))),Flows!$C25,0))</f>
        <v/>
      </c>
      <c r="AH24" s="13">
        <f>IF(OR($A24="",Flows!$C25=""),0,IF(AND(29&lt;=Setup!$B$5,29&gt;=$C24,OR(AND($E24="once",29=$C24),AND($E24="weekly",29&lt;=$D24),AND($E24="biweekly",29&lt;=$D24,MOD(29-$C24,2)=0))),Flows!$C25,0))</f>
        <v/>
      </c>
      <c r="AI24" s="13">
        <f>IF(OR($A24="",Flows!$C25=""),0,IF(AND(30&lt;=Setup!$B$5,30&gt;=$C24,OR(AND($E24="once",30=$C24),AND($E24="weekly",30&lt;=$D24),AND($E24="biweekly",30&lt;=$D24,MOD(30-$C24,2)=0))),Flows!$C25,0))</f>
        <v/>
      </c>
      <c r="AJ24" s="13">
        <f>IF(OR($A24="",Flows!$C25=""),0,IF(AND(31&lt;=Setup!$B$5,31&gt;=$C24,OR(AND($E24="once",31=$C24),AND($E24="weekly",31&lt;=$D24),AND($E24="biweekly",31&lt;=$D24,MOD(31-$C24,2)=0))),Flows!$C25,0))</f>
        <v/>
      </c>
      <c r="AK24" s="13">
        <f>IF(OR($A24="",Flows!$C25=""),0,IF(AND(32&lt;=Setup!$B$5,32&gt;=$C24,OR(AND($E24="once",32=$C24),AND($E24="weekly",32&lt;=$D24),AND($E24="biweekly",32&lt;=$D24,MOD(32-$C24,2)=0))),Flows!$C25,0))</f>
        <v/>
      </c>
      <c r="AL24" s="13">
        <f>IF(OR($A24="",Flows!$C25=""),0,IF(AND(33&lt;=Setup!$B$5,33&gt;=$C24,OR(AND($E24="once",33=$C24),AND($E24="weekly",33&lt;=$D24),AND($E24="biweekly",33&lt;=$D24,MOD(33-$C24,2)=0))),Flows!$C25,0))</f>
        <v/>
      </c>
      <c r="AM24" s="13">
        <f>IF(OR($A24="",Flows!$C25=""),0,IF(AND(34&lt;=Setup!$B$5,34&gt;=$C24,OR(AND($E24="once",34=$C24),AND($E24="weekly",34&lt;=$D24),AND($E24="biweekly",34&lt;=$D24,MOD(34-$C24,2)=0))),Flows!$C25,0))</f>
        <v/>
      </c>
      <c r="AN24" s="13">
        <f>IF(OR($A24="",Flows!$C25=""),0,IF(AND(35&lt;=Setup!$B$5,35&gt;=$C24,OR(AND($E24="once",35=$C24),AND($E24="weekly",35&lt;=$D24),AND($E24="biweekly",35&lt;=$D24,MOD(35-$C24,2)=0))),Flows!$C25,0))</f>
        <v/>
      </c>
      <c r="AO24" s="13">
        <f>IF(OR($A24="",Flows!$C25=""),0,IF(AND(36&lt;=Setup!$B$5,36&gt;=$C24,OR(AND($E24="once",36=$C24),AND($E24="weekly",36&lt;=$D24),AND($E24="biweekly",36&lt;=$D24,MOD(36-$C24,2)=0))),Flows!$C25,0))</f>
        <v/>
      </c>
      <c r="AP24" s="13">
        <f>IF(OR($A24="",Flows!$C25=""),0,IF(AND(37&lt;=Setup!$B$5,37&gt;=$C24,OR(AND($E24="once",37=$C24),AND($E24="weekly",37&lt;=$D24),AND($E24="biweekly",37&lt;=$D24,MOD(37-$C24,2)=0))),Flows!$C25,0))</f>
        <v/>
      </c>
      <c r="AQ24" s="13">
        <f>IF(OR($A24="",Flows!$C25=""),0,IF(AND(38&lt;=Setup!$B$5,38&gt;=$C24,OR(AND($E24="once",38=$C24),AND($E24="weekly",38&lt;=$D24),AND($E24="biweekly",38&lt;=$D24,MOD(38-$C24,2)=0))),Flows!$C25,0))</f>
        <v/>
      </c>
      <c r="AR24" s="13">
        <f>IF(OR($A24="",Flows!$C25=""),0,IF(AND(39&lt;=Setup!$B$5,39&gt;=$C24,OR(AND($E24="once",39=$C24),AND($E24="weekly",39&lt;=$D24),AND($E24="biweekly",39&lt;=$D24,MOD(39-$C24,2)=0))),Flows!$C25,0))</f>
        <v/>
      </c>
      <c r="AS24" s="13">
        <f>IF(OR($A24="",Flows!$C25=""),0,IF(AND(40&lt;=Setup!$B$5,40&gt;=$C24,OR(AND($E24="once",40=$C24),AND($E24="weekly",40&lt;=$D24),AND($E24="biweekly",40&lt;=$D24,MOD(40-$C24,2)=0))),Flows!$C25,0))</f>
        <v/>
      </c>
      <c r="AT24" s="13">
        <f>IF(OR($A24="",Flows!$C25=""),0,IF(AND(41&lt;=Setup!$B$5,41&gt;=$C24,OR(AND($E24="once",41=$C24),AND($E24="weekly",41&lt;=$D24),AND($E24="biweekly",41&lt;=$D24,MOD(41-$C24,2)=0))),Flows!$C25,0))</f>
        <v/>
      </c>
      <c r="AU24" s="13">
        <f>IF(OR($A24="",Flows!$C25=""),0,IF(AND(42&lt;=Setup!$B$5,42&gt;=$C24,OR(AND($E24="once",42=$C24),AND($E24="weekly",42&lt;=$D24),AND($E24="biweekly",42&lt;=$D24,MOD(42-$C24,2)=0))),Flows!$C25,0))</f>
        <v/>
      </c>
      <c r="AV24" s="13">
        <f>IF(OR($A24="",Flows!$C25=""),0,IF(AND(43&lt;=Setup!$B$5,43&gt;=$C24,OR(AND($E24="once",43=$C24),AND($E24="weekly",43&lt;=$D24),AND($E24="biweekly",43&lt;=$D24,MOD(43-$C24,2)=0))),Flows!$C25,0))</f>
        <v/>
      </c>
      <c r="AW24" s="13">
        <f>IF(OR($A24="",Flows!$C25=""),0,IF(AND(44&lt;=Setup!$B$5,44&gt;=$C24,OR(AND($E24="once",44=$C24),AND($E24="weekly",44&lt;=$D24),AND($E24="biweekly",44&lt;=$D24,MOD(44-$C24,2)=0))),Flows!$C25,0))</f>
        <v/>
      </c>
      <c r="AX24" s="13">
        <f>IF(OR($A24="",Flows!$C25=""),0,IF(AND(45&lt;=Setup!$B$5,45&gt;=$C24,OR(AND($E24="once",45=$C24),AND($E24="weekly",45&lt;=$D24),AND($E24="biweekly",45&lt;=$D24,MOD(45-$C24,2)=0))),Flows!$C25,0))</f>
        <v/>
      </c>
      <c r="AY24" s="13">
        <f>IF(OR($A24="",Flows!$C25=""),0,IF(AND(46&lt;=Setup!$B$5,46&gt;=$C24,OR(AND($E24="once",46=$C24),AND($E24="weekly",46&lt;=$D24),AND($E24="biweekly",46&lt;=$D24,MOD(46-$C24,2)=0))),Flows!$C25,0))</f>
        <v/>
      </c>
      <c r="AZ24" s="13">
        <f>IF(OR($A24="",Flows!$C25=""),0,IF(AND(47&lt;=Setup!$B$5,47&gt;=$C24,OR(AND($E24="once",47=$C24),AND($E24="weekly",47&lt;=$D24),AND($E24="biweekly",47&lt;=$D24,MOD(47-$C24,2)=0))),Flows!$C25,0))</f>
        <v/>
      </c>
      <c r="BA24" s="13">
        <f>IF(OR($A24="",Flows!$C25=""),0,IF(AND(48&lt;=Setup!$B$5,48&gt;=$C24,OR(AND($E24="once",48=$C24),AND($E24="weekly",48&lt;=$D24),AND($E24="biweekly",48&lt;=$D24,MOD(48-$C24,2)=0))),Flows!$C25,0))</f>
        <v/>
      </c>
      <c r="BB24" s="13">
        <f>IF(OR($A24="",Flows!$C25=""),0,IF(AND(49&lt;=Setup!$B$5,49&gt;=$C24,OR(AND($E24="once",49=$C24),AND($E24="weekly",49&lt;=$D24),AND($E24="biweekly",49&lt;=$D24,MOD(49-$C24,2)=0))),Flows!$C25,0))</f>
        <v/>
      </c>
      <c r="BC24" s="13">
        <f>IF(OR($A24="",Flows!$C25=""),0,IF(AND(50&lt;=Setup!$B$5,50&gt;=$C24,OR(AND($E24="once",50=$C24),AND($E24="weekly",50&lt;=$D24),AND($E24="biweekly",50&lt;=$D24,MOD(50-$C24,2)=0))),Flows!$C25,0))</f>
        <v/>
      </c>
      <c r="BD24" s="13">
        <f>IF(OR($A24="",Flows!$C25=""),0,IF(AND(51&lt;=Setup!$B$5,51&gt;=$C24,OR(AND($E24="once",51=$C24),AND($E24="weekly",51&lt;=$D24),AND($E24="biweekly",51&lt;=$D24,MOD(51-$C24,2)=0))),Flows!$C25,0))</f>
        <v/>
      </c>
      <c r="BE24" s="13">
        <f>IF(OR($A24="",Flows!$C25=""),0,IF(AND(52&lt;=Setup!$B$5,52&gt;=$C24,OR(AND($E24="once",52=$C24),AND($E24="weekly",52&lt;=$D24),AND($E24="biweekly",52&lt;=$D24,MOD(52-$C24,2)=0))),Flows!$C25,0))</f>
        <v/>
      </c>
    </row>
    <row r="25">
      <c r="A25" s="7">
        <f>IF(Flows!A26="","",LOWER(Flows!A26))</f>
        <v/>
      </c>
      <c r="B25" s="7">
        <f>IF(Flows!B26="","",Flows!B26)</f>
        <v/>
      </c>
      <c r="C25" s="7">
        <f>N(Flows!D26)</f>
        <v/>
      </c>
      <c r="D25" s="7">
        <f>IF(Flows!F26="",Setup!$B$5,Flows!F26)</f>
        <v/>
      </c>
      <c r="E25" s="7">
        <f>IF(Flows!E26="","once",LOWER(Flows!E26))</f>
        <v/>
      </c>
      <c r="F25" s="13">
        <f>IF(OR($A25="",Flows!$C26=""),0,IF(AND(1&lt;=Setup!$B$5,1&gt;=$C25,OR(AND($E25="once",1=$C25),AND($E25="weekly",1&lt;=$D25),AND($E25="biweekly",1&lt;=$D25,MOD(1-$C25,2)=0))),Flows!$C26,0))</f>
        <v/>
      </c>
      <c r="G25" s="13">
        <f>IF(OR($A25="",Flows!$C26=""),0,IF(AND(2&lt;=Setup!$B$5,2&gt;=$C25,OR(AND($E25="once",2=$C25),AND($E25="weekly",2&lt;=$D25),AND($E25="biweekly",2&lt;=$D25,MOD(2-$C25,2)=0))),Flows!$C26,0))</f>
        <v/>
      </c>
      <c r="H25" s="13">
        <f>IF(OR($A25="",Flows!$C26=""),0,IF(AND(3&lt;=Setup!$B$5,3&gt;=$C25,OR(AND($E25="once",3=$C25),AND($E25="weekly",3&lt;=$D25),AND($E25="biweekly",3&lt;=$D25,MOD(3-$C25,2)=0))),Flows!$C26,0))</f>
        <v/>
      </c>
      <c r="I25" s="13">
        <f>IF(OR($A25="",Flows!$C26=""),0,IF(AND(4&lt;=Setup!$B$5,4&gt;=$C25,OR(AND($E25="once",4=$C25),AND($E25="weekly",4&lt;=$D25),AND($E25="biweekly",4&lt;=$D25,MOD(4-$C25,2)=0))),Flows!$C26,0))</f>
        <v/>
      </c>
      <c r="J25" s="13">
        <f>IF(OR($A25="",Flows!$C26=""),0,IF(AND(5&lt;=Setup!$B$5,5&gt;=$C25,OR(AND($E25="once",5=$C25),AND($E25="weekly",5&lt;=$D25),AND($E25="biweekly",5&lt;=$D25,MOD(5-$C25,2)=0))),Flows!$C26,0))</f>
        <v/>
      </c>
      <c r="K25" s="13">
        <f>IF(OR($A25="",Flows!$C26=""),0,IF(AND(6&lt;=Setup!$B$5,6&gt;=$C25,OR(AND($E25="once",6=$C25),AND($E25="weekly",6&lt;=$D25),AND($E25="biweekly",6&lt;=$D25,MOD(6-$C25,2)=0))),Flows!$C26,0))</f>
        <v/>
      </c>
      <c r="L25" s="13">
        <f>IF(OR($A25="",Flows!$C26=""),0,IF(AND(7&lt;=Setup!$B$5,7&gt;=$C25,OR(AND($E25="once",7=$C25),AND($E25="weekly",7&lt;=$D25),AND($E25="biweekly",7&lt;=$D25,MOD(7-$C25,2)=0))),Flows!$C26,0))</f>
        <v/>
      </c>
      <c r="M25" s="13">
        <f>IF(OR($A25="",Flows!$C26=""),0,IF(AND(8&lt;=Setup!$B$5,8&gt;=$C25,OR(AND($E25="once",8=$C25),AND($E25="weekly",8&lt;=$D25),AND($E25="biweekly",8&lt;=$D25,MOD(8-$C25,2)=0))),Flows!$C26,0))</f>
        <v/>
      </c>
      <c r="N25" s="13">
        <f>IF(OR($A25="",Flows!$C26=""),0,IF(AND(9&lt;=Setup!$B$5,9&gt;=$C25,OR(AND($E25="once",9=$C25),AND($E25="weekly",9&lt;=$D25),AND($E25="biweekly",9&lt;=$D25,MOD(9-$C25,2)=0))),Flows!$C26,0))</f>
        <v/>
      </c>
      <c r="O25" s="13">
        <f>IF(OR($A25="",Flows!$C26=""),0,IF(AND(10&lt;=Setup!$B$5,10&gt;=$C25,OR(AND($E25="once",10=$C25),AND($E25="weekly",10&lt;=$D25),AND($E25="biweekly",10&lt;=$D25,MOD(10-$C25,2)=0))),Flows!$C26,0))</f>
        <v/>
      </c>
      <c r="P25" s="13">
        <f>IF(OR($A25="",Flows!$C26=""),0,IF(AND(11&lt;=Setup!$B$5,11&gt;=$C25,OR(AND($E25="once",11=$C25),AND($E25="weekly",11&lt;=$D25),AND($E25="biweekly",11&lt;=$D25,MOD(11-$C25,2)=0))),Flows!$C26,0))</f>
        <v/>
      </c>
      <c r="Q25" s="13">
        <f>IF(OR($A25="",Flows!$C26=""),0,IF(AND(12&lt;=Setup!$B$5,12&gt;=$C25,OR(AND($E25="once",12=$C25),AND($E25="weekly",12&lt;=$D25),AND($E25="biweekly",12&lt;=$D25,MOD(12-$C25,2)=0))),Flows!$C26,0))</f>
        <v/>
      </c>
      <c r="R25" s="13">
        <f>IF(OR($A25="",Flows!$C26=""),0,IF(AND(13&lt;=Setup!$B$5,13&gt;=$C25,OR(AND($E25="once",13=$C25),AND($E25="weekly",13&lt;=$D25),AND($E25="biweekly",13&lt;=$D25,MOD(13-$C25,2)=0))),Flows!$C26,0))</f>
        <v/>
      </c>
      <c r="S25" s="13">
        <f>IF(OR($A25="",Flows!$C26=""),0,IF(AND(14&lt;=Setup!$B$5,14&gt;=$C25,OR(AND($E25="once",14=$C25),AND($E25="weekly",14&lt;=$D25),AND($E25="biweekly",14&lt;=$D25,MOD(14-$C25,2)=0))),Flows!$C26,0))</f>
        <v/>
      </c>
      <c r="T25" s="13">
        <f>IF(OR($A25="",Flows!$C26=""),0,IF(AND(15&lt;=Setup!$B$5,15&gt;=$C25,OR(AND($E25="once",15=$C25),AND($E25="weekly",15&lt;=$D25),AND($E25="biweekly",15&lt;=$D25,MOD(15-$C25,2)=0))),Flows!$C26,0))</f>
        <v/>
      </c>
      <c r="U25" s="13">
        <f>IF(OR($A25="",Flows!$C26=""),0,IF(AND(16&lt;=Setup!$B$5,16&gt;=$C25,OR(AND($E25="once",16=$C25),AND($E25="weekly",16&lt;=$D25),AND($E25="biweekly",16&lt;=$D25,MOD(16-$C25,2)=0))),Flows!$C26,0))</f>
        <v/>
      </c>
      <c r="V25" s="13">
        <f>IF(OR($A25="",Flows!$C26=""),0,IF(AND(17&lt;=Setup!$B$5,17&gt;=$C25,OR(AND($E25="once",17=$C25),AND($E25="weekly",17&lt;=$D25),AND($E25="biweekly",17&lt;=$D25,MOD(17-$C25,2)=0))),Flows!$C26,0))</f>
        <v/>
      </c>
      <c r="W25" s="13">
        <f>IF(OR($A25="",Flows!$C26=""),0,IF(AND(18&lt;=Setup!$B$5,18&gt;=$C25,OR(AND($E25="once",18=$C25),AND($E25="weekly",18&lt;=$D25),AND($E25="biweekly",18&lt;=$D25,MOD(18-$C25,2)=0))),Flows!$C26,0))</f>
        <v/>
      </c>
      <c r="X25" s="13">
        <f>IF(OR($A25="",Flows!$C26=""),0,IF(AND(19&lt;=Setup!$B$5,19&gt;=$C25,OR(AND($E25="once",19=$C25),AND($E25="weekly",19&lt;=$D25),AND($E25="biweekly",19&lt;=$D25,MOD(19-$C25,2)=0))),Flows!$C26,0))</f>
        <v/>
      </c>
      <c r="Y25" s="13">
        <f>IF(OR($A25="",Flows!$C26=""),0,IF(AND(20&lt;=Setup!$B$5,20&gt;=$C25,OR(AND($E25="once",20=$C25),AND($E25="weekly",20&lt;=$D25),AND($E25="biweekly",20&lt;=$D25,MOD(20-$C25,2)=0))),Flows!$C26,0))</f>
        <v/>
      </c>
      <c r="Z25" s="13">
        <f>IF(OR($A25="",Flows!$C26=""),0,IF(AND(21&lt;=Setup!$B$5,21&gt;=$C25,OR(AND($E25="once",21=$C25),AND($E25="weekly",21&lt;=$D25),AND($E25="biweekly",21&lt;=$D25,MOD(21-$C25,2)=0))),Flows!$C26,0))</f>
        <v/>
      </c>
      <c r="AA25" s="13">
        <f>IF(OR($A25="",Flows!$C26=""),0,IF(AND(22&lt;=Setup!$B$5,22&gt;=$C25,OR(AND($E25="once",22=$C25),AND($E25="weekly",22&lt;=$D25),AND($E25="biweekly",22&lt;=$D25,MOD(22-$C25,2)=0))),Flows!$C26,0))</f>
        <v/>
      </c>
      <c r="AB25" s="13">
        <f>IF(OR($A25="",Flows!$C26=""),0,IF(AND(23&lt;=Setup!$B$5,23&gt;=$C25,OR(AND($E25="once",23=$C25),AND($E25="weekly",23&lt;=$D25),AND($E25="biweekly",23&lt;=$D25,MOD(23-$C25,2)=0))),Flows!$C26,0))</f>
        <v/>
      </c>
      <c r="AC25" s="13">
        <f>IF(OR($A25="",Flows!$C26=""),0,IF(AND(24&lt;=Setup!$B$5,24&gt;=$C25,OR(AND($E25="once",24=$C25),AND($E25="weekly",24&lt;=$D25),AND($E25="biweekly",24&lt;=$D25,MOD(24-$C25,2)=0))),Flows!$C26,0))</f>
        <v/>
      </c>
      <c r="AD25" s="13">
        <f>IF(OR($A25="",Flows!$C26=""),0,IF(AND(25&lt;=Setup!$B$5,25&gt;=$C25,OR(AND($E25="once",25=$C25),AND($E25="weekly",25&lt;=$D25),AND($E25="biweekly",25&lt;=$D25,MOD(25-$C25,2)=0))),Flows!$C26,0))</f>
        <v/>
      </c>
      <c r="AE25" s="13">
        <f>IF(OR($A25="",Flows!$C26=""),0,IF(AND(26&lt;=Setup!$B$5,26&gt;=$C25,OR(AND($E25="once",26=$C25),AND($E25="weekly",26&lt;=$D25),AND($E25="biweekly",26&lt;=$D25,MOD(26-$C25,2)=0))),Flows!$C26,0))</f>
        <v/>
      </c>
      <c r="AF25" s="13">
        <f>IF(OR($A25="",Flows!$C26=""),0,IF(AND(27&lt;=Setup!$B$5,27&gt;=$C25,OR(AND($E25="once",27=$C25),AND($E25="weekly",27&lt;=$D25),AND($E25="biweekly",27&lt;=$D25,MOD(27-$C25,2)=0))),Flows!$C26,0))</f>
        <v/>
      </c>
      <c r="AG25" s="13">
        <f>IF(OR($A25="",Flows!$C26=""),0,IF(AND(28&lt;=Setup!$B$5,28&gt;=$C25,OR(AND($E25="once",28=$C25),AND($E25="weekly",28&lt;=$D25),AND($E25="biweekly",28&lt;=$D25,MOD(28-$C25,2)=0))),Flows!$C26,0))</f>
        <v/>
      </c>
      <c r="AH25" s="13">
        <f>IF(OR($A25="",Flows!$C26=""),0,IF(AND(29&lt;=Setup!$B$5,29&gt;=$C25,OR(AND($E25="once",29=$C25),AND($E25="weekly",29&lt;=$D25),AND($E25="biweekly",29&lt;=$D25,MOD(29-$C25,2)=0))),Flows!$C26,0))</f>
        <v/>
      </c>
      <c r="AI25" s="13">
        <f>IF(OR($A25="",Flows!$C26=""),0,IF(AND(30&lt;=Setup!$B$5,30&gt;=$C25,OR(AND($E25="once",30=$C25),AND($E25="weekly",30&lt;=$D25),AND($E25="biweekly",30&lt;=$D25,MOD(30-$C25,2)=0))),Flows!$C26,0))</f>
        <v/>
      </c>
      <c r="AJ25" s="13">
        <f>IF(OR($A25="",Flows!$C26=""),0,IF(AND(31&lt;=Setup!$B$5,31&gt;=$C25,OR(AND($E25="once",31=$C25),AND($E25="weekly",31&lt;=$D25),AND($E25="biweekly",31&lt;=$D25,MOD(31-$C25,2)=0))),Flows!$C26,0))</f>
        <v/>
      </c>
      <c r="AK25" s="13">
        <f>IF(OR($A25="",Flows!$C26=""),0,IF(AND(32&lt;=Setup!$B$5,32&gt;=$C25,OR(AND($E25="once",32=$C25),AND($E25="weekly",32&lt;=$D25),AND($E25="biweekly",32&lt;=$D25,MOD(32-$C25,2)=0))),Flows!$C26,0))</f>
        <v/>
      </c>
      <c r="AL25" s="13">
        <f>IF(OR($A25="",Flows!$C26=""),0,IF(AND(33&lt;=Setup!$B$5,33&gt;=$C25,OR(AND($E25="once",33=$C25),AND($E25="weekly",33&lt;=$D25),AND($E25="biweekly",33&lt;=$D25,MOD(33-$C25,2)=0))),Flows!$C26,0))</f>
        <v/>
      </c>
      <c r="AM25" s="13">
        <f>IF(OR($A25="",Flows!$C26=""),0,IF(AND(34&lt;=Setup!$B$5,34&gt;=$C25,OR(AND($E25="once",34=$C25),AND($E25="weekly",34&lt;=$D25),AND($E25="biweekly",34&lt;=$D25,MOD(34-$C25,2)=0))),Flows!$C26,0))</f>
        <v/>
      </c>
      <c r="AN25" s="13">
        <f>IF(OR($A25="",Flows!$C26=""),0,IF(AND(35&lt;=Setup!$B$5,35&gt;=$C25,OR(AND($E25="once",35=$C25),AND($E25="weekly",35&lt;=$D25),AND($E25="biweekly",35&lt;=$D25,MOD(35-$C25,2)=0))),Flows!$C26,0))</f>
        <v/>
      </c>
      <c r="AO25" s="13">
        <f>IF(OR($A25="",Flows!$C26=""),0,IF(AND(36&lt;=Setup!$B$5,36&gt;=$C25,OR(AND($E25="once",36=$C25),AND($E25="weekly",36&lt;=$D25),AND($E25="biweekly",36&lt;=$D25,MOD(36-$C25,2)=0))),Flows!$C26,0))</f>
        <v/>
      </c>
      <c r="AP25" s="13">
        <f>IF(OR($A25="",Flows!$C26=""),0,IF(AND(37&lt;=Setup!$B$5,37&gt;=$C25,OR(AND($E25="once",37=$C25),AND($E25="weekly",37&lt;=$D25),AND($E25="biweekly",37&lt;=$D25,MOD(37-$C25,2)=0))),Flows!$C26,0))</f>
        <v/>
      </c>
      <c r="AQ25" s="13">
        <f>IF(OR($A25="",Flows!$C26=""),0,IF(AND(38&lt;=Setup!$B$5,38&gt;=$C25,OR(AND($E25="once",38=$C25),AND($E25="weekly",38&lt;=$D25),AND($E25="biweekly",38&lt;=$D25,MOD(38-$C25,2)=0))),Flows!$C26,0))</f>
        <v/>
      </c>
      <c r="AR25" s="13">
        <f>IF(OR($A25="",Flows!$C26=""),0,IF(AND(39&lt;=Setup!$B$5,39&gt;=$C25,OR(AND($E25="once",39=$C25),AND($E25="weekly",39&lt;=$D25),AND($E25="biweekly",39&lt;=$D25,MOD(39-$C25,2)=0))),Flows!$C26,0))</f>
        <v/>
      </c>
      <c r="AS25" s="13">
        <f>IF(OR($A25="",Flows!$C26=""),0,IF(AND(40&lt;=Setup!$B$5,40&gt;=$C25,OR(AND($E25="once",40=$C25),AND($E25="weekly",40&lt;=$D25),AND($E25="biweekly",40&lt;=$D25,MOD(40-$C25,2)=0))),Flows!$C26,0))</f>
        <v/>
      </c>
      <c r="AT25" s="13">
        <f>IF(OR($A25="",Flows!$C26=""),0,IF(AND(41&lt;=Setup!$B$5,41&gt;=$C25,OR(AND($E25="once",41=$C25),AND($E25="weekly",41&lt;=$D25),AND($E25="biweekly",41&lt;=$D25,MOD(41-$C25,2)=0))),Flows!$C26,0))</f>
        <v/>
      </c>
      <c r="AU25" s="13">
        <f>IF(OR($A25="",Flows!$C26=""),0,IF(AND(42&lt;=Setup!$B$5,42&gt;=$C25,OR(AND($E25="once",42=$C25),AND($E25="weekly",42&lt;=$D25),AND($E25="biweekly",42&lt;=$D25,MOD(42-$C25,2)=0))),Flows!$C26,0))</f>
        <v/>
      </c>
      <c r="AV25" s="13">
        <f>IF(OR($A25="",Flows!$C26=""),0,IF(AND(43&lt;=Setup!$B$5,43&gt;=$C25,OR(AND($E25="once",43=$C25),AND($E25="weekly",43&lt;=$D25),AND($E25="biweekly",43&lt;=$D25,MOD(43-$C25,2)=0))),Flows!$C26,0))</f>
        <v/>
      </c>
      <c r="AW25" s="13">
        <f>IF(OR($A25="",Flows!$C26=""),0,IF(AND(44&lt;=Setup!$B$5,44&gt;=$C25,OR(AND($E25="once",44=$C25),AND($E25="weekly",44&lt;=$D25),AND($E25="biweekly",44&lt;=$D25,MOD(44-$C25,2)=0))),Flows!$C26,0))</f>
        <v/>
      </c>
      <c r="AX25" s="13">
        <f>IF(OR($A25="",Flows!$C26=""),0,IF(AND(45&lt;=Setup!$B$5,45&gt;=$C25,OR(AND($E25="once",45=$C25),AND($E25="weekly",45&lt;=$D25),AND($E25="biweekly",45&lt;=$D25,MOD(45-$C25,2)=0))),Flows!$C26,0))</f>
        <v/>
      </c>
      <c r="AY25" s="13">
        <f>IF(OR($A25="",Flows!$C26=""),0,IF(AND(46&lt;=Setup!$B$5,46&gt;=$C25,OR(AND($E25="once",46=$C25),AND($E25="weekly",46&lt;=$D25),AND($E25="biweekly",46&lt;=$D25,MOD(46-$C25,2)=0))),Flows!$C26,0))</f>
        <v/>
      </c>
      <c r="AZ25" s="13">
        <f>IF(OR($A25="",Flows!$C26=""),0,IF(AND(47&lt;=Setup!$B$5,47&gt;=$C25,OR(AND($E25="once",47=$C25),AND($E25="weekly",47&lt;=$D25),AND($E25="biweekly",47&lt;=$D25,MOD(47-$C25,2)=0))),Flows!$C26,0))</f>
        <v/>
      </c>
      <c r="BA25" s="13">
        <f>IF(OR($A25="",Flows!$C26=""),0,IF(AND(48&lt;=Setup!$B$5,48&gt;=$C25,OR(AND($E25="once",48=$C25),AND($E25="weekly",48&lt;=$D25),AND($E25="biweekly",48&lt;=$D25,MOD(48-$C25,2)=0))),Flows!$C26,0))</f>
        <v/>
      </c>
      <c r="BB25" s="13">
        <f>IF(OR($A25="",Flows!$C26=""),0,IF(AND(49&lt;=Setup!$B$5,49&gt;=$C25,OR(AND($E25="once",49=$C25),AND($E25="weekly",49&lt;=$D25),AND($E25="biweekly",49&lt;=$D25,MOD(49-$C25,2)=0))),Flows!$C26,0))</f>
        <v/>
      </c>
      <c r="BC25" s="13">
        <f>IF(OR($A25="",Flows!$C26=""),0,IF(AND(50&lt;=Setup!$B$5,50&gt;=$C25,OR(AND($E25="once",50=$C25),AND($E25="weekly",50&lt;=$D25),AND($E25="biweekly",50&lt;=$D25,MOD(50-$C25,2)=0))),Flows!$C26,0))</f>
        <v/>
      </c>
      <c r="BD25" s="13">
        <f>IF(OR($A25="",Flows!$C26=""),0,IF(AND(51&lt;=Setup!$B$5,51&gt;=$C25,OR(AND($E25="once",51=$C25),AND($E25="weekly",51&lt;=$D25),AND($E25="biweekly",51&lt;=$D25,MOD(51-$C25,2)=0))),Flows!$C26,0))</f>
        <v/>
      </c>
      <c r="BE25" s="13">
        <f>IF(OR($A25="",Flows!$C26=""),0,IF(AND(52&lt;=Setup!$B$5,52&gt;=$C25,OR(AND($E25="once",52=$C25),AND($E25="weekly",52&lt;=$D25),AND($E25="biweekly",52&lt;=$D25,MOD(52-$C25,2)=0))),Flows!$C26,0))</f>
        <v/>
      </c>
    </row>
    <row r="26">
      <c r="A26" s="7">
        <f>IF(Flows!A27="","",LOWER(Flows!A27))</f>
        <v/>
      </c>
      <c r="B26" s="7">
        <f>IF(Flows!B27="","",Flows!B27)</f>
        <v/>
      </c>
      <c r="C26" s="7">
        <f>N(Flows!D27)</f>
        <v/>
      </c>
      <c r="D26" s="7">
        <f>IF(Flows!F27="",Setup!$B$5,Flows!F27)</f>
        <v/>
      </c>
      <c r="E26" s="7">
        <f>IF(Flows!E27="","once",LOWER(Flows!E27))</f>
        <v/>
      </c>
      <c r="F26" s="13">
        <f>IF(OR($A26="",Flows!$C27=""),0,IF(AND(1&lt;=Setup!$B$5,1&gt;=$C26,OR(AND($E26="once",1=$C26),AND($E26="weekly",1&lt;=$D26),AND($E26="biweekly",1&lt;=$D26,MOD(1-$C26,2)=0))),Flows!$C27,0))</f>
        <v/>
      </c>
      <c r="G26" s="13">
        <f>IF(OR($A26="",Flows!$C27=""),0,IF(AND(2&lt;=Setup!$B$5,2&gt;=$C26,OR(AND($E26="once",2=$C26),AND($E26="weekly",2&lt;=$D26),AND($E26="biweekly",2&lt;=$D26,MOD(2-$C26,2)=0))),Flows!$C27,0))</f>
        <v/>
      </c>
      <c r="H26" s="13">
        <f>IF(OR($A26="",Flows!$C27=""),0,IF(AND(3&lt;=Setup!$B$5,3&gt;=$C26,OR(AND($E26="once",3=$C26),AND($E26="weekly",3&lt;=$D26),AND($E26="biweekly",3&lt;=$D26,MOD(3-$C26,2)=0))),Flows!$C27,0))</f>
        <v/>
      </c>
      <c r="I26" s="13">
        <f>IF(OR($A26="",Flows!$C27=""),0,IF(AND(4&lt;=Setup!$B$5,4&gt;=$C26,OR(AND($E26="once",4=$C26),AND($E26="weekly",4&lt;=$D26),AND($E26="biweekly",4&lt;=$D26,MOD(4-$C26,2)=0))),Flows!$C27,0))</f>
        <v/>
      </c>
      <c r="J26" s="13">
        <f>IF(OR($A26="",Flows!$C27=""),0,IF(AND(5&lt;=Setup!$B$5,5&gt;=$C26,OR(AND($E26="once",5=$C26),AND($E26="weekly",5&lt;=$D26),AND($E26="biweekly",5&lt;=$D26,MOD(5-$C26,2)=0))),Flows!$C27,0))</f>
        <v/>
      </c>
      <c r="K26" s="13">
        <f>IF(OR($A26="",Flows!$C27=""),0,IF(AND(6&lt;=Setup!$B$5,6&gt;=$C26,OR(AND($E26="once",6=$C26),AND($E26="weekly",6&lt;=$D26),AND($E26="biweekly",6&lt;=$D26,MOD(6-$C26,2)=0))),Flows!$C27,0))</f>
        <v/>
      </c>
      <c r="L26" s="13">
        <f>IF(OR($A26="",Flows!$C27=""),0,IF(AND(7&lt;=Setup!$B$5,7&gt;=$C26,OR(AND($E26="once",7=$C26),AND($E26="weekly",7&lt;=$D26),AND($E26="biweekly",7&lt;=$D26,MOD(7-$C26,2)=0))),Flows!$C27,0))</f>
        <v/>
      </c>
      <c r="M26" s="13">
        <f>IF(OR($A26="",Flows!$C27=""),0,IF(AND(8&lt;=Setup!$B$5,8&gt;=$C26,OR(AND($E26="once",8=$C26),AND($E26="weekly",8&lt;=$D26),AND($E26="biweekly",8&lt;=$D26,MOD(8-$C26,2)=0))),Flows!$C27,0))</f>
        <v/>
      </c>
      <c r="N26" s="13">
        <f>IF(OR($A26="",Flows!$C27=""),0,IF(AND(9&lt;=Setup!$B$5,9&gt;=$C26,OR(AND($E26="once",9=$C26),AND($E26="weekly",9&lt;=$D26),AND($E26="biweekly",9&lt;=$D26,MOD(9-$C26,2)=0))),Flows!$C27,0))</f>
        <v/>
      </c>
      <c r="O26" s="13">
        <f>IF(OR($A26="",Flows!$C27=""),0,IF(AND(10&lt;=Setup!$B$5,10&gt;=$C26,OR(AND($E26="once",10=$C26),AND($E26="weekly",10&lt;=$D26),AND($E26="biweekly",10&lt;=$D26,MOD(10-$C26,2)=0))),Flows!$C27,0))</f>
        <v/>
      </c>
      <c r="P26" s="13">
        <f>IF(OR($A26="",Flows!$C27=""),0,IF(AND(11&lt;=Setup!$B$5,11&gt;=$C26,OR(AND($E26="once",11=$C26),AND($E26="weekly",11&lt;=$D26),AND($E26="biweekly",11&lt;=$D26,MOD(11-$C26,2)=0))),Flows!$C27,0))</f>
        <v/>
      </c>
      <c r="Q26" s="13">
        <f>IF(OR($A26="",Flows!$C27=""),0,IF(AND(12&lt;=Setup!$B$5,12&gt;=$C26,OR(AND($E26="once",12=$C26),AND($E26="weekly",12&lt;=$D26),AND($E26="biweekly",12&lt;=$D26,MOD(12-$C26,2)=0))),Flows!$C27,0))</f>
        <v/>
      </c>
      <c r="R26" s="13">
        <f>IF(OR($A26="",Flows!$C27=""),0,IF(AND(13&lt;=Setup!$B$5,13&gt;=$C26,OR(AND($E26="once",13=$C26),AND($E26="weekly",13&lt;=$D26),AND($E26="biweekly",13&lt;=$D26,MOD(13-$C26,2)=0))),Flows!$C27,0))</f>
        <v/>
      </c>
      <c r="S26" s="13">
        <f>IF(OR($A26="",Flows!$C27=""),0,IF(AND(14&lt;=Setup!$B$5,14&gt;=$C26,OR(AND($E26="once",14=$C26),AND($E26="weekly",14&lt;=$D26),AND($E26="biweekly",14&lt;=$D26,MOD(14-$C26,2)=0))),Flows!$C27,0))</f>
        <v/>
      </c>
      <c r="T26" s="13">
        <f>IF(OR($A26="",Flows!$C27=""),0,IF(AND(15&lt;=Setup!$B$5,15&gt;=$C26,OR(AND($E26="once",15=$C26),AND($E26="weekly",15&lt;=$D26),AND($E26="biweekly",15&lt;=$D26,MOD(15-$C26,2)=0))),Flows!$C27,0))</f>
        <v/>
      </c>
      <c r="U26" s="13">
        <f>IF(OR($A26="",Flows!$C27=""),0,IF(AND(16&lt;=Setup!$B$5,16&gt;=$C26,OR(AND($E26="once",16=$C26),AND($E26="weekly",16&lt;=$D26),AND($E26="biweekly",16&lt;=$D26,MOD(16-$C26,2)=0))),Flows!$C27,0))</f>
        <v/>
      </c>
      <c r="V26" s="13">
        <f>IF(OR($A26="",Flows!$C27=""),0,IF(AND(17&lt;=Setup!$B$5,17&gt;=$C26,OR(AND($E26="once",17=$C26),AND($E26="weekly",17&lt;=$D26),AND($E26="biweekly",17&lt;=$D26,MOD(17-$C26,2)=0))),Flows!$C27,0))</f>
        <v/>
      </c>
      <c r="W26" s="13">
        <f>IF(OR($A26="",Flows!$C27=""),0,IF(AND(18&lt;=Setup!$B$5,18&gt;=$C26,OR(AND($E26="once",18=$C26),AND($E26="weekly",18&lt;=$D26),AND($E26="biweekly",18&lt;=$D26,MOD(18-$C26,2)=0))),Flows!$C27,0))</f>
        <v/>
      </c>
      <c r="X26" s="13">
        <f>IF(OR($A26="",Flows!$C27=""),0,IF(AND(19&lt;=Setup!$B$5,19&gt;=$C26,OR(AND($E26="once",19=$C26),AND($E26="weekly",19&lt;=$D26),AND($E26="biweekly",19&lt;=$D26,MOD(19-$C26,2)=0))),Flows!$C27,0))</f>
        <v/>
      </c>
      <c r="Y26" s="13">
        <f>IF(OR($A26="",Flows!$C27=""),0,IF(AND(20&lt;=Setup!$B$5,20&gt;=$C26,OR(AND($E26="once",20=$C26),AND($E26="weekly",20&lt;=$D26),AND($E26="biweekly",20&lt;=$D26,MOD(20-$C26,2)=0))),Flows!$C27,0))</f>
        <v/>
      </c>
      <c r="Z26" s="13">
        <f>IF(OR($A26="",Flows!$C27=""),0,IF(AND(21&lt;=Setup!$B$5,21&gt;=$C26,OR(AND($E26="once",21=$C26),AND($E26="weekly",21&lt;=$D26),AND($E26="biweekly",21&lt;=$D26,MOD(21-$C26,2)=0))),Flows!$C27,0))</f>
        <v/>
      </c>
      <c r="AA26" s="13">
        <f>IF(OR($A26="",Flows!$C27=""),0,IF(AND(22&lt;=Setup!$B$5,22&gt;=$C26,OR(AND($E26="once",22=$C26),AND($E26="weekly",22&lt;=$D26),AND($E26="biweekly",22&lt;=$D26,MOD(22-$C26,2)=0))),Flows!$C27,0))</f>
        <v/>
      </c>
      <c r="AB26" s="13">
        <f>IF(OR($A26="",Flows!$C27=""),0,IF(AND(23&lt;=Setup!$B$5,23&gt;=$C26,OR(AND($E26="once",23=$C26),AND($E26="weekly",23&lt;=$D26),AND($E26="biweekly",23&lt;=$D26,MOD(23-$C26,2)=0))),Flows!$C27,0))</f>
        <v/>
      </c>
      <c r="AC26" s="13">
        <f>IF(OR($A26="",Flows!$C27=""),0,IF(AND(24&lt;=Setup!$B$5,24&gt;=$C26,OR(AND($E26="once",24=$C26),AND($E26="weekly",24&lt;=$D26),AND($E26="biweekly",24&lt;=$D26,MOD(24-$C26,2)=0))),Flows!$C27,0))</f>
        <v/>
      </c>
      <c r="AD26" s="13">
        <f>IF(OR($A26="",Flows!$C27=""),0,IF(AND(25&lt;=Setup!$B$5,25&gt;=$C26,OR(AND($E26="once",25=$C26),AND($E26="weekly",25&lt;=$D26),AND($E26="biweekly",25&lt;=$D26,MOD(25-$C26,2)=0))),Flows!$C27,0))</f>
        <v/>
      </c>
      <c r="AE26" s="13">
        <f>IF(OR($A26="",Flows!$C27=""),0,IF(AND(26&lt;=Setup!$B$5,26&gt;=$C26,OR(AND($E26="once",26=$C26),AND($E26="weekly",26&lt;=$D26),AND($E26="biweekly",26&lt;=$D26,MOD(26-$C26,2)=0))),Flows!$C27,0))</f>
        <v/>
      </c>
      <c r="AF26" s="13">
        <f>IF(OR($A26="",Flows!$C27=""),0,IF(AND(27&lt;=Setup!$B$5,27&gt;=$C26,OR(AND($E26="once",27=$C26),AND($E26="weekly",27&lt;=$D26),AND($E26="biweekly",27&lt;=$D26,MOD(27-$C26,2)=0))),Flows!$C27,0))</f>
        <v/>
      </c>
      <c r="AG26" s="13">
        <f>IF(OR($A26="",Flows!$C27=""),0,IF(AND(28&lt;=Setup!$B$5,28&gt;=$C26,OR(AND($E26="once",28=$C26),AND($E26="weekly",28&lt;=$D26),AND($E26="biweekly",28&lt;=$D26,MOD(28-$C26,2)=0))),Flows!$C27,0))</f>
        <v/>
      </c>
      <c r="AH26" s="13">
        <f>IF(OR($A26="",Flows!$C27=""),0,IF(AND(29&lt;=Setup!$B$5,29&gt;=$C26,OR(AND($E26="once",29=$C26),AND($E26="weekly",29&lt;=$D26),AND($E26="biweekly",29&lt;=$D26,MOD(29-$C26,2)=0))),Flows!$C27,0))</f>
        <v/>
      </c>
      <c r="AI26" s="13">
        <f>IF(OR($A26="",Flows!$C27=""),0,IF(AND(30&lt;=Setup!$B$5,30&gt;=$C26,OR(AND($E26="once",30=$C26),AND($E26="weekly",30&lt;=$D26),AND($E26="biweekly",30&lt;=$D26,MOD(30-$C26,2)=0))),Flows!$C27,0))</f>
        <v/>
      </c>
      <c r="AJ26" s="13">
        <f>IF(OR($A26="",Flows!$C27=""),0,IF(AND(31&lt;=Setup!$B$5,31&gt;=$C26,OR(AND($E26="once",31=$C26),AND($E26="weekly",31&lt;=$D26),AND($E26="biweekly",31&lt;=$D26,MOD(31-$C26,2)=0))),Flows!$C27,0))</f>
        <v/>
      </c>
      <c r="AK26" s="13">
        <f>IF(OR($A26="",Flows!$C27=""),0,IF(AND(32&lt;=Setup!$B$5,32&gt;=$C26,OR(AND($E26="once",32=$C26),AND($E26="weekly",32&lt;=$D26),AND($E26="biweekly",32&lt;=$D26,MOD(32-$C26,2)=0))),Flows!$C27,0))</f>
        <v/>
      </c>
      <c r="AL26" s="13">
        <f>IF(OR($A26="",Flows!$C27=""),0,IF(AND(33&lt;=Setup!$B$5,33&gt;=$C26,OR(AND($E26="once",33=$C26),AND($E26="weekly",33&lt;=$D26),AND($E26="biweekly",33&lt;=$D26,MOD(33-$C26,2)=0))),Flows!$C27,0))</f>
        <v/>
      </c>
      <c r="AM26" s="13">
        <f>IF(OR($A26="",Flows!$C27=""),0,IF(AND(34&lt;=Setup!$B$5,34&gt;=$C26,OR(AND($E26="once",34=$C26),AND($E26="weekly",34&lt;=$D26),AND($E26="biweekly",34&lt;=$D26,MOD(34-$C26,2)=0))),Flows!$C27,0))</f>
        <v/>
      </c>
      <c r="AN26" s="13">
        <f>IF(OR($A26="",Flows!$C27=""),0,IF(AND(35&lt;=Setup!$B$5,35&gt;=$C26,OR(AND($E26="once",35=$C26),AND($E26="weekly",35&lt;=$D26),AND($E26="biweekly",35&lt;=$D26,MOD(35-$C26,2)=0))),Flows!$C27,0))</f>
        <v/>
      </c>
      <c r="AO26" s="13">
        <f>IF(OR($A26="",Flows!$C27=""),0,IF(AND(36&lt;=Setup!$B$5,36&gt;=$C26,OR(AND($E26="once",36=$C26),AND($E26="weekly",36&lt;=$D26),AND($E26="biweekly",36&lt;=$D26,MOD(36-$C26,2)=0))),Flows!$C27,0))</f>
        <v/>
      </c>
      <c r="AP26" s="13">
        <f>IF(OR($A26="",Flows!$C27=""),0,IF(AND(37&lt;=Setup!$B$5,37&gt;=$C26,OR(AND($E26="once",37=$C26),AND($E26="weekly",37&lt;=$D26),AND($E26="biweekly",37&lt;=$D26,MOD(37-$C26,2)=0))),Flows!$C27,0))</f>
        <v/>
      </c>
      <c r="AQ26" s="13">
        <f>IF(OR($A26="",Flows!$C27=""),0,IF(AND(38&lt;=Setup!$B$5,38&gt;=$C26,OR(AND($E26="once",38=$C26),AND($E26="weekly",38&lt;=$D26),AND($E26="biweekly",38&lt;=$D26,MOD(38-$C26,2)=0))),Flows!$C27,0))</f>
        <v/>
      </c>
      <c r="AR26" s="13">
        <f>IF(OR($A26="",Flows!$C27=""),0,IF(AND(39&lt;=Setup!$B$5,39&gt;=$C26,OR(AND($E26="once",39=$C26),AND($E26="weekly",39&lt;=$D26),AND($E26="biweekly",39&lt;=$D26,MOD(39-$C26,2)=0))),Flows!$C27,0))</f>
        <v/>
      </c>
      <c r="AS26" s="13">
        <f>IF(OR($A26="",Flows!$C27=""),0,IF(AND(40&lt;=Setup!$B$5,40&gt;=$C26,OR(AND($E26="once",40=$C26),AND($E26="weekly",40&lt;=$D26),AND($E26="biweekly",40&lt;=$D26,MOD(40-$C26,2)=0))),Flows!$C27,0))</f>
        <v/>
      </c>
      <c r="AT26" s="13">
        <f>IF(OR($A26="",Flows!$C27=""),0,IF(AND(41&lt;=Setup!$B$5,41&gt;=$C26,OR(AND($E26="once",41=$C26),AND($E26="weekly",41&lt;=$D26),AND($E26="biweekly",41&lt;=$D26,MOD(41-$C26,2)=0))),Flows!$C27,0))</f>
        <v/>
      </c>
      <c r="AU26" s="13">
        <f>IF(OR($A26="",Flows!$C27=""),0,IF(AND(42&lt;=Setup!$B$5,42&gt;=$C26,OR(AND($E26="once",42=$C26),AND($E26="weekly",42&lt;=$D26),AND($E26="biweekly",42&lt;=$D26,MOD(42-$C26,2)=0))),Flows!$C27,0))</f>
        <v/>
      </c>
      <c r="AV26" s="13">
        <f>IF(OR($A26="",Flows!$C27=""),0,IF(AND(43&lt;=Setup!$B$5,43&gt;=$C26,OR(AND($E26="once",43=$C26),AND($E26="weekly",43&lt;=$D26),AND($E26="biweekly",43&lt;=$D26,MOD(43-$C26,2)=0))),Flows!$C27,0))</f>
        <v/>
      </c>
      <c r="AW26" s="13">
        <f>IF(OR($A26="",Flows!$C27=""),0,IF(AND(44&lt;=Setup!$B$5,44&gt;=$C26,OR(AND($E26="once",44=$C26),AND($E26="weekly",44&lt;=$D26),AND($E26="biweekly",44&lt;=$D26,MOD(44-$C26,2)=0))),Flows!$C27,0))</f>
        <v/>
      </c>
      <c r="AX26" s="13">
        <f>IF(OR($A26="",Flows!$C27=""),0,IF(AND(45&lt;=Setup!$B$5,45&gt;=$C26,OR(AND($E26="once",45=$C26),AND($E26="weekly",45&lt;=$D26),AND($E26="biweekly",45&lt;=$D26,MOD(45-$C26,2)=0))),Flows!$C27,0))</f>
        <v/>
      </c>
      <c r="AY26" s="13">
        <f>IF(OR($A26="",Flows!$C27=""),0,IF(AND(46&lt;=Setup!$B$5,46&gt;=$C26,OR(AND($E26="once",46=$C26),AND($E26="weekly",46&lt;=$D26),AND($E26="biweekly",46&lt;=$D26,MOD(46-$C26,2)=0))),Flows!$C27,0))</f>
        <v/>
      </c>
      <c r="AZ26" s="13">
        <f>IF(OR($A26="",Flows!$C27=""),0,IF(AND(47&lt;=Setup!$B$5,47&gt;=$C26,OR(AND($E26="once",47=$C26),AND($E26="weekly",47&lt;=$D26),AND($E26="biweekly",47&lt;=$D26,MOD(47-$C26,2)=0))),Flows!$C27,0))</f>
        <v/>
      </c>
      <c r="BA26" s="13">
        <f>IF(OR($A26="",Flows!$C27=""),0,IF(AND(48&lt;=Setup!$B$5,48&gt;=$C26,OR(AND($E26="once",48=$C26),AND($E26="weekly",48&lt;=$D26),AND($E26="biweekly",48&lt;=$D26,MOD(48-$C26,2)=0))),Flows!$C27,0))</f>
        <v/>
      </c>
      <c r="BB26" s="13">
        <f>IF(OR($A26="",Flows!$C27=""),0,IF(AND(49&lt;=Setup!$B$5,49&gt;=$C26,OR(AND($E26="once",49=$C26),AND($E26="weekly",49&lt;=$D26),AND($E26="biweekly",49&lt;=$D26,MOD(49-$C26,2)=0))),Flows!$C27,0))</f>
        <v/>
      </c>
      <c r="BC26" s="13">
        <f>IF(OR($A26="",Flows!$C27=""),0,IF(AND(50&lt;=Setup!$B$5,50&gt;=$C26,OR(AND($E26="once",50=$C26),AND($E26="weekly",50&lt;=$D26),AND($E26="biweekly",50&lt;=$D26,MOD(50-$C26,2)=0))),Flows!$C27,0))</f>
        <v/>
      </c>
      <c r="BD26" s="13">
        <f>IF(OR($A26="",Flows!$C27=""),0,IF(AND(51&lt;=Setup!$B$5,51&gt;=$C26,OR(AND($E26="once",51=$C26),AND($E26="weekly",51&lt;=$D26),AND($E26="biweekly",51&lt;=$D26,MOD(51-$C26,2)=0))),Flows!$C27,0))</f>
        <v/>
      </c>
      <c r="BE26" s="13">
        <f>IF(OR($A26="",Flows!$C27=""),0,IF(AND(52&lt;=Setup!$B$5,52&gt;=$C26,OR(AND($E26="once",52=$C26),AND($E26="weekly",52&lt;=$D26),AND($E26="biweekly",52&lt;=$D26,MOD(52-$C26,2)=0))),Flows!$C27,0))</f>
        <v/>
      </c>
    </row>
    <row r="27">
      <c r="A27" s="7">
        <f>IF(Flows!A28="","",LOWER(Flows!A28))</f>
        <v/>
      </c>
      <c r="B27" s="7">
        <f>IF(Flows!B28="","",Flows!B28)</f>
        <v/>
      </c>
      <c r="C27" s="7">
        <f>N(Flows!D28)</f>
        <v/>
      </c>
      <c r="D27" s="7">
        <f>IF(Flows!F28="",Setup!$B$5,Flows!F28)</f>
        <v/>
      </c>
      <c r="E27" s="7">
        <f>IF(Flows!E28="","once",LOWER(Flows!E28))</f>
        <v/>
      </c>
      <c r="F27" s="13">
        <f>IF(OR($A27="",Flows!$C28=""),0,IF(AND(1&lt;=Setup!$B$5,1&gt;=$C27,OR(AND($E27="once",1=$C27),AND($E27="weekly",1&lt;=$D27),AND($E27="biweekly",1&lt;=$D27,MOD(1-$C27,2)=0))),Flows!$C28,0))</f>
        <v/>
      </c>
      <c r="G27" s="13">
        <f>IF(OR($A27="",Flows!$C28=""),0,IF(AND(2&lt;=Setup!$B$5,2&gt;=$C27,OR(AND($E27="once",2=$C27),AND($E27="weekly",2&lt;=$D27),AND($E27="biweekly",2&lt;=$D27,MOD(2-$C27,2)=0))),Flows!$C28,0))</f>
        <v/>
      </c>
      <c r="H27" s="13">
        <f>IF(OR($A27="",Flows!$C28=""),0,IF(AND(3&lt;=Setup!$B$5,3&gt;=$C27,OR(AND($E27="once",3=$C27),AND($E27="weekly",3&lt;=$D27),AND($E27="biweekly",3&lt;=$D27,MOD(3-$C27,2)=0))),Flows!$C28,0))</f>
        <v/>
      </c>
      <c r="I27" s="13">
        <f>IF(OR($A27="",Flows!$C28=""),0,IF(AND(4&lt;=Setup!$B$5,4&gt;=$C27,OR(AND($E27="once",4=$C27),AND($E27="weekly",4&lt;=$D27),AND($E27="biweekly",4&lt;=$D27,MOD(4-$C27,2)=0))),Flows!$C28,0))</f>
        <v/>
      </c>
      <c r="J27" s="13">
        <f>IF(OR($A27="",Flows!$C28=""),0,IF(AND(5&lt;=Setup!$B$5,5&gt;=$C27,OR(AND($E27="once",5=$C27),AND($E27="weekly",5&lt;=$D27),AND($E27="biweekly",5&lt;=$D27,MOD(5-$C27,2)=0))),Flows!$C28,0))</f>
        <v/>
      </c>
      <c r="K27" s="13">
        <f>IF(OR($A27="",Flows!$C28=""),0,IF(AND(6&lt;=Setup!$B$5,6&gt;=$C27,OR(AND($E27="once",6=$C27),AND($E27="weekly",6&lt;=$D27),AND($E27="biweekly",6&lt;=$D27,MOD(6-$C27,2)=0))),Flows!$C28,0))</f>
        <v/>
      </c>
      <c r="L27" s="13">
        <f>IF(OR($A27="",Flows!$C28=""),0,IF(AND(7&lt;=Setup!$B$5,7&gt;=$C27,OR(AND($E27="once",7=$C27),AND($E27="weekly",7&lt;=$D27),AND($E27="biweekly",7&lt;=$D27,MOD(7-$C27,2)=0))),Flows!$C28,0))</f>
        <v/>
      </c>
      <c r="M27" s="13">
        <f>IF(OR($A27="",Flows!$C28=""),0,IF(AND(8&lt;=Setup!$B$5,8&gt;=$C27,OR(AND($E27="once",8=$C27),AND($E27="weekly",8&lt;=$D27),AND($E27="biweekly",8&lt;=$D27,MOD(8-$C27,2)=0))),Flows!$C28,0))</f>
        <v/>
      </c>
      <c r="N27" s="13">
        <f>IF(OR($A27="",Flows!$C28=""),0,IF(AND(9&lt;=Setup!$B$5,9&gt;=$C27,OR(AND($E27="once",9=$C27),AND($E27="weekly",9&lt;=$D27),AND($E27="biweekly",9&lt;=$D27,MOD(9-$C27,2)=0))),Flows!$C28,0))</f>
        <v/>
      </c>
      <c r="O27" s="13">
        <f>IF(OR($A27="",Flows!$C28=""),0,IF(AND(10&lt;=Setup!$B$5,10&gt;=$C27,OR(AND($E27="once",10=$C27),AND($E27="weekly",10&lt;=$D27),AND($E27="biweekly",10&lt;=$D27,MOD(10-$C27,2)=0))),Flows!$C28,0))</f>
        <v/>
      </c>
      <c r="P27" s="13">
        <f>IF(OR($A27="",Flows!$C28=""),0,IF(AND(11&lt;=Setup!$B$5,11&gt;=$C27,OR(AND($E27="once",11=$C27),AND($E27="weekly",11&lt;=$D27),AND($E27="biweekly",11&lt;=$D27,MOD(11-$C27,2)=0))),Flows!$C28,0))</f>
        <v/>
      </c>
      <c r="Q27" s="13">
        <f>IF(OR($A27="",Flows!$C28=""),0,IF(AND(12&lt;=Setup!$B$5,12&gt;=$C27,OR(AND($E27="once",12=$C27),AND($E27="weekly",12&lt;=$D27),AND($E27="biweekly",12&lt;=$D27,MOD(12-$C27,2)=0))),Flows!$C28,0))</f>
        <v/>
      </c>
      <c r="R27" s="13">
        <f>IF(OR($A27="",Flows!$C28=""),0,IF(AND(13&lt;=Setup!$B$5,13&gt;=$C27,OR(AND($E27="once",13=$C27),AND($E27="weekly",13&lt;=$D27),AND($E27="biweekly",13&lt;=$D27,MOD(13-$C27,2)=0))),Flows!$C28,0))</f>
        <v/>
      </c>
      <c r="S27" s="13">
        <f>IF(OR($A27="",Flows!$C28=""),0,IF(AND(14&lt;=Setup!$B$5,14&gt;=$C27,OR(AND($E27="once",14=$C27),AND($E27="weekly",14&lt;=$D27),AND($E27="biweekly",14&lt;=$D27,MOD(14-$C27,2)=0))),Flows!$C28,0))</f>
        <v/>
      </c>
      <c r="T27" s="13">
        <f>IF(OR($A27="",Flows!$C28=""),0,IF(AND(15&lt;=Setup!$B$5,15&gt;=$C27,OR(AND($E27="once",15=$C27),AND($E27="weekly",15&lt;=$D27),AND($E27="biweekly",15&lt;=$D27,MOD(15-$C27,2)=0))),Flows!$C28,0))</f>
        <v/>
      </c>
      <c r="U27" s="13">
        <f>IF(OR($A27="",Flows!$C28=""),0,IF(AND(16&lt;=Setup!$B$5,16&gt;=$C27,OR(AND($E27="once",16=$C27),AND($E27="weekly",16&lt;=$D27),AND($E27="biweekly",16&lt;=$D27,MOD(16-$C27,2)=0))),Flows!$C28,0))</f>
        <v/>
      </c>
      <c r="V27" s="13">
        <f>IF(OR($A27="",Flows!$C28=""),0,IF(AND(17&lt;=Setup!$B$5,17&gt;=$C27,OR(AND($E27="once",17=$C27),AND($E27="weekly",17&lt;=$D27),AND($E27="biweekly",17&lt;=$D27,MOD(17-$C27,2)=0))),Flows!$C28,0))</f>
        <v/>
      </c>
      <c r="W27" s="13">
        <f>IF(OR($A27="",Flows!$C28=""),0,IF(AND(18&lt;=Setup!$B$5,18&gt;=$C27,OR(AND($E27="once",18=$C27),AND($E27="weekly",18&lt;=$D27),AND($E27="biweekly",18&lt;=$D27,MOD(18-$C27,2)=0))),Flows!$C28,0))</f>
        <v/>
      </c>
      <c r="X27" s="13">
        <f>IF(OR($A27="",Flows!$C28=""),0,IF(AND(19&lt;=Setup!$B$5,19&gt;=$C27,OR(AND($E27="once",19=$C27),AND($E27="weekly",19&lt;=$D27),AND($E27="biweekly",19&lt;=$D27,MOD(19-$C27,2)=0))),Flows!$C28,0))</f>
        <v/>
      </c>
      <c r="Y27" s="13">
        <f>IF(OR($A27="",Flows!$C28=""),0,IF(AND(20&lt;=Setup!$B$5,20&gt;=$C27,OR(AND($E27="once",20=$C27),AND($E27="weekly",20&lt;=$D27),AND($E27="biweekly",20&lt;=$D27,MOD(20-$C27,2)=0))),Flows!$C28,0))</f>
        <v/>
      </c>
      <c r="Z27" s="13">
        <f>IF(OR($A27="",Flows!$C28=""),0,IF(AND(21&lt;=Setup!$B$5,21&gt;=$C27,OR(AND($E27="once",21=$C27),AND($E27="weekly",21&lt;=$D27),AND($E27="biweekly",21&lt;=$D27,MOD(21-$C27,2)=0))),Flows!$C28,0))</f>
        <v/>
      </c>
      <c r="AA27" s="13">
        <f>IF(OR($A27="",Flows!$C28=""),0,IF(AND(22&lt;=Setup!$B$5,22&gt;=$C27,OR(AND($E27="once",22=$C27),AND($E27="weekly",22&lt;=$D27),AND($E27="biweekly",22&lt;=$D27,MOD(22-$C27,2)=0))),Flows!$C28,0))</f>
        <v/>
      </c>
      <c r="AB27" s="13">
        <f>IF(OR($A27="",Flows!$C28=""),0,IF(AND(23&lt;=Setup!$B$5,23&gt;=$C27,OR(AND($E27="once",23=$C27),AND($E27="weekly",23&lt;=$D27),AND($E27="biweekly",23&lt;=$D27,MOD(23-$C27,2)=0))),Flows!$C28,0))</f>
        <v/>
      </c>
      <c r="AC27" s="13">
        <f>IF(OR($A27="",Flows!$C28=""),0,IF(AND(24&lt;=Setup!$B$5,24&gt;=$C27,OR(AND($E27="once",24=$C27),AND($E27="weekly",24&lt;=$D27),AND($E27="biweekly",24&lt;=$D27,MOD(24-$C27,2)=0))),Flows!$C28,0))</f>
        <v/>
      </c>
      <c r="AD27" s="13">
        <f>IF(OR($A27="",Flows!$C28=""),0,IF(AND(25&lt;=Setup!$B$5,25&gt;=$C27,OR(AND($E27="once",25=$C27),AND($E27="weekly",25&lt;=$D27),AND($E27="biweekly",25&lt;=$D27,MOD(25-$C27,2)=0))),Flows!$C28,0))</f>
        <v/>
      </c>
      <c r="AE27" s="13">
        <f>IF(OR($A27="",Flows!$C28=""),0,IF(AND(26&lt;=Setup!$B$5,26&gt;=$C27,OR(AND($E27="once",26=$C27),AND($E27="weekly",26&lt;=$D27),AND($E27="biweekly",26&lt;=$D27,MOD(26-$C27,2)=0))),Flows!$C28,0))</f>
        <v/>
      </c>
      <c r="AF27" s="13">
        <f>IF(OR($A27="",Flows!$C28=""),0,IF(AND(27&lt;=Setup!$B$5,27&gt;=$C27,OR(AND($E27="once",27=$C27),AND($E27="weekly",27&lt;=$D27),AND($E27="biweekly",27&lt;=$D27,MOD(27-$C27,2)=0))),Flows!$C28,0))</f>
        <v/>
      </c>
      <c r="AG27" s="13">
        <f>IF(OR($A27="",Flows!$C28=""),0,IF(AND(28&lt;=Setup!$B$5,28&gt;=$C27,OR(AND($E27="once",28=$C27),AND($E27="weekly",28&lt;=$D27),AND($E27="biweekly",28&lt;=$D27,MOD(28-$C27,2)=0))),Flows!$C28,0))</f>
        <v/>
      </c>
      <c r="AH27" s="13">
        <f>IF(OR($A27="",Flows!$C28=""),0,IF(AND(29&lt;=Setup!$B$5,29&gt;=$C27,OR(AND($E27="once",29=$C27),AND($E27="weekly",29&lt;=$D27),AND($E27="biweekly",29&lt;=$D27,MOD(29-$C27,2)=0))),Flows!$C28,0))</f>
        <v/>
      </c>
      <c r="AI27" s="13">
        <f>IF(OR($A27="",Flows!$C28=""),0,IF(AND(30&lt;=Setup!$B$5,30&gt;=$C27,OR(AND($E27="once",30=$C27),AND($E27="weekly",30&lt;=$D27),AND($E27="biweekly",30&lt;=$D27,MOD(30-$C27,2)=0))),Flows!$C28,0))</f>
        <v/>
      </c>
      <c r="AJ27" s="13">
        <f>IF(OR($A27="",Flows!$C28=""),0,IF(AND(31&lt;=Setup!$B$5,31&gt;=$C27,OR(AND($E27="once",31=$C27),AND($E27="weekly",31&lt;=$D27),AND($E27="biweekly",31&lt;=$D27,MOD(31-$C27,2)=0))),Flows!$C28,0))</f>
        <v/>
      </c>
      <c r="AK27" s="13">
        <f>IF(OR($A27="",Flows!$C28=""),0,IF(AND(32&lt;=Setup!$B$5,32&gt;=$C27,OR(AND($E27="once",32=$C27),AND($E27="weekly",32&lt;=$D27),AND($E27="biweekly",32&lt;=$D27,MOD(32-$C27,2)=0))),Flows!$C28,0))</f>
        <v/>
      </c>
      <c r="AL27" s="13">
        <f>IF(OR($A27="",Flows!$C28=""),0,IF(AND(33&lt;=Setup!$B$5,33&gt;=$C27,OR(AND($E27="once",33=$C27),AND($E27="weekly",33&lt;=$D27),AND($E27="biweekly",33&lt;=$D27,MOD(33-$C27,2)=0))),Flows!$C28,0))</f>
        <v/>
      </c>
      <c r="AM27" s="13">
        <f>IF(OR($A27="",Flows!$C28=""),0,IF(AND(34&lt;=Setup!$B$5,34&gt;=$C27,OR(AND($E27="once",34=$C27),AND($E27="weekly",34&lt;=$D27),AND($E27="biweekly",34&lt;=$D27,MOD(34-$C27,2)=0))),Flows!$C28,0))</f>
        <v/>
      </c>
      <c r="AN27" s="13">
        <f>IF(OR($A27="",Flows!$C28=""),0,IF(AND(35&lt;=Setup!$B$5,35&gt;=$C27,OR(AND($E27="once",35=$C27),AND($E27="weekly",35&lt;=$D27),AND($E27="biweekly",35&lt;=$D27,MOD(35-$C27,2)=0))),Flows!$C28,0))</f>
        <v/>
      </c>
      <c r="AO27" s="13">
        <f>IF(OR($A27="",Flows!$C28=""),0,IF(AND(36&lt;=Setup!$B$5,36&gt;=$C27,OR(AND($E27="once",36=$C27),AND($E27="weekly",36&lt;=$D27),AND($E27="biweekly",36&lt;=$D27,MOD(36-$C27,2)=0))),Flows!$C28,0))</f>
        <v/>
      </c>
      <c r="AP27" s="13">
        <f>IF(OR($A27="",Flows!$C28=""),0,IF(AND(37&lt;=Setup!$B$5,37&gt;=$C27,OR(AND($E27="once",37=$C27),AND($E27="weekly",37&lt;=$D27),AND($E27="biweekly",37&lt;=$D27,MOD(37-$C27,2)=0))),Flows!$C28,0))</f>
        <v/>
      </c>
      <c r="AQ27" s="13">
        <f>IF(OR($A27="",Flows!$C28=""),0,IF(AND(38&lt;=Setup!$B$5,38&gt;=$C27,OR(AND($E27="once",38=$C27),AND($E27="weekly",38&lt;=$D27),AND($E27="biweekly",38&lt;=$D27,MOD(38-$C27,2)=0))),Flows!$C28,0))</f>
        <v/>
      </c>
      <c r="AR27" s="13">
        <f>IF(OR($A27="",Flows!$C28=""),0,IF(AND(39&lt;=Setup!$B$5,39&gt;=$C27,OR(AND($E27="once",39=$C27),AND($E27="weekly",39&lt;=$D27),AND($E27="biweekly",39&lt;=$D27,MOD(39-$C27,2)=0))),Flows!$C28,0))</f>
        <v/>
      </c>
      <c r="AS27" s="13">
        <f>IF(OR($A27="",Flows!$C28=""),0,IF(AND(40&lt;=Setup!$B$5,40&gt;=$C27,OR(AND($E27="once",40=$C27),AND($E27="weekly",40&lt;=$D27),AND($E27="biweekly",40&lt;=$D27,MOD(40-$C27,2)=0))),Flows!$C28,0))</f>
        <v/>
      </c>
      <c r="AT27" s="13">
        <f>IF(OR($A27="",Flows!$C28=""),0,IF(AND(41&lt;=Setup!$B$5,41&gt;=$C27,OR(AND($E27="once",41=$C27),AND($E27="weekly",41&lt;=$D27),AND($E27="biweekly",41&lt;=$D27,MOD(41-$C27,2)=0))),Flows!$C28,0))</f>
        <v/>
      </c>
      <c r="AU27" s="13">
        <f>IF(OR($A27="",Flows!$C28=""),0,IF(AND(42&lt;=Setup!$B$5,42&gt;=$C27,OR(AND($E27="once",42=$C27),AND($E27="weekly",42&lt;=$D27),AND($E27="biweekly",42&lt;=$D27,MOD(42-$C27,2)=0))),Flows!$C28,0))</f>
        <v/>
      </c>
      <c r="AV27" s="13">
        <f>IF(OR($A27="",Flows!$C28=""),0,IF(AND(43&lt;=Setup!$B$5,43&gt;=$C27,OR(AND($E27="once",43=$C27),AND($E27="weekly",43&lt;=$D27),AND($E27="biweekly",43&lt;=$D27,MOD(43-$C27,2)=0))),Flows!$C28,0))</f>
        <v/>
      </c>
      <c r="AW27" s="13">
        <f>IF(OR($A27="",Flows!$C28=""),0,IF(AND(44&lt;=Setup!$B$5,44&gt;=$C27,OR(AND($E27="once",44=$C27),AND($E27="weekly",44&lt;=$D27),AND($E27="biweekly",44&lt;=$D27,MOD(44-$C27,2)=0))),Flows!$C28,0))</f>
        <v/>
      </c>
      <c r="AX27" s="13">
        <f>IF(OR($A27="",Flows!$C28=""),0,IF(AND(45&lt;=Setup!$B$5,45&gt;=$C27,OR(AND($E27="once",45=$C27),AND($E27="weekly",45&lt;=$D27),AND($E27="biweekly",45&lt;=$D27,MOD(45-$C27,2)=0))),Flows!$C28,0))</f>
        <v/>
      </c>
      <c r="AY27" s="13">
        <f>IF(OR($A27="",Flows!$C28=""),0,IF(AND(46&lt;=Setup!$B$5,46&gt;=$C27,OR(AND($E27="once",46=$C27),AND($E27="weekly",46&lt;=$D27),AND($E27="biweekly",46&lt;=$D27,MOD(46-$C27,2)=0))),Flows!$C28,0))</f>
        <v/>
      </c>
      <c r="AZ27" s="13">
        <f>IF(OR($A27="",Flows!$C28=""),0,IF(AND(47&lt;=Setup!$B$5,47&gt;=$C27,OR(AND($E27="once",47=$C27),AND($E27="weekly",47&lt;=$D27),AND($E27="biweekly",47&lt;=$D27,MOD(47-$C27,2)=0))),Flows!$C28,0))</f>
        <v/>
      </c>
      <c r="BA27" s="13">
        <f>IF(OR($A27="",Flows!$C28=""),0,IF(AND(48&lt;=Setup!$B$5,48&gt;=$C27,OR(AND($E27="once",48=$C27),AND($E27="weekly",48&lt;=$D27),AND($E27="biweekly",48&lt;=$D27,MOD(48-$C27,2)=0))),Flows!$C28,0))</f>
        <v/>
      </c>
      <c r="BB27" s="13">
        <f>IF(OR($A27="",Flows!$C28=""),0,IF(AND(49&lt;=Setup!$B$5,49&gt;=$C27,OR(AND($E27="once",49=$C27),AND($E27="weekly",49&lt;=$D27),AND($E27="biweekly",49&lt;=$D27,MOD(49-$C27,2)=0))),Flows!$C28,0))</f>
        <v/>
      </c>
      <c r="BC27" s="13">
        <f>IF(OR($A27="",Flows!$C28=""),0,IF(AND(50&lt;=Setup!$B$5,50&gt;=$C27,OR(AND($E27="once",50=$C27),AND($E27="weekly",50&lt;=$D27),AND($E27="biweekly",50&lt;=$D27,MOD(50-$C27,2)=0))),Flows!$C28,0))</f>
        <v/>
      </c>
      <c r="BD27" s="13">
        <f>IF(OR($A27="",Flows!$C28=""),0,IF(AND(51&lt;=Setup!$B$5,51&gt;=$C27,OR(AND($E27="once",51=$C27),AND($E27="weekly",51&lt;=$D27),AND($E27="biweekly",51&lt;=$D27,MOD(51-$C27,2)=0))),Flows!$C28,0))</f>
        <v/>
      </c>
      <c r="BE27" s="13">
        <f>IF(OR($A27="",Flows!$C28=""),0,IF(AND(52&lt;=Setup!$B$5,52&gt;=$C27,OR(AND($E27="once",52=$C27),AND($E27="weekly",52&lt;=$D27),AND($E27="biweekly",52&lt;=$D27,MOD(52-$C27,2)=0))),Flows!$C28,0))</f>
        <v/>
      </c>
    </row>
    <row r="28">
      <c r="A28" s="7">
        <f>IF(Flows!A29="","",LOWER(Flows!A29))</f>
        <v/>
      </c>
      <c r="B28" s="7">
        <f>IF(Flows!B29="","",Flows!B29)</f>
        <v/>
      </c>
      <c r="C28" s="7">
        <f>N(Flows!D29)</f>
        <v/>
      </c>
      <c r="D28" s="7">
        <f>IF(Flows!F29="",Setup!$B$5,Flows!F29)</f>
        <v/>
      </c>
      <c r="E28" s="7">
        <f>IF(Flows!E29="","once",LOWER(Flows!E29))</f>
        <v/>
      </c>
      <c r="F28" s="13">
        <f>IF(OR($A28="",Flows!$C29=""),0,IF(AND(1&lt;=Setup!$B$5,1&gt;=$C28,OR(AND($E28="once",1=$C28),AND($E28="weekly",1&lt;=$D28),AND($E28="biweekly",1&lt;=$D28,MOD(1-$C28,2)=0))),Flows!$C29,0))</f>
        <v/>
      </c>
      <c r="G28" s="13">
        <f>IF(OR($A28="",Flows!$C29=""),0,IF(AND(2&lt;=Setup!$B$5,2&gt;=$C28,OR(AND($E28="once",2=$C28),AND($E28="weekly",2&lt;=$D28),AND($E28="biweekly",2&lt;=$D28,MOD(2-$C28,2)=0))),Flows!$C29,0))</f>
        <v/>
      </c>
      <c r="H28" s="13">
        <f>IF(OR($A28="",Flows!$C29=""),0,IF(AND(3&lt;=Setup!$B$5,3&gt;=$C28,OR(AND($E28="once",3=$C28),AND($E28="weekly",3&lt;=$D28),AND($E28="biweekly",3&lt;=$D28,MOD(3-$C28,2)=0))),Flows!$C29,0))</f>
        <v/>
      </c>
      <c r="I28" s="13">
        <f>IF(OR($A28="",Flows!$C29=""),0,IF(AND(4&lt;=Setup!$B$5,4&gt;=$C28,OR(AND($E28="once",4=$C28),AND($E28="weekly",4&lt;=$D28),AND($E28="biweekly",4&lt;=$D28,MOD(4-$C28,2)=0))),Flows!$C29,0))</f>
        <v/>
      </c>
      <c r="J28" s="13">
        <f>IF(OR($A28="",Flows!$C29=""),0,IF(AND(5&lt;=Setup!$B$5,5&gt;=$C28,OR(AND($E28="once",5=$C28),AND($E28="weekly",5&lt;=$D28),AND($E28="biweekly",5&lt;=$D28,MOD(5-$C28,2)=0))),Flows!$C29,0))</f>
        <v/>
      </c>
      <c r="K28" s="13">
        <f>IF(OR($A28="",Flows!$C29=""),0,IF(AND(6&lt;=Setup!$B$5,6&gt;=$C28,OR(AND($E28="once",6=$C28),AND($E28="weekly",6&lt;=$D28),AND($E28="biweekly",6&lt;=$D28,MOD(6-$C28,2)=0))),Flows!$C29,0))</f>
        <v/>
      </c>
      <c r="L28" s="13">
        <f>IF(OR($A28="",Flows!$C29=""),0,IF(AND(7&lt;=Setup!$B$5,7&gt;=$C28,OR(AND($E28="once",7=$C28),AND($E28="weekly",7&lt;=$D28),AND($E28="biweekly",7&lt;=$D28,MOD(7-$C28,2)=0))),Flows!$C29,0))</f>
        <v/>
      </c>
      <c r="M28" s="13">
        <f>IF(OR($A28="",Flows!$C29=""),0,IF(AND(8&lt;=Setup!$B$5,8&gt;=$C28,OR(AND($E28="once",8=$C28),AND($E28="weekly",8&lt;=$D28),AND($E28="biweekly",8&lt;=$D28,MOD(8-$C28,2)=0))),Flows!$C29,0))</f>
        <v/>
      </c>
      <c r="N28" s="13">
        <f>IF(OR($A28="",Flows!$C29=""),0,IF(AND(9&lt;=Setup!$B$5,9&gt;=$C28,OR(AND($E28="once",9=$C28),AND($E28="weekly",9&lt;=$D28),AND($E28="biweekly",9&lt;=$D28,MOD(9-$C28,2)=0))),Flows!$C29,0))</f>
        <v/>
      </c>
      <c r="O28" s="13">
        <f>IF(OR($A28="",Flows!$C29=""),0,IF(AND(10&lt;=Setup!$B$5,10&gt;=$C28,OR(AND($E28="once",10=$C28),AND($E28="weekly",10&lt;=$D28),AND($E28="biweekly",10&lt;=$D28,MOD(10-$C28,2)=0))),Flows!$C29,0))</f>
        <v/>
      </c>
      <c r="P28" s="13">
        <f>IF(OR($A28="",Flows!$C29=""),0,IF(AND(11&lt;=Setup!$B$5,11&gt;=$C28,OR(AND($E28="once",11=$C28),AND($E28="weekly",11&lt;=$D28),AND($E28="biweekly",11&lt;=$D28,MOD(11-$C28,2)=0))),Flows!$C29,0))</f>
        <v/>
      </c>
      <c r="Q28" s="13">
        <f>IF(OR($A28="",Flows!$C29=""),0,IF(AND(12&lt;=Setup!$B$5,12&gt;=$C28,OR(AND($E28="once",12=$C28),AND($E28="weekly",12&lt;=$D28),AND($E28="biweekly",12&lt;=$D28,MOD(12-$C28,2)=0))),Flows!$C29,0))</f>
        <v/>
      </c>
      <c r="R28" s="13">
        <f>IF(OR($A28="",Flows!$C29=""),0,IF(AND(13&lt;=Setup!$B$5,13&gt;=$C28,OR(AND($E28="once",13=$C28),AND($E28="weekly",13&lt;=$D28),AND($E28="biweekly",13&lt;=$D28,MOD(13-$C28,2)=0))),Flows!$C29,0))</f>
        <v/>
      </c>
      <c r="S28" s="13">
        <f>IF(OR($A28="",Flows!$C29=""),0,IF(AND(14&lt;=Setup!$B$5,14&gt;=$C28,OR(AND($E28="once",14=$C28),AND($E28="weekly",14&lt;=$D28),AND($E28="biweekly",14&lt;=$D28,MOD(14-$C28,2)=0))),Flows!$C29,0))</f>
        <v/>
      </c>
      <c r="T28" s="13">
        <f>IF(OR($A28="",Flows!$C29=""),0,IF(AND(15&lt;=Setup!$B$5,15&gt;=$C28,OR(AND($E28="once",15=$C28),AND($E28="weekly",15&lt;=$D28),AND($E28="biweekly",15&lt;=$D28,MOD(15-$C28,2)=0))),Flows!$C29,0))</f>
        <v/>
      </c>
      <c r="U28" s="13">
        <f>IF(OR($A28="",Flows!$C29=""),0,IF(AND(16&lt;=Setup!$B$5,16&gt;=$C28,OR(AND($E28="once",16=$C28),AND($E28="weekly",16&lt;=$D28),AND($E28="biweekly",16&lt;=$D28,MOD(16-$C28,2)=0))),Flows!$C29,0))</f>
        <v/>
      </c>
      <c r="V28" s="13">
        <f>IF(OR($A28="",Flows!$C29=""),0,IF(AND(17&lt;=Setup!$B$5,17&gt;=$C28,OR(AND($E28="once",17=$C28),AND($E28="weekly",17&lt;=$D28),AND($E28="biweekly",17&lt;=$D28,MOD(17-$C28,2)=0))),Flows!$C29,0))</f>
        <v/>
      </c>
      <c r="W28" s="13">
        <f>IF(OR($A28="",Flows!$C29=""),0,IF(AND(18&lt;=Setup!$B$5,18&gt;=$C28,OR(AND($E28="once",18=$C28),AND($E28="weekly",18&lt;=$D28),AND($E28="biweekly",18&lt;=$D28,MOD(18-$C28,2)=0))),Flows!$C29,0))</f>
        <v/>
      </c>
      <c r="X28" s="13">
        <f>IF(OR($A28="",Flows!$C29=""),0,IF(AND(19&lt;=Setup!$B$5,19&gt;=$C28,OR(AND($E28="once",19=$C28),AND($E28="weekly",19&lt;=$D28),AND($E28="biweekly",19&lt;=$D28,MOD(19-$C28,2)=0))),Flows!$C29,0))</f>
        <v/>
      </c>
      <c r="Y28" s="13">
        <f>IF(OR($A28="",Flows!$C29=""),0,IF(AND(20&lt;=Setup!$B$5,20&gt;=$C28,OR(AND($E28="once",20=$C28),AND($E28="weekly",20&lt;=$D28),AND($E28="biweekly",20&lt;=$D28,MOD(20-$C28,2)=0))),Flows!$C29,0))</f>
        <v/>
      </c>
      <c r="Z28" s="13">
        <f>IF(OR($A28="",Flows!$C29=""),0,IF(AND(21&lt;=Setup!$B$5,21&gt;=$C28,OR(AND($E28="once",21=$C28),AND($E28="weekly",21&lt;=$D28),AND($E28="biweekly",21&lt;=$D28,MOD(21-$C28,2)=0))),Flows!$C29,0))</f>
        <v/>
      </c>
      <c r="AA28" s="13">
        <f>IF(OR($A28="",Flows!$C29=""),0,IF(AND(22&lt;=Setup!$B$5,22&gt;=$C28,OR(AND($E28="once",22=$C28),AND($E28="weekly",22&lt;=$D28),AND($E28="biweekly",22&lt;=$D28,MOD(22-$C28,2)=0))),Flows!$C29,0))</f>
        <v/>
      </c>
      <c r="AB28" s="13">
        <f>IF(OR($A28="",Flows!$C29=""),0,IF(AND(23&lt;=Setup!$B$5,23&gt;=$C28,OR(AND($E28="once",23=$C28),AND($E28="weekly",23&lt;=$D28),AND($E28="biweekly",23&lt;=$D28,MOD(23-$C28,2)=0))),Flows!$C29,0))</f>
        <v/>
      </c>
      <c r="AC28" s="13">
        <f>IF(OR($A28="",Flows!$C29=""),0,IF(AND(24&lt;=Setup!$B$5,24&gt;=$C28,OR(AND($E28="once",24=$C28),AND($E28="weekly",24&lt;=$D28),AND($E28="biweekly",24&lt;=$D28,MOD(24-$C28,2)=0))),Flows!$C29,0))</f>
        <v/>
      </c>
      <c r="AD28" s="13">
        <f>IF(OR($A28="",Flows!$C29=""),0,IF(AND(25&lt;=Setup!$B$5,25&gt;=$C28,OR(AND($E28="once",25=$C28),AND($E28="weekly",25&lt;=$D28),AND($E28="biweekly",25&lt;=$D28,MOD(25-$C28,2)=0))),Flows!$C29,0))</f>
        <v/>
      </c>
      <c r="AE28" s="13">
        <f>IF(OR($A28="",Flows!$C29=""),0,IF(AND(26&lt;=Setup!$B$5,26&gt;=$C28,OR(AND($E28="once",26=$C28),AND($E28="weekly",26&lt;=$D28),AND($E28="biweekly",26&lt;=$D28,MOD(26-$C28,2)=0))),Flows!$C29,0))</f>
        <v/>
      </c>
      <c r="AF28" s="13">
        <f>IF(OR($A28="",Flows!$C29=""),0,IF(AND(27&lt;=Setup!$B$5,27&gt;=$C28,OR(AND($E28="once",27=$C28),AND($E28="weekly",27&lt;=$D28),AND($E28="biweekly",27&lt;=$D28,MOD(27-$C28,2)=0))),Flows!$C29,0))</f>
        <v/>
      </c>
      <c r="AG28" s="13">
        <f>IF(OR($A28="",Flows!$C29=""),0,IF(AND(28&lt;=Setup!$B$5,28&gt;=$C28,OR(AND($E28="once",28=$C28),AND($E28="weekly",28&lt;=$D28),AND($E28="biweekly",28&lt;=$D28,MOD(28-$C28,2)=0))),Flows!$C29,0))</f>
        <v/>
      </c>
      <c r="AH28" s="13">
        <f>IF(OR($A28="",Flows!$C29=""),0,IF(AND(29&lt;=Setup!$B$5,29&gt;=$C28,OR(AND($E28="once",29=$C28),AND($E28="weekly",29&lt;=$D28),AND($E28="biweekly",29&lt;=$D28,MOD(29-$C28,2)=0))),Flows!$C29,0))</f>
        <v/>
      </c>
      <c r="AI28" s="13">
        <f>IF(OR($A28="",Flows!$C29=""),0,IF(AND(30&lt;=Setup!$B$5,30&gt;=$C28,OR(AND($E28="once",30=$C28),AND($E28="weekly",30&lt;=$D28),AND($E28="biweekly",30&lt;=$D28,MOD(30-$C28,2)=0))),Flows!$C29,0))</f>
        <v/>
      </c>
      <c r="AJ28" s="13">
        <f>IF(OR($A28="",Flows!$C29=""),0,IF(AND(31&lt;=Setup!$B$5,31&gt;=$C28,OR(AND($E28="once",31=$C28),AND($E28="weekly",31&lt;=$D28),AND($E28="biweekly",31&lt;=$D28,MOD(31-$C28,2)=0))),Flows!$C29,0))</f>
        <v/>
      </c>
      <c r="AK28" s="13">
        <f>IF(OR($A28="",Flows!$C29=""),0,IF(AND(32&lt;=Setup!$B$5,32&gt;=$C28,OR(AND($E28="once",32=$C28),AND($E28="weekly",32&lt;=$D28),AND($E28="biweekly",32&lt;=$D28,MOD(32-$C28,2)=0))),Flows!$C29,0))</f>
        <v/>
      </c>
      <c r="AL28" s="13">
        <f>IF(OR($A28="",Flows!$C29=""),0,IF(AND(33&lt;=Setup!$B$5,33&gt;=$C28,OR(AND($E28="once",33=$C28),AND($E28="weekly",33&lt;=$D28),AND($E28="biweekly",33&lt;=$D28,MOD(33-$C28,2)=0))),Flows!$C29,0))</f>
        <v/>
      </c>
      <c r="AM28" s="13">
        <f>IF(OR($A28="",Flows!$C29=""),0,IF(AND(34&lt;=Setup!$B$5,34&gt;=$C28,OR(AND($E28="once",34=$C28),AND($E28="weekly",34&lt;=$D28),AND($E28="biweekly",34&lt;=$D28,MOD(34-$C28,2)=0))),Flows!$C29,0))</f>
        <v/>
      </c>
      <c r="AN28" s="13">
        <f>IF(OR($A28="",Flows!$C29=""),0,IF(AND(35&lt;=Setup!$B$5,35&gt;=$C28,OR(AND($E28="once",35=$C28),AND($E28="weekly",35&lt;=$D28),AND($E28="biweekly",35&lt;=$D28,MOD(35-$C28,2)=0))),Flows!$C29,0))</f>
        <v/>
      </c>
      <c r="AO28" s="13">
        <f>IF(OR($A28="",Flows!$C29=""),0,IF(AND(36&lt;=Setup!$B$5,36&gt;=$C28,OR(AND($E28="once",36=$C28),AND($E28="weekly",36&lt;=$D28),AND($E28="biweekly",36&lt;=$D28,MOD(36-$C28,2)=0))),Flows!$C29,0))</f>
        <v/>
      </c>
      <c r="AP28" s="13">
        <f>IF(OR($A28="",Flows!$C29=""),0,IF(AND(37&lt;=Setup!$B$5,37&gt;=$C28,OR(AND($E28="once",37=$C28),AND($E28="weekly",37&lt;=$D28),AND($E28="biweekly",37&lt;=$D28,MOD(37-$C28,2)=0))),Flows!$C29,0))</f>
        <v/>
      </c>
      <c r="AQ28" s="13">
        <f>IF(OR($A28="",Flows!$C29=""),0,IF(AND(38&lt;=Setup!$B$5,38&gt;=$C28,OR(AND($E28="once",38=$C28),AND($E28="weekly",38&lt;=$D28),AND($E28="biweekly",38&lt;=$D28,MOD(38-$C28,2)=0))),Flows!$C29,0))</f>
        <v/>
      </c>
      <c r="AR28" s="13">
        <f>IF(OR($A28="",Flows!$C29=""),0,IF(AND(39&lt;=Setup!$B$5,39&gt;=$C28,OR(AND($E28="once",39=$C28),AND($E28="weekly",39&lt;=$D28),AND($E28="biweekly",39&lt;=$D28,MOD(39-$C28,2)=0))),Flows!$C29,0))</f>
        <v/>
      </c>
      <c r="AS28" s="13">
        <f>IF(OR($A28="",Flows!$C29=""),0,IF(AND(40&lt;=Setup!$B$5,40&gt;=$C28,OR(AND($E28="once",40=$C28),AND($E28="weekly",40&lt;=$D28),AND($E28="biweekly",40&lt;=$D28,MOD(40-$C28,2)=0))),Flows!$C29,0))</f>
        <v/>
      </c>
      <c r="AT28" s="13">
        <f>IF(OR($A28="",Flows!$C29=""),0,IF(AND(41&lt;=Setup!$B$5,41&gt;=$C28,OR(AND($E28="once",41=$C28),AND($E28="weekly",41&lt;=$D28),AND($E28="biweekly",41&lt;=$D28,MOD(41-$C28,2)=0))),Flows!$C29,0))</f>
        <v/>
      </c>
      <c r="AU28" s="13">
        <f>IF(OR($A28="",Flows!$C29=""),0,IF(AND(42&lt;=Setup!$B$5,42&gt;=$C28,OR(AND($E28="once",42=$C28),AND($E28="weekly",42&lt;=$D28),AND($E28="biweekly",42&lt;=$D28,MOD(42-$C28,2)=0))),Flows!$C29,0))</f>
        <v/>
      </c>
      <c r="AV28" s="13">
        <f>IF(OR($A28="",Flows!$C29=""),0,IF(AND(43&lt;=Setup!$B$5,43&gt;=$C28,OR(AND($E28="once",43=$C28),AND($E28="weekly",43&lt;=$D28),AND($E28="biweekly",43&lt;=$D28,MOD(43-$C28,2)=0))),Flows!$C29,0))</f>
        <v/>
      </c>
      <c r="AW28" s="13">
        <f>IF(OR($A28="",Flows!$C29=""),0,IF(AND(44&lt;=Setup!$B$5,44&gt;=$C28,OR(AND($E28="once",44=$C28),AND($E28="weekly",44&lt;=$D28),AND($E28="biweekly",44&lt;=$D28,MOD(44-$C28,2)=0))),Flows!$C29,0))</f>
        <v/>
      </c>
      <c r="AX28" s="13">
        <f>IF(OR($A28="",Flows!$C29=""),0,IF(AND(45&lt;=Setup!$B$5,45&gt;=$C28,OR(AND($E28="once",45=$C28),AND($E28="weekly",45&lt;=$D28),AND($E28="biweekly",45&lt;=$D28,MOD(45-$C28,2)=0))),Flows!$C29,0))</f>
        <v/>
      </c>
      <c r="AY28" s="13">
        <f>IF(OR($A28="",Flows!$C29=""),0,IF(AND(46&lt;=Setup!$B$5,46&gt;=$C28,OR(AND($E28="once",46=$C28),AND($E28="weekly",46&lt;=$D28),AND($E28="biweekly",46&lt;=$D28,MOD(46-$C28,2)=0))),Flows!$C29,0))</f>
        <v/>
      </c>
      <c r="AZ28" s="13">
        <f>IF(OR($A28="",Flows!$C29=""),0,IF(AND(47&lt;=Setup!$B$5,47&gt;=$C28,OR(AND($E28="once",47=$C28),AND($E28="weekly",47&lt;=$D28),AND($E28="biweekly",47&lt;=$D28,MOD(47-$C28,2)=0))),Flows!$C29,0))</f>
        <v/>
      </c>
      <c r="BA28" s="13">
        <f>IF(OR($A28="",Flows!$C29=""),0,IF(AND(48&lt;=Setup!$B$5,48&gt;=$C28,OR(AND($E28="once",48=$C28),AND($E28="weekly",48&lt;=$D28),AND($E28="biweekly",48&lt;=$D28,MOD(48-$C28,2)=0))),Flows!$C29,0))</f>
        <v/>
      </c>
      <c r="BB28" s="13">
        <f>IF(OR($A28="",Flows!$C29=""),0,IF(AND(49&lt;=Setup!$B$5,49&gt;=$C28,OR(AND($E28="once",49=$C28),AND($E28="weekly",49&lt;=$D28),AND($E28="biweekly",49&lt;=$D28,MOD(49-$C28,2)=0))),Flows!$C29,0))</f>
        <v/>
      </c>
      <c r="BC28" s="13">
        <f>IF(OR($A28="",Flows!$C29=""),0,IF(AND(50&lt;=Setup!$B$5,50&gt;=$C28,OR(AND($E28="once",50=$C28),AND($E28="weekly",50&lt;=$D28),AND($E28="biweekly",50&lt;=$D28,MOD(50-$C28,2)=0))),Flows!$C29,0))</f>
        <v/>
      </c>
      <c r="BD28" s="13">
        <f>IF(OR($A28="",Flows!$C29=""),0,IF(AND(51&lt;=Setup!$B$5,51&gt;=$C28,OR(AND($E28="once",51=$C28),AND($E28="weekly",51&lt;=$D28),AND($E28="biweekly",51&lt;=$D28,MOD(51-$C28,2)=0))),Flows!$C29,0))</f>
        <v/>
      </c>
      <c r="BE28" s="13">
        <f>IF(OR($A28="",Flows!$C29=""),0,IF(AND(52&lt;=Setup!$B$5,52&gt;=$C28,OR(AND($E28="once",52=$C28),AND($E28="weekly",52&lt;=$D28),AND($E28="biweekly",52&lt;=$D28,MOD(52-$C28,2)=0))),Flows!$C29,0))</f>
        <v/>
      </c>
    </row>
    <row r="29">
      <c r="A29" s="7">
        <f>IF(Flows!A30="","",LOWER(Flows!A30))</f>
        <v/>
      </c>
      <c r="B29" s="7">
        <f>IF(Flows!B30="","",Flows!B30)</f>
        <v/>
      </c>
      <c r="C29" s="7">
        <f>N(Flows!D30)</f>
        <v/>
      </c>
      <c r="D29" s="7">
        <f>IF(Flows!F30="",Setup!$B$5,Flows!F30)</f>
        <v/>
      </c>
      <c r="E29" s="7">
        <f>IF(Flows!E30="","once",LOWER(Flows!E30))</f>
        <v/>
      </c>
      <c r="F29" s="13">
        <f>IF(OR($A29="",Flows!$C30=""),0,IF(AND(1&lt;=Setup!$B$5,1&gt;=$C29,OR(AND($E29="once",1=$C29),AND($E29="weekly",1&lt;=$D29),AND($E29="biweekly",1&lt;=$D29,MOD(1-$C29,2)=0))),Flows!$C30,0))</f>
        <v/>
      </c>
      <c r="G29" s="13">
        <f>IF(OR($A29="",Flows!$C30=""),0,IF(AND(2&lt;=Setup!$B$5,2&gt;=$C29,OR(AND($E29="once",2=$C29),AND($E29="weekly",2&lt;=$D29),AND($E29="biweekly",2&lt;=$D29,MOD(2-$C29,2)=0))),Flows!$C30,0))</f>
        <v/>
      </c>
      <c r="H29" s="13">
        <f>IF(OR($A29="",Flows!$C30=""),0,IF(AND(3&lt;=Setup!$B$5,3&gt;=$C29,OR(AND($E29="once",3=$C29),AND($E29="weekly",3&lt;=$D29),AND($E29="biweekly",3&lt;=$D29,MOD(3-$C29,2)=0))),Flows!$C30,0))</f>
        <v/>
      </c>
      <c r="I29" s="13">
        <f>IF(OR($A29="",Flows!$C30=""),0,IF(AND(4&lt;=Setup!$B$5,4&gt;=$C29,OR(AND($E29="once",4=$C29),AND($E29="weekly",4&lt;=$D29),AND($E29="biweekly",4&lt;=$D29,MOD(4-$C29,2)=0))),Flows!$C30,0))</f>
        <v/>
      </c>
      <c r="J29" s="13">
        <f>IF(OR($A29="",Flows!$C30=""),0,IF(AND(5&lt;=Setup!$B$5,5&gt;=$C29,OR(AND($E29="once",5=$C29),AND($E29="weekly",5&lt;=$D29),AND($E29="biweekly",5&lt;=$D29,MOD(5-$C29,2)=0))),Flows!$C30,0))</f>
        <v/>
      </c>
      <c r="K29" s="13">
        <f>IF(OR($A29="",Flows!$C30=""),0,IF(AND(6&lt;=Setup!$B$5,6&gt;=$C29,OR(AND($E29="once",6=$C29),AND($E29="weekly",6&lt;=$D29),AND($E29="biweekly",6&lt;=$D29,MOD(6-$C29,2)=0))),Flows!$C30,0))</f>
        <v/>
      </c>
      <c r="L29" s="13">
        <f>IF(OR($A29="",Flows!$C30=""),0,IF(AND(7&lt;=Setup!$B$5,7&gt;=$C29,OR(AND($E29="once",7=$C29),AND($E29="weekly",7&lt;=$D29),AND($E29="biweekly",7&lt;=$D29,MOD(7-$C29,2)=0))),Flows!$C30,0))</f>
        <v/>
      </c>
      <c r="M29" s="13">
        <f>IF(OR($A29="",Flows!$C30=""),0,IF(AND(8&lt;=Setup!$B$5,8&gt;=$C29,OR(AND($E29="once",8=$C29),AND($E29="weekly",8&lt;=$D29),AND($E29="biweekly",8&lt;=$D29,MOD(8-$C29,2)=0))),Flows!$C30,0))</f>
        <v/>
      </c>
      <c r="N29" s="13">
        <f>IF(OR($A29="",Flows!$C30=""),0,IF(AND(9&lt;=Setup!$B$5,9&gt;=$C29,OR(AND($E29="once",9=$C29),AND($E29="weekly",9&lt;=$D29),AND($E29="biweekly",9&lt;=$D29,MOD(9-$C29,2)=0))),Flows!$C30,0))</f>
        <v/>
      </c>
      <c r="O29" s="13">
        <f>IF(OR($A29="",Flows!$C30=""),0,IF(AND(10&lt;=Setup!$B$5,10&gt;=$C29,OR(AND($E29="once",10=$C29),AND($E29="weekly",10&lt;=$D29),AND($E29="biweekly",10&lt;=$D29,MOD(10-$C29,2)=0))),Flows!$C30,0))</f>
        <v/>
      </c>
      <c r="P29" s="13">
        <f>IF(OR($A29="",Flows!$C30=""),0,IF(AND(11&lt;=Setup!$B$5,11&gt;=$C29,OR(AND($E29="once",11=$C29),AND($E29="weekly",11&lt;=$D29),AND($E29="biweekly",11&lt;=$D29,MOD(11-$C29,2)=0))),Flows!$C30,0))</f>
        <v/>
      </c>
      <c r="Q29" s="13">
        <f>IF(OR($A29="",Flows!$C30=""),0,IF(AND(12&lt;=Setup!$B$5,12&gt;=$C29,OR(AND($E29="once",12=$C29),AND($E29="weekly",12&lt;=$D29),AND($E29="biweekly",12&lt;=$D29,MOD(12-$C29,2)=0))),Flows!$C30,0))</f>
        <v/>
      </c>
      <c r="R29" s="13">
        <f>IF(OR($A29="",Flows!$C30=""),0,IF(AND(13&lt;=Setup!$B$5,13&gt;=$C29,OR(AND($E29="once",13=$C29),AND($E29="weekly",13&lt;=$D29),AND($E29="biweekly",13&lt;=$D29,MOD(13-$C29,2)=0))),Flows!$C30,0))</f>
        <v/>
      </c>
      <c r="S29" s="13">
        <f>IF(OR($A29="",Flows!$C30=""),0,IF(AND(14&lt;=Setup!$B$5,14&gt;=$C29,OR(AND($E29="once",14=$C29),AND($E29="weekly",14&lt;=$D29),AND($E29="biweekly",14&lt;=$D29,MOD(14-$C29,2)=0))),Flows!$C30,0))</f>
        <v/>
      </c>
      <c r="T29" s="13">
        <f>IF(OR($A29="",Flows!$C30=""),0,IF(AND(15&lt;=Setup!$B$5,15&gt;=$C29,OR(AND($E29="once",15=$C29),AND($E29="weekly",15&lt;=$D29),AND($E29="biweekly",15&lt;=$D29,MOD(15-$C29,2)=0))),Flows!$C30,0))</f>
        <v/>
      </c>
      <c r="U29" s="13">
        <f>IF(OR($A29="",Flows!$C30=""),0,IF(AND(16&lt;=Setup!$B$5,16&gt;=$C29,OR(AND($E29="once",16=$C29),AND($E29="weekly",16&lt;=$D29),AND($E29="biweekly",16&lt;=$D29,MOD(16-$C29,2)=0))),Flows!$C30,0))</f>
        <v/>
      </c>
      <c r="V29" s="13">
        <f>IF(OR($A29="",Flows!$C30=""),0,IF(AND(17&lt;=Setup!$B$5,17&gt;=$C29,OR(AND($E29="once",17=$C29),AND($E29="weekly",17&lt;=$D29),AND($E29="biweekly",17&lt;=$D29,MOD(17-$C29,2)=0))),Flows!$C30,0))</f>
        <v/>
      </c>
      <c r="W29" s="13">
        <f>IF(OR($A29="",Flows!$C30=""),0,IF(AND(18&lt;=Setup!$B$5,18&gt;=$C29,OR(AND($E29="once",18=$C29),AND($E29="weekly",18&lt;=$D29),AND($E29="biweekly",18&lt;=$D29,MOD(18-$C29,2)=0))),Flows!$C30,0))</f>
        <v/>
      </c>
      <c r="X29" s="13">
        <f>IF(OR($A29="",Flows!$C30=""),0,IF(AND(19&lt;=Setup!$B$5,19&gt;=$C29,OR(AND($E29="once",19=$C29),AND($E29="weekly",19&lt;=$D29),AND($E29="biweekly",19&lt;=$D29,MOD(19-$C29,2)=0))),Flows!$C30,0))</f>
        <v/>
      </c>
      <c r="Y29" s="13">
        <f>IF(OR($A29="",Flows!$C30=""),0,IF(AND(20&lt;=Setup!$B$5,20&gt;=$C29,OR(AND($E29="once",20=$C29),AND($E29="weekly",20&lt;=$D29),AND($E29="biweekly",20&lt;=$D29,MOD(20-$C29,2)=0))),Flows!$C30,0))</f>
        <v/>
      </c>
      <c r="Z29" s="13">
        <f>IF(OR($A29="",Flows!$C30=""),0,IF(AND(21&lt;=Setup!$B$5,21&gt;=$C29,OR(AND($E29="once",21=$C29),AND($E29="weekly",21&lt;=$D29),AND($E29="biweekly",21&lt;=$D29,MOD(21-$C29,2)=0))),Flows!$C30,0))</f>
        <v/>
      </c>
      <c r="AA29" s="13">
        <f>IF(OR($A29="",Flows!$C30=""),0,IF(AND(22&lt;=Setup!$B$5,22&gt;=$C29,OR(AND($E29="once",22=$C29),AND($E29="weekly",22&lt;=$D29),AND($E29="biweekly",22&lt;=$D29,MOD(22-$C29,2)=0))),Flows!$C30,0))</f>
        <v/>
      </c>
      <c r="AB29" s="13">
        <f>IF(OR($A29="",Flows!$C30=""),0,IF(AND(23&lt;=Setup!$B$5,23&gt;=$C29,OR(AND($E29="once",23=$C29),AND($E29="weekly",23&lt;=$D29),AND($E29="biweekly",23&lt;=$D29,MOD(23-$C29,2)=0))),Flows!$C30,0))</f>
        <v/>
      </c>
      <c r="AC29" s="13">
        <f>IF(OR($A29="",Flows!$C30=""),0,IF(AND(24&lt;=Setup!$B$5,24&gt;=$C29,OR(AND($E29="once",24=$C29),AND($E29="weekly",24&lt;=$D29),AND($E29="biweekly",24&lt;=$D29,MOD(24-$C29,2)=0))),Flows!$C30,0))</f>
        <v/>
      </c>
      <c r="AD29" s="13">
        <f>IF(OR($A29="",Flows!$C30=""),0,IF(AND(25&lt;=Setup!$B$5,25&gt;=$C29,OR(AND($E29="once",25=$C29),AND($E29="weekly",25&lt;=$D29),AND($E29="biweekly",25&lt;=$D29,MOD(25-$C29,2)=0))),Flows!$C30,0))</f>
        <v/>
      </c>
      <c r="AE29" s="13">
        <f>IF(OR($A29="",Flows!$C30=""),0,IF(AND(26&lt;=Setup!$B$5,26&gt;=$C29,OR(AND($E29="once",26=$C29),AND($E29="weekly",26&lt;=$D29),AND($E29="biweekly",26&lt;=$D29,MOD(26-$C29,2)=0))),Flows!$C30,0))</f>
        <v/>
      </c>
      <c r="AF29" s="13">
        <f>IF(OR($A29="",Flows!$C30=""),0,IF(AND(27&lt;=Setup!$B$5,27&gt;=$C29,OR(AND($E29="once",27=$C29),AND($E29="weekly",27&lt;=$D29),AND($E29="biweekly",27&lt;=$D29,MOD(27-$C29,2)=0))),Flows!$C30,0))</f>
        <v/>
      </c>
      <c r="AG29" s="13">
        <f>IF(OR($A29="",Flows!$C30=""),0,IF(AND(28&lt;=Setup!$B$5,28&gt;=$C29,OR(AND($E29="once",28=$C29),AND($E29="weekly",28&lt;=$D29),AND($E29="biweekly",28&lt;=$D29,MOD(28-$C29,2)=0))),Flows!$C30,0))</f>
        <v/>
      </c>
      <c r="AH29" s="13">
        <f>IF(OR($A29="",Flows!$C30=""),0,IF(AND(29&lt;=Setup!$B$5,29&gt;=$C29,OR(AND($E29="once",29=$C29),AND($E29="weekly",29&lt;=$D29),AND($E29="biweekly",29&lt;=$D29,MOD(29-$C29,2)=0))),Flows!$C30,0))</f>
        <v/>
      </c>
      <c r="AI29" s="13">
        <f>IF(OR($A29="",Flows!$C30=""),0,IF(AND(30&lt;=Setup!$B$5,30&gt;=$C29,OR(AND($E29="once",30=$C29),AND($E29="weekly",30&lt;=$D29),AND($E29="biweekly",30&lt;=$D29,MOD(30-$C29,2)=0))),Flows!$C30,0))</f>
        <v/>
      </c>
      <c r="AJ29" s="13">
        <f>IF(OR($A29="",Flows!$C30=""),0,IF(AND(31&lt;=Setup!$B$5,31&gt;=$C29,OR(AND($E29="once",31=$C29),AND($E29="weekly",31&lt;=$D29),AND($E29="biweekly",31&lt;=$D29,MOD(31-$C29,2)=0))),Flows!$C30,0))</f>
        <v/>
      </c>
      <c r="AK29" s="13">
        <f>IF(OR($A29="",Flows!$C30=""),0,IF(AND(32&lt;=Setup!$B$5,32&gt;=$C29,OR(AND($E29="once",32=$C29),AND($E29="weekly",32&lt;=$D29),AND($E29="biweekly",32&lt;=$D29,MOD(32-$C29,2)=0))),Flows!$C30,0))</f>
        <v/>
      </c>
      <c r="AL29" s="13">
        <f>IF(OR($A29="",Flows!$C30=""),0,IF(AND(33&lt;=Setup!$B$5,33&gt;=$C29,OR(AND($E29="once",33=$C29),AND($E29="weekly",33&lt;=$D29),AND($E29="biweekly",33&lt;=$D29,MOD(33-$C29,2)=0))),Flows!$C30,0))</f>
        <v/>
      </c>
      <c r="AM29" s="13">
        <f>IF(OR($A29="",Flows!$C30=""),0,IF(AND(34&lt;=Setup!$B$5,34&gt;=$C29,OR(AND($E29="once",34=$C29),AND($E29="weekly",34&lt;=$D29),AND($E29="biweekly",34&lt;=$D29,MOD(34-$C29,2)=0))),Flows!$C30,0))</f>
        <v/>
      </c>
      <c r="AN29" s="13">
        <f>IF(OR($A29="",Flows!$C30=""),0,IF(AND(35&lt;=Setup!$B$5,35&gt;=$C29,OR(AND($E29="once",35=$C29),AND($E29="weekly",35&lt;=$D29),AND($E29="biweekly",35&lt;=$D29,MOD(35-$C29,2)=0))),Flows!$C30,0))</f>
        <v/>
      </c>
      <c r="AO29" s="13">
        <f>IF(OR($A29="",Flows!$C30=""),0,IF(AND(36&lt;=Setup!$B$5,36&gt;=$C29,OR(AND($E29="once",36=$C29),AND($E29="weekly",36&lt;=$D29),AND($E29="biweekly",36&lt;=$D29,MOD(36-$C29,2)=0))),Flows!$C30,0))</f>
        <v/>
      </c>
      <c r="AP29" s="13">
        <f>IF(OR($A29="",Flows!$C30=""),0,IF(AND(37&lt;=Setup!$B$5,37&gt;=$C29,OR(AND($E29="once",37=$C29),AND($E29="weekly",37&lt;=$D29),AND($E29="biweekly",37&lt;=$D29,MOD(37-$C29,2)=0))),Flows!$C30,0))</f>
        <v/>
      </c>
      <c r="AQ29" s="13">
        <f>IF(OR($A29="",Flows!$C30=""),0,IF(AND(38&lt;=Setup!$B$5,38&gt;=$C29,OR(AND($E29="once",38=$C29),AND($E29="weekly",38&lt;=$D29),AND($E29="biweekly",38&lt;=$D29,MOD(38-$C29,2)=0))),Flows!$C30,0))</f>
        <v/>
      </c>
      <c r="AR29" s="13">
        <f>IF(OR($A29="",Flows!$C30=""),0,IF(AND(39&lt;=Setup!$B$5,39&gt;=$C29,OR(AND($E29="once",39=$C29),AND($E29="weekly",39&lt;=$D29),AND($E29="biweekly",39&lt;=$D29,MOD(39-$C29,2)=0))),Flows!$C30,0))</f>
        <v/>
      </c>
      <c r="AS29" s="13">
        <f>IF(OR($A29="",Flows!$C30=""),0,IF(AND(40&lt;=Setup!$B$5,40&gt;=$C29,OR(AND($E29="once",40=$C29),AND($E29="weekly",40&lt;=$D29),AND($E29="biweekly",40&lt;=$D29,MOD(40-$C29,2)=0))),Flows!$C30,0))</f>
        <v/>
      </c>
      <c r="AT29" s="13">
        <f>IF(OR($A29="",Flows!$C30=""),0,IF(AND(41&lt;=Setup!$B$5,41&gt;=$C29,OR(AND($E29="once",41=$C29),AND($E29="weekly",41&lt;=$D29),AND($E29="biweekly",41&lt;=$D29,MOD(41-$C29,2)=0))),Flows!$C30,0))</f>
        <v/>
      </c>
      <c r="AU29" s="13">
        <f>IF(OR($A29="",Flows!$C30=""),0,IF(AND(42&lt;=Setup!$B$5,42&gt;=$C29,OR(AND($E29="once",42=$C29),AND($E29="weekly",42&lt;=$D29),AND($E29="biweekly",42&lt;=$D29,MOD(42-$C29,2)=0))),Flows!$C30,0))</f>
        <v/>
      </c>
      <c r="AV29" s="13">
        <f>IF(OR($A29="",Flows!$C30=""),0,IF(AND(43&lt;=Setup!$B$5,43&gt;=$C29,OR(AND($E29="once",43=$C29),AND($E29="weekly",43&lt;=$D29),AND($E29="biweekly",43&lt;=$D29,MOD(43-$C29,2)=0))),Flows!$C30,0))</f>
        <v/>
      </c>
      <c r="AW29" s="13">
        <f>IF(OR($A29="",Flows!$C30=""),0,IF(AND(44&lt;=Setup!$B$5,44&gt;=$C29,OR(AND($E29="once",44=$C29),AND($E29="weekly",44&lt;=$D29),AND($E29="biweekly",44&lt;=$D29,MOD(44-$C29,2)=0))),Flows!$C30,0))</f>
        <v/>
      </c>
      <c r="AX29" s="13">
        <f>IF(OR($A29="",Flows!$C30=""),0,IF(AND(45&lt;=Setup!$B$5,45&gt;=$C29,OR(AND($E29="once",45=$C29),AND($E29="weekly",45&lt;=$D29),AND($E29="biweekly",45&lt;=$D29,MOD(45-$C29,2)=0))),Flows!$C30,0))</f>
        <v/>
      </c>
      <c r="AY29" s="13">
        <f>IF(OR($A29="",Flows!$C30=""),0,IF(AND(46&lt;=Setup!$B$5,46&gt;=$C29,OR(AND($E29="once",46=$C29),AND($E29="weekly",46&lt;=$D29),AND($E29="biweekly",46&lt;=$D29,MOD(46-$C29,2)=0))),Flows!$C30,0))</f>
        <v/>
      </c>
      <c r="AZ29" s="13">
        <f>IF(OR($A29="",Flows!$C30=""),0,IF(AND(47&lt;=Setup!$B$5,47&gt;=$C29,OR(AND($E29="once",47=$C29),AND($E29="weekly",47&lt;=$D29),AND($E29="biweekly",47&lt;=$D29,MOD(47-$C29,2)=0))),Flows!$C30,0))</f>
        <v/>
      </c>
      <c r="BA29" s="13">
        <f>IF(OR($A29="",Flows!$C30=""),0,IF(AND(48&lt;=Setup!$B$5,48&gt;=$C29,OR(AND($E29="once",48=$C29),AND($E29="weekly",48&lt;=$D29),AND($E29="biweekly",48&lt;=$D29,MOD(48-$C29,2)=0))),Flows!$C30,0))</f>
        <v/>
      </c>
      <c r="BB29" s="13">
        <f>IF(OR($A29="",Flows!$C30=""),0,IF(AND(49&lt;=Setup!$B$5,49&gt;=$C29,OR(AND($E29="once",49=$C29),AND($E29="weekly",49&lt;=$D29),AND($E29="biweekly",49&lt;=$D29,MOD(49-$C29,2)=0))),Flows!$C30,0))</f>
        <v/>
      </c>
      <c r="BC29" s="13">
        <f>IF(OR($A29="",Flows!$C30=""),0,IF(AND(50&lt;=Setup!$B$5,50&gt;=$C29,OR(AND($E29="once",50=$C29),AND($E29="weekly",50&lt;=$D29),AND($E29="biweekly",50&lt;=$D29,MOD(50-$C29,2)=0))),Flows!$C30,0))</f>
        <v/>
      </c>
      <c r="BD29" s="13">
        <f>IF(OR($A29="",Flows!$C30=""),0,IF(AND(51&lt;=Setup!$B$5,51&gt;=$C29,OR(AND($E29="once",51=$C29),AND($E29="weekly",51&lt;=$D29),AND($E29="biweekly",51&lt;=$D29,MOD(51-$C29,2)=0))),Flows!$C30,0))</f>
        <v/>
      </c>
      <c r="BE29" s="13">
        <f>IF(OR($A29="",Flows!$C30=""),0,IF(AND(52&lt;=Setup!$B$5,52&gt;=$C29,OR(AND($E29="once",52=$C29),AND($E29="weekly",52&lt;=$D29),AND($E29="biweekly",52&lt;=$D29,MOD(52-$C29,2)=0))),Flows!$C30,0))</f>
        <v/>
      </c>
    </row>
    <row r="30">
      <c r="A30" s="7">
        <f>IF(Flows!A31="","",LOWER(Flows!A31))</f>
        <v/>
      </c>
      <c r="B30" s="7">
        <f>IF(Flows!B31="","",Flows!B31)</f>
        <v/>
      </c>
      <c r="C30" s="7">
        <f>N(Flows!D31)</f>
        <v/>
      </c>
      <c r="D30" s="7">
        <f>IF(Flows!F31="",Setup!$B$5,Flows!F31)</f>
        <v/>
      </c>
      <c r="E30" s="7">
        <f>IF(Flows!E31="","once",LOWER(Flows!E31))</f>
        <v/>
      </c>
      <c r="F30" s="13">
        <f>IF(OR($A30="",Flows!$C31=""),0,IF(AND(1&lt;=Setup!$B$5,1&gt;=$C30,OR(AND($E30="once",1=$C30),AND($E30="weekly",1&lt;=$D30),AND($E30="biweekly",1&lt;=$D30,MOD(1-$C30,2)=0))),Flows!$C31,0))</f>
        <v/>
      </c>
      <c r="G30" s="13">
        <f>IF(OR($A30="",Flows!$C31=""),0,IF(AND(2&lt;=Setup!$B$5,2&gt;=$C30,OR(AND($E30="once",2=$C30),AND($E30="weekly",2&lt;=$D30),AND($E30="biweekly",2&lt;=$D30,MOD(2-$C30,2)=0))),Flows!$C31,0))</f>
        <v/>
      </c>
      <c r="H30" s="13">
        <f>IF(OR($A30="",Flows!$C31=""),0,IF(AND(3&lt;=Setup!$B$5,3&gt;=$C30,OR(AND($E30="once",3=$C30),AND($E30="weekly",3&lt;=$D30),AND($E30="biweekly",3&lt;=$D30,MOD(3-$C30,2)=0))),Flows!$C31,0))</f>
        <v/>
      </c>
      <c r="I30" s="13">
        <f>IF(OR($A30="",Flows!$C31=""),0,IF(AND(4&lt;=Setup!$B$5,4&gt;=$C30,OR(AND($E30="once",4=$C30),AND($E30="weekly",4&lt;=$D30),AND($E30="biweekly",4&lt;=$D30,MOD(4-$C30,2)=0))),Flows!$C31,0))</f>
        <v/>
      </c>
      <c r="J30" s="13">
        <f>IF(OR($A30="",Flows!$C31=""),0,IF(AND(5&lt;=Setup!$B$5,5&gt;=$C30,OR(AND($E30="once",5=$C30),AND($E30="weekly",5&lt;=$D30),AND($E30="biweekly",5&lt;=$D30,MOD(5-$C30,2)=0))),Flows!$C31,0))</f>
        <v/>
      </c>
      <c r="K30" s="13">
        <f>IF(OR($A30="",Flows!$C31=""),0,IF(AND(6&lt;=Setup!$B$5,6&gt;=$C30,OR(AND($E30="once",6=$C30),AND($E30="weekly",6&lt;=$D30),AND($E30="biweekly",6&lt;=$D30,MOD(6-$C30,2)=0))),Flows!$C31,0))</f>
        <v/>
      </c>
      <c r="L30" s="13">
        <f>IF(OR($A30="",Flows!$C31=""),0,IF(AND(7&lt;=Setup!$B$5,7&gt;=$C30,OR(AND($E30="once",7=$C30),AND($E30="weekly",7&lt;=$D30),AND($E30="biweekly",7&lt;=$D30,MOD(7-$C30,2)=0))),Flows!$C31,0))</f>
        <v/>
      </c>
      <c r="M30" s="13">
        <f>IF(OR($A30="",Flows!$C31=""),0,IF(AND(8&lt;=Setup!$B$5,8&gt;=$C30,OR(AND($E30="once",8=$C30),AND($E30="weekly",8&lt;=$D30),AND($E30="biweekly",8&lt;=$D30,MOD(8-$C30,2)=0))),Flows!$C31,0))</f>
        <v/>
      </c>
      <c r="N30" s="13">
        <f>IF(OR($A30="",Flows!$C31=""),0,IF(AND(9&lt;=Setup!$B$5,9&gt;=$C30,OR(AND($E30="once",9=$C30),AND($E30="weekly",9&lt;=$D30),AND($E30="biweekly",9&lt;=$D30,MOD(9-$C30,2)=0))),Flows!$C31,0))</f>
        <v/>
      </c>
      <c r="O30" s="13">
        <f>IF(OR($A30="",Flows!$C31=""),0,IF(AND(10&lt;=Setup!$B$5,10&gt;=$C30,OR(AND($E30="once",10=$C30),AND($E30="weekly",10&lt;=$D30),AND($E30="biweekly",10&lt;=$D30,MOD(10-$C30,2)=0))),Flows!$C31,0))</f>
        <v/>
      </c>
      <c r="P30" s="13">
        <f>IF(OR($A30="",Flows!$C31=""),0,IF(AND(11&lt;=Setup!$B$5,11&gt;=$C30,OR(AND($E30="once",11=$C30),AND($E30="weekly",11&lt;=$D30),AND($E30="biweekly",11&lt;=$D30,MOD(11-$C30,2)=0))),Flows!$C31,0))</f>
        <v/>
      </c>
      <c r="Q30" s="13">
        <f>IF(OR($A30="",Flows!$C31=""),0,IF(AND(12&lt;=Setup!$B$5,12&gt;=$C30,OR(AND($E30="once",12=$C30),AND($E30="weekly",12&lt;=$D30),AND($E30="biweekly",12&lt;=$D30,MOD(12-$C30,2)=0))),Flows!$C31,0))</f>
        <v/>
      </c>
      <c r="R30" s="13">
        <f>IF(OR($A30="",Flows!$C31=""),0,IF(AND(13&lt;=Setup!$B$5,13&gt;=$C30,OR(AND($E30="once",13=$C30),AND($E30="weekly",13&lt;=$D30),AND($E30="biweekly",13&lt;=$D30,MOD(13-$C30,2)=0))),Flows!$C31,0))</f>
        <v/>
      </c>
      <c r="S30" s="13">
        <f>IF(OR($A30="",Flows!$C31=""),0,IF(AND(14&lt;=Setup!$B$5,14&gt;=$C30,OR(AND($E30="once",14=$C30),AND($E30="weekly",14&lt;=$D30),AND($E30="biweekly",14&lt;=$D30,MOD(14-$C30,2)=0))),Flows!$C31,0))</f>
        <v/>
      </c>
      <c r="T30" s="13">
        <f>IF(OR($A30="",Flows!$C31=""),0,IF(AND(15&lt;=Setup!$B$5,15&gt;=$C30,OR(AND($E30="once",15=$C30),AND($E30="weekly",15&lt;=$D30),AND($E30="biweekly",15&lt;=$D30,MOD(15-$C30,2)=0))),Flows!$C31,0))</f>
        <v/>
      </c>
      <c r="U30" s="13">
        <f>IF(OR($A30="",Flows!$C31=""),0,IF(AND(16&lt;=Setup!$B$5,16&gt;=$C30,OR(AND($E30="once",16=$C30),AND($E30="weekly",16&lt;=$D30),AND($E30="biweekly",16&lt;=$D30,MOD(16-$C30,2)=0))),Flows!$C31,0))</f>
        <v/>
      </c>
      <c r="V30" s="13">
        <f>IF(OR($A30="",Flows!$C31=""),0,IF(AND(17&lt;=Setup!$B$5,17&gt;=$C30,OR(AND($E30="once",17=$C30),AND($E30="weekly",17&lt;=$D30),AND($E30="biweekly",17&lt;=$D30,MOD(17-$C30,2)=0))),Flows!$C31,0))</f>
        <v/>
      </c>
      <c r="W30" s="13">
        <f>IF(OR($A30="",Flows!$C31=""),0,IF(AND(18&lt;=Setup!$B$5,18&gt;=$C30,OR(AND($E30="once",18=$C30),AND($E30="weekly",18&lt;=$D30),AND($E30="biweekly",18&lt;=$D30,MOD(18-$C30,2)=0))),Flows!$C31,0))</f>
        <v/>
      </c>
      <c r="X30" s="13">
        <f>IF(OR($A30="",Flows!$C31=""),0,IF(AND(19&lt;=Setup!$B$5,19&gt;=$C30,OR(AND($E30="once",19=$C30),AND($E30="weekly",19&lt;=$D30),AND($E30="biweekly",19&lt;=$D30,MOD(19-$C30,2)=0))),Flows!$C31,0))</f>
        <v/>
      </c>
      <c r="Y30" s="13">
        <f>IF(OR($A30="",Flows!$C31=""),0,IF(AND(20&lt;=Setup!$B$5,20&gt;=$C30,OR(AND($E30="once",20=$C30),AND($E30="weekly",20&lt;=$D30),AND($E30="biweekly",20&lt;=$D30,MOD(20-$C30,2)=0))),Flows!$C31,0))</f>
        <v/>
      </c>
      <c r="Z30" s="13">
        <f>IF(OR($A30="",Flows!$C31=""),0,IF(AND(21&lt;=Setup!$B$5,21&gt;=$C30,OR(AND($E30="once",21=$C30),AND($E30="weekly",21&lt;=$D30),AND($E30="biweekly",21&lt;=$D30,MOD(21-$C30,2)=0))),Flows!$C31,0))</f>
        <v/>
      </c>
      <c r="AA30" s="13">
        <f>IF(OR($A30="",Flows!$C31=""),0,IF(AND(22&lt;=Setup!$B$5,22&gt;=$C30,OR(AND($E30="once",22=$C30),AND($E30="weekly",22&lt;=$D30),AND($E30="biweekly",22&lt;=$D30,MOD(22-$C30,2)=0))),Flows!$C31,0))</f>
        <v/>
      </c>
      <c r="AB30" s="13">
        <f>IF(OR($A30="",Flows!$C31=""),0,IF(AND(23&lt;=Setup!$B$5,23&gt;=$C30,OR(AND($E30="once",23=$C30),AND($E30="weekly",23&lt;=$D30),AND($E30="biweekly",23&lt;=$D30,MOD(23-$C30,2)=0))),Flows!$C31,0))</f>
        <v/>
      </c>
      <c r="AC30" s="13">
        <f>IF(OR($A30="",Flows!$C31=""),0,IF(AND(24&lt;=Setup!$B$5,24&gt;=$C30,OR(AND($E30="once",24=$C30),AND($E30="weekly",24&lt;=$D30),AND($E30="biweekly",24&lt;=$D30,MOD(24-$C30,2)=0))),Flows!$C31,0))</f>
        <v/>
      </c>
      <c r="AD30" s="13">
        <f>IF(OR($A30="",Flows!$C31=""),0,IF(AND(25&lt;=Setup!$B$5,25&gt;=$C30,OR(AND($E30="once",25=$C30),AND($E30="weekly",25&lt;=$D30),AND($E30="biweekly",25&lt;=$D30,MOD(25-$C30,2)=0))),Flows!$C31,0))</f>
        <v/>
      </c>
      <c r="AE30" s="13">
        <f>IF(OR($A30="",Flows!$C31=""),0,IF(AND(26&lt;=Setup!$B$5,26&gt;=$C30,OR(AND($E30="once",26=$C30),AND($E30="weekly",26&lt;=$D30),AND($E30="biweekly",26&lt;=$D30,MOD(26-$C30,2)=0))),Flows!$C31,0))</f>
        <v/>
      </c>
      <c r="AF30" s="13">
        <f>IF(OR($A30="",Flows!$C31=""),0,IF(AND(27&lt;=Setup!$B$5,27&gt;=$C30,OR(AND($E30="once",27=$C30),AND($E30="weekly",27&lt;=$D30),AND($E30="biweekly",27&lt;=$D30,MOD(27-$C30,2)=0))),Flows!$C31,0))</f>
        <v/>
      </c>
      <c r="AG30" s="13">
        <f>IF(OR($A30="",Flows!$C31=""),0,IF(AND(28&lt;=Setup!$B$5,28&gt;=$C30,OR(AND($E30="once",28=$C30),AND($E30="weekly",28&lt;=$D30),AND($E30="biweekly",28&lt;=$D30,MOD(28-$C30,2)=0))),Flows!$C31,0))</f>
        <v/>
      </c>
      <c r="AH30" s="13">
        <f>IF(OR($A30="",Flows!$C31=""),0,IF(AND(29&lt;=Setup!$B$5,29&gt;=$C30,OR(AND($E30="once",29=$C30),AND($E30="weekly",29&lt;=$D30),AND($E30="biweekly",29&lt;=$D30,MOD(29-$C30,2)=0))),Flows!$C31,0))</f>
        <v/>
      </c>
      <c r="AI30" s="13">
        <f>IF(OR($A30="",Flows!$C31=""),0,IF(AND(30&lt;=Setup!$B$5,30&gt;=$C30,OR(AND($E30="once",30=$C30),AND($E30="weekly",30&lt;=$D30),AND($E30="biweekly",30&lt;=$D30,MOD(30-$C30,2)=0))),Flows!$C31,0))</f>
        <v/>
      </c>
      <c r="AJ30" s="13">
        <f>IF(OR($A30="",Flows!$C31=""),0,IF(AND(31&lt;=Setup!$B$5,31&gt;=$C30,OR(AND($E30="once",31=$C30),AND($E30="weekly",31&lt;=$D30),AND($E30="biweekly",31&lt;=$D30,MOD(31-$C30,2)=0))),Flows!$C31,0))</f>
        <v/>
      </c>
      <c r="AK30" s="13">
        <f>IF(OR($A30="",Flows!$C31=""),0,IF(AND(32&lt;=Setup!$B$5,32&gt;=$C30,OR(AND($E30="once",32=$C30),AND($E30="weekly",32&lt;=$D30),AND($E30="biweekly",32&lt;=$D30,MOD(32-$C30,2)=0))),Flows!$C31,0))</f>
        <v/>
      </c>
      <c r="AL30" s="13">
        <f>IF(OR($A30="",Flows!$C31=""),0,IF(AND(33&lt;=Setup!$B$5,33&gt;=$C30,OR(AND($E30="once",33=$C30),AND($E30="weekly",33&lt;=$D30),AND($E30="biweekly",33&lt;=$D30,MOD(33-$C30,2)=0))),Flows!$C31,0))</f>
        <v/>
      </c>
      <c r="AM30" s="13">
        <f>IF(OR($A30="",Flows!$C31=""),0,IF(AND(34&lt;=Setup!$B$5,34&gt;=$C30,OR(AND($E30="once",34=$C30),AND($E30="weekly",34&lt;=$D30),AND($E30="biweekly",34&lt;=$D30,MOD(34-$C30,2)=0))),Flows!$C31,0))</f>
        <v/>
      </c>
      <c r="AN30" s="13">
        <f>IF(OR($A30="",Flows!$C31=""),0,IF(AND(35&lt;=Setup!$B$5,35&gt;=$C30,OR(AND($E30="once",35=$C30),AND($E30="weekly",35&lt;=$D30),AND($E30="biweekly",35&lt;=$D30,MOD(35-$C30,2)=0))),Flows!$C31,0))</f>
        <v/>
      </c>
      <c r="AO30" s="13">
        <f>IF(OR($A30="",Flows!$C31=""),0,IF(AND(36&lt;=Setup!$B$5,36&gt;=$C30,OR(AND($E30="once",36=$C30),AND($E30="weekly",36&lt;=$D30),AND($E30="biweekly",36&lt;=$D30,MOD(36-$C30,2)=0))),Flows!$C31,0))</f>
        <v/>
      </c>
      <c r="AP30" s="13">
        <f>IF(OR($A30="",Flows!$C31=""),0,IF(AND(37&lt;=Setup!$B$5,37&gt;=$C30,OR(AND($E30="once",37=$C30),AND($E30="weekly",37&lt;=$D30),AND($E30="biweekly",37&lt;=$D30,MOD(37-$C30,2)=0))),Flows!$C31,0))</f>
        <v/>
      </c>
      <c r="AQ30" s="13">
        <f>IF(OR($A30="",Flows!$C31=""),0,IF(AND(38&lt;=Setup!$B$5,38&gt;=$C30,OR(AND($E30="once",38=$C30),AND($E30="weekly",38&lt;=$D30),AND($E30="biweekly",38&lt;=$D30,MOD(38-$C30,2)=0))),Flows!$C31,0))</f>
        <v/>
      </c>
      <c r="AR30" s="13">
        <f>IF(OR($A30="",Flows!$C31=""),0,IF(AND(39&lt;=Setup!$B$5,39&gt;=$C30,OR(AND($E30="once",39=$C30),AND($E30="weekly",39&lt;=$D30),AND($E30="biweekly",39&lt;=$D30,MOD(39-$C30,2)=0))),Flows!$C31,0))</f>
        <v/>
      </c>
      <c r="AS30" s="13">
        <f>IF(OR($A30="",Flows!$C31=""),0,IF(AND(40&lt;=Setup!$B$5,40&gt;=$C30,OR(AND($E30="once",40=$C30),AND($E30="weekly",40&lt;=$D30),AND($E30="biweekly",40&lt;=$D30,MOD(40-$C30,2)=0))),Flows!$C31,0))</f>
        <v/>
      </c>
      <c r="AT30" s="13">
        <f>IF(OR($A30="",Flows!$C31=""),0,IF(AND(41&lt;=Setup!$B$5,41&gt;=$C30,OR(AND($E30="once",41=$C30),AND($E30="weekly",41&lt;=$D30),AND($E30="biweekly",41&lt;=$D30,MOD(41-$C30,2)=0))),Flows!$C31,0))</f>
        <v/>
      </c>
      <c r="AU30" s="13">
        <f>IF(OR($A30="",Flows!$C31=""),0,IF(AND(42&lt;=Setup!$B$5,42&gt;=$C30,OR(AND($E30="once",42=$C30),AND($E30="weekly",42&lt;=$D30),AND($E30="biweekly",42&lt;=$D30,MOD(42-$C30,2)=0))),Flows!$C31,0))</f>
        <v/>
      </c>
      <c r="AV30" s="13">
        <f>IF(OR($A30="",Flows!$C31=""),0,IF(AND(43&lt;=Setup!$B$5,43&gt;=$C30,OR(AND($E30="once",43=$C30),AND($E30="weekly",43&lt;=$D30),AND($E30="biweekly",43&lt;=$D30,MOD(43-$C30,2)=0))),Flows!$C31,0))</f>
        <v/>
      </c>
      <c r="AW30" s="13">
        <f>IF(OR($A30="",Flows!$C31=""),0,IF(AND(44&lt;=Setup!$B$5,44&gt;=$C30,OR(AND($E30="once",44=$C30),AND($E30="weekly",44&lt;=$D30),AND($E30="biweekly",44&lt;=$D30,MOD(44-$C30,2)=0))),Flows!$C31,0))</f>
        <v/>
      </c>
      <c r="AX30" s="13">
        <f>IF(OR($A30="",Flows!$C31=""),0,IF(AND(45&lt;=Setup!$B$5,45&gt;=$C30,OR(AND($E30="once",45=$C30),AND($E30="weekly",45&lt;=$D30),AND($E30="biweekly",45&lt;=$D30,MOD(45-$C30,2)=0))),Flows!$C31,0))</f>
        <v/>
      </c>
      <c r="AY30" s="13">
        <f>IF(OR($A30="",Flows!$C31=""),0,IF(AND(46&lt;=Setup!$B$5,46&gt;=$C30,OR(AND($E30="once",46=$C30),AND($E30="weekly",46&lt;=$D30),AND($E30="biweekly",46&lt;=$D30,MOD(46-$C30,2)=0))),Flows!$C31,0))</f>
        <v/>
      </c>
      <c r="AZ30" s="13">
        <f>IF(OR($A30="",Flows!$C31=""),0,IF(AND(47&lt;=Setup!$B$5,47&gt;=$C30,OR(AND($E30="once",47=$C30),AND($E30="weekly",47&lt;=$D30),AND($E30="biweekly",47&lt;=$D30,MOD(47-$C30,2)=0))),Flows!$C31,0))</f>
        <v/>
      </c>
      <c r="BA30" s="13">
        <f>IF(OR($A30="",Flows!$C31=""),0,IF(AND(48&lt;=Setup!$B$5,48&gt;=$C30,OR(AND($E30="once",48=$C30),AND($E30="weekly",48&lt;=$D30),AND($E30="biweekly",48&lt;=$D30,MOD(48-$C30,2)=0))),Flows!$C31,0))</f>
        <v/>
      </c>
      <c r="BB30" s="13">
        <f>IF(OR($A30="",Flows!$C31=""),0,IF(AND(49&lt;=Setup!$B$5,49&gt;=$C30,OR(AND($E30="once",49=$C30),AND($E30="weekly",49&lt;=$D30),AND($E30="biweekly",49&lt;=$D30,MOD(49-$C30,2)=0))),Flows!$C31,0))</f>
        <v/>
      </c>
      <c r="BC30" s="13">
        <f>IF(OR($A30="",Flows!$C31=""),0,IF(AND(50&lt;=Setup!$B$5,50&gt;=$C30,OR(AND($E30="once",50=$C30),AND($E30="weekly",50&lt;=$D30),AND($E30="biweekly",50&lt;=$D30,MOD(50-$C30,2)=0))),Flows!$C31,0))</f>
        <v/>
      </c>
      <c r="BD30" s="13">
        <f>IF(OR($A30="",Flows!$C31=""),0,IF(AND(51&lt;=Setup!$B$5,51&gt;=$C30,OR(AND($E30="once",51=$C30),AND($E30="weekly",51&lt;=$D30),AND($E30="biweekly",51&lt;=$D30,MOD(51-$C30,2)=0))),Flows!$C31,0))</f>
        <v/>
      </c>
      <c r="BE30" s="13">
        <f>IF(OR($A30="",Flows!$C31=""),0,IF(AND(52&lt;=Setup!$B$5,52&gt;=$C30,OR(AND($E30="once",52=$C30),AND($E30="weekly",52&lt;=$D30),AND($E30="biweekly",52&lt;=$D30,MOD(52-$C30,2)=0))),Flows!$C31,0))</f>
        <v/>
      </c>
    </row>
    <row r="31">
      <c r="A31" s="7">
        <f>IF(Flows!A32="","",LOWER(Flows!A32))</f>
        <v/>
      </c>
      <c r="B31" s="7">
        <f>IF(Flows!B32="","",Flows!B32)</f>
        <v/>
      </c>
      <c r="C31" s="7">
        <f>N(Flows!D32)</f>
        <v/>
      </c>
      <c r="D31" s="7">
        <f>IF(Flows!F32="",Setup!$B$5,Flows!F32)</f>
        <v/>
      </c>
      <c r="E31" s="7">
        <f>IF(Flows!E32="","once",LOWER(Flows!E32))</f>
        <v/>
      </c>
      <c r="F31" s="13">
        <f>IF(OR($A31="",Flows!$C32=""),0,IF(AND(1&lt;=Setup!$B$5,1&gt;=$C31,OR(AND($E31="once",1=$C31),AND($E31="weekly",1&lt;=$D31),AND($E31="biweekly",1&lt;=$D31,MOD(1-$C31,2)=0))),Flows!$C32,0))</f>
        <v/>
      </c>
      <c r="G31" s="13">
        <f>IF(OR($A31="",Flows!$C32=""),0,IF(AND(2&lt;=Setup!$B$5,2&gt;=$C31,OR(AND($E31="once",2=$C31),AND($E31="weekly",2&lt;=$D31),AND($E31="biweekly",2&lt;=$D31,MOD(2-$C31,2)=0))),Flows!$C32,0))</f>
        <v/>
      </c>
      <c r="H31" s="13">
        <f>IF(OR($A31="",Flows!$C32=""),0,IF(AND(3&lt;=Setup!$B$5,3&gt;=$C31,OR(AND($E31="once",3=$C31),AND($E31="weekly",3&lt;=$D31),AND($E31="biweekly",3&lt;=$D31,MOD(3-$C31,2)=0))),Flows!$C32,0))</f>
        <v/>
      </c>
      <c r="I31" s="13">
        <f>IF(OR($A31="",Flows!$C32=""),0,IF(AND(4&lt;=Setup!$B$5,4&gt;=$C31,OR(AND($E31="once",4=$C31),AND($E31="weekly",4&lt;=$D31),AND($E31="biweekly",4&lt;=$D31,MOD(4-$C31,2)=0))),Flows!$C32,0))</f>
        <v/>
      </c>
      <c r="J31" s="13">
        <f>IF(OR($A31="",Flows!$C32=""),0,IF(AND(5&lt;=Setup!$B$5,5&gt;=$C31,OR(AND($E31="once",5=$C31),AND($E31="weekly",5&lt;=$D31),AND($E31="biweekly",5&lt;=$D31,MOD(5-$C31,2)=0))),Flows!$C32,0))</f>
        <v/>
      </c>
      <c r="K31" s="13">
        <f>IF(OR($A31="",Flows!$C32=""),0,IF(AND(6&lt;=Setup!$B$5,6&gt;=$C31,OR(AND($E31="once",6=$C31),AND($E31="weekly",6&lt;=$D31),AND($E31="biweekly",6&lt;=$D31,MOD(6-$C31,2)=0))),Flows!$C32,0))</f>
        <v/>
      </c>
      <c r="L31" s="13">
        <f>IF(OR($A31="",Flows!$C32=""),0,IF(AND(7&lt;=Setup!$B$5,7&gt;=$C31,OR(AND($E31="once",7=$C31),AND($E31="weekly",7&lt;=$D31),AND($E31="biweekly",7&lt;=$D31,MOD(7-$C31,2)=0))),Flows!$C32,0))</f>
        <v/>
      </c>
      <c r="M31" s="13">
        <f>IF(OR($A31="",Flows!$C32=""),0,IF(AND(8&lt;=Setup!$B$5,8&gt;=$C31,OR(AND($E31="once",8=$C31),AND($E31="weekly",8&lt;=$D31),AND($E31="biweekly",8&lt;=$D31,MOD(8-$C31,2)=0))),Flows!$C32,0))</f>
        <v/>
      </c>
      <c r="N31" s="13">
        <f>IF(OR($A31="",Flows!$C32=""),0,IF(AND(9&lt;=Setup!$B$5,9&gt;=$C31,OR(AND($E31="once",9=$C31),AND($E31="weekly",9&lt;=$D31),AND($E31="biweekly",9&lt;=$D31,MOD(9-$C31,2)=0))),Flows!$C32,0))</f>
        <v/>
      </c>
      <c r="O31" s="13">
        <f>IF(OR($A31="",Flows!$C32=""),0,IF(AND(10&lt;=Setup!$B$5,10&gt;=$C31,OR(AND($E31="once",10=$C31),AND($E31="weekly",10&lt;=$D31),AND($E31="biweekly",10&lt;=$D31,MOD(10-$C31,2)=0))),Flows!$C32,0))</f>
        <v/>
      </c>
      <c r="P31" s="13">
        <f>IF(OR($A31="",Flows!$C32=""),0,IF(AND(11&lt;=Setup!$B$5,11&gt;=$C31,OR(AND($E31="once",11=$C31),AND($E31="weekly",11&lt;=$D31),AND($E31="biweekly",11&lt;=$D31,MOD(11-$C31,2)=0))),Flows!$C32,0))</f>
        <v/>
      </c>
      <c r="Q31" s="13">
        <f>IF(OR($A31="",Flows!$C32=""),0,IF(AND(12&lt;=Setup!$B$5,12&gt;=$C31,OR(AND($E31="once",12=$C31),AND($E31="weekly",12&lt;=$D31),AND($E31="biweekly",12&lt;=$D31,MOD(12-$C31,2)=0))),Flows!$C32,0))</f>
        <v/>
      </c>
      <c r="R31" s="13">
        <f>IF(OR($A31="",Flows!$C32=""),0,IF(AND(13&lt;=Setup!$B$5,13&gt;=$C31,OR(AND($E31="once",13=$C31),AND($E31="weekly",13&lt;=$D31),AND($E31="biweekly",13&lt;=$D31,MOD(13-$C31,2)=0))),Flows!$C32,0))</f>
        <v/>
      </c>
      <c r="S31" s="13">
        <f>IF(OR($A31="",Flows!$C32=""),0,IF(AND(14&lt;=Setup!$B$5,14&gt;=$C31,OR(AND($E31="once",14=$C31),AND($E31="weekly",14&lt;=$D31),AND($E31="biweekly",14&lt;=$D31,MOD(14-$C31,2)=0))),Flows!$C32,0))</f>
        <v/>
      </c>
      <c r="T31" s="13">
        <f>IF(OR($A31="",Flows!$C32=""),0,IF(AND(15&lt;=Setup!$B$5,15&gt;=$C31,OR(AND($E31="once",15=$C31),AND($E31="weekly",15&lt;=$D31),AND($E31="biweekly",15&lt;=$D31,MOD(15-$C31,2)=0))),Flows!$C32,0))</f>
        <v/>
      </c>
      <c r="U31" s="13">
        <f>IF(OR($A31="",Flows!$C32=""),0,IF(AND(16&lt;=Setup!$B$5,16&gt;=$C31,OR(AND($E31="once",16=$C31),AND($E31="weekly",16&lt;=$D31),AND($E31="biweekly",16&lt;=$D31,MOD(16-$C31,2)=0))),Flows!$C32,0))</f>
        <v/>
      </c>
      <c r="V31" s="13">
        <f>IF(OR($A31="",Flows!$C32=""),0,IF(AND(17&lt;=Setup!$B$5,17&gt;=$C31,OR(AND($E31="once",17=$C31),AND($E31="weekly",17&lt;=$D31),AND($E31="biweekly",17&lt;=$D31,MOD(17-$C31,2)=0))),Flows!$C32,0))</f>
        <v/>
      </c>
      <c r="W31" s="13">
        <f>IF(OR($A31="",Flows!$C32=""),0,IF(AND(18&lt;=Setup!$B$5,18&gt;=$C31,OR(AND($E31="once",18=$C31),AND($E31="weekly",18&lt;=$D31),AND($E31="biweekly",18&lt;=$D31,MOD(18-$C31,2)=0))),Flows!$C32,0))</f>
        <v/>
      </c>
      <c r="X31" s="13">
        <f>IF(OR($A31="",Flows!$C32=""),0,IF(AND(19&lt;=Setup!$B$5,19&gt;=$C31,OR(AND($E31="once",19=$C31),AND($E31="weekly",19&lt;=$D31),AND($E31="biweekly",19&lt;=$D31,MOD(19-$C31,2)=0))),Flows!$C32,0))</f>
        <v/>
      </c>
      <c r="Y31" s="13">
        <f>IF(OR($A31="",Flows!$C32=""),0,IF(AND(20&lt;=Setup!$B$5,20&gt;=$C31,OR(AND($E31="once",20=$C31),AND($E31="weekly",20&lt;=$D31),AND($E31="biweekly",20&lt;=$D31,MOD(20-$C31,2)=0))),Flows!$C32,0))</f>
        <v/>
      </c>
      <c r="Z31" s="13">
        <f>IF(OR($A31="",Flows!$C32=""),0,IF(AND(21&lt;=Setup!$B$5,21&gt;=$C31,OR(AND($E31="once",21=$C31),AND($E31="weekly",21&lt;=$D31),AND($E31="biweekly",21&lt;=$D31,MOD(21-$C31,2)=0))),Flows!$C32,0))</f>
        <v/>
      </c>
      <c r="AA31" s="13">
        <f>IF(OR($A31="",Flows!$C32=""),0,IF(AND(22&lt;=Setup!$B$5,22&gt;=$C31,OR(AND($E31="once",22=$C31),AND($E31="weekly",22&lt;=$D31),AND($E31="biweekly",22&lt;=$D31,MOD(22-$C31,2)=0))),Flows!$C32,0))</f>
        <v/>
      </c>
      <c r="AB31" s="13">
        <f>IF(OR($A31="",Flows!$C32=""),0,IF(AND(23&lt;=Setup!$B$5,23&gt;=$C31,OR(AND($E31="once",23=$C31),AND($E31="weekly",23&lt;=$D31),AND($E31="biweekly",23&lt;=$D31,MOD(23-$C31,2)=0))),Flows!$C32,0))</f>
        <v/>
      </c>
      <c r="AC31" s="13">
        <f>IF(OR($A31="",Flows!$C32=""),0,IF(AND(24&lt;=Setup!$B$5,24&gt;=$C31,OR(AND($E31="once",24=$C31),AND($E31="weekly",24&lt;=$D31),AND($E31="biweekly",24&lt;=$D31,MOD(24-$C31,2)=0))),Flows!$C32,0))</f>
        <v/>
      </c>
      <c r="AD31" s="13">
        <f>IF(OR($A31="",Flows!$C32=""),0,IF(AND(25&lt;=Setup!$B$5,25&gt;=$C31,OR(AND($E31="once",25=$C31),AND($E31="weekly",25&lt;=$D31),AND($E31="biweekly",25&lt;=$D31,MOD(25-$C31,2)=0))),Flows!$C32,0))</f>
        <v/>
      </c>
      <c r="AE31" s="13">
        <f>IF(OR($A31="",Flows!$C32=""),0,IF(AND(26&lt;=Setup!$B$5,26&gt;=$C31,OR(AND($E31="once",26=$C31),AND($E31="weekly",26&lt;=$D31),AND($E31="biweekly",26&lt;=$D31,MOD(26-$C31,2)=0))),Flows!$C32,0))</f>
        <v/>
      </c>
      <c r="AF31" s="13">
        <f>IF(OR($A31="",Flows!$C32=""),0,IF(AND(27&lt;=Setup!$B$5,27&gt;=$C31,OR(AND($E31="once",27=$C31),AND($E31="weekly",27&lt;=$D31),AND($E31="biweekly",27&lt;=$D31,MOD(27-$C31,2)=0))),Flows!$C32,0))</f>
        <v/>
      </c>
      <c r="AG31" s="13">
        <f>IF(OR($A31="",Flows!$C32=""),0,IF(AND(28&lt;=Setup!$B$5,28&gt;=$C31,OR(AND($E31="once",28=$C31),AND($E31="weekly",28&lt;=$D31),AND($E31="biweekly",28&lt;=$D31,MOD(28-$C31,2)=0))),Flows!$C32,0))</f>
        <v/>
      </c>
      <c r="AH31" s="13">
        <f>IF(OR($A31="",Flows!$C32=""),0,IF(AND(29&lt;=Setup!$B$5,29&gt;=$C31,OR(AND($E31="once",29=$C31),AND($E31="weekly",29&lt;=$D31),AND($E31="biweekly",29&lt;=$D31,MOD(29-$C31,2)=0))),Flows!$C32,0))</f>
        <v/>
      </c>
      <c r="AI31" s="13">
        <f>IF(OR($A31="",Flows!$C32=""),0,IF(AND(30&lt;=Setup!$B$5,30&gt;=$C31,OR(AND($E31="once",30=$C31),AND($E31="weekly",30&lt;=$D31),AND($E31="biweekly",30&lt;=$D31,MOD(30-$C31,2)=0))),Flows!$C32,0))</f>
        <v/>
      </c>
      <c r="AJ31" s="13">
        <f>IF(OR($A31="",Flows!$C32=""),0,IF(AND(31&lt;=Setup!$B$5,31&gt;=$C31,OR(AND($E31="once",31=$C31),AND($E31="weekly",31&lt;=$D31),AND($E31="biweekly",31&lt;=$D31,MOD(31-$C31,2)=0))),Flows!$C32,0))</f>
        <v/>
      </c>
      <c r="AK31" s="13">
        <f>IF(OR($A31="",Flows!$C32=""),0,IF(AND(32&lt;=Setup!$B$5,32&gt;=$C31,OR(AND($E31="once",32=$C31),AND($E31="weekly",32&lt;=$D31),AND($E31="biweekly",32&lt;=$D31,MOD(32-$C31,2)=0))),Flows!$C32,0))</f>
        <v/>
      </c>
      <c r="AL31" s="13">
        <f>IF(OR($A31="",Flows!$C32=""),0,IF(AND(33&lt;=Setup!$B$5,33&gt;=$C31,OR(AND($E31="once",33=$C31),AND($E31="weekly",33&lt;=$D31),AND($E31="biweekly",33&lt;=$D31,MOD(33-$C31,2)=0))),Flows!$C32,0))</f>
        <v/>
      </c>
      <c r="AM31" s="13">
        <f>IF(OR($A31="",Flows!$C32=""),0,IF(AND(34&lt;=Setup!$B$5,34&gt;=$C31,OR(AND($E31="once",34=$C31),AND($E31="weekly",34&lt;=$D31),AND($E31="biweekly",34&lt;=$D31,MOD(34-$C31,2)=0))),Flows!$C32,0))</f>
        <v/>
      </c>
      <c r="AN31" s="13">
        <f>IF(OR($A31="",Flows!$C32=""),0,IF(AND(35&lt;=Setup!$B$5,35&gt;=$C31,OR(AND($E31="once",35=$C31),AND($E31="weekly",35&lt;=$D31),AND($E31="biweekly",35&lt;=$D31,MOD(35-$C31,2)=0))),Flows!$C32,0))</f>
        <v/>
      </c>
      <c r="AO31" s="13">
        <f>IF(OR($A31="",Flows!$C32=""),0,IF(AND(36&lt;=Setup!$B$5,36&gt;=$C31,OR(AND($E31="once",36=$C31),AND($E31="weekly",36&lt;=$D31),AND($E31="biweekly",36&lt;=$D31,MOD(36-$C31,2)=0))),Flows!$C32,0))</f>
        <v/>
      </c>
      <c r="AP31" s="13">
        <f>IF(OR($A31="",Flows!$C32=""),0,IF(AND(37&lt;=Setup!$B$5,37&gt;=$C31,OR(AND($E31="once",37=$C31),AND($E31="weekly",37&lt;=$D31),AND($E31="biweekly",37&lt;=$D31,MOD(37-$C31,2)=0))),Flows!$C32,0))</f>
        <v/>
      </c>
      <c r="AQ31" s="13">
        <f>IF(OR($A31="",Flows!$C32=""),0,IF(AND(38&lt;=Setup!$B$5,38&gt;=$C31,OR(AND($E31="once",38=$C31),AND($E31="weekly",38&lt;=$D31),AND($E31="biweekly",38&lt;=$D31,MOD(38-$C31,2)=0))),Flows!$C32,0))</f>
        <v/>
      </c>
      <c r="AR31" s="13">
        <f>IF(OR($A31="",Flows!$C32=""),0,IF(AND(39&lt;=Setup!$B$5,39&gt;=$C31,OR(AND($E31="once",39=$C31),AND($E31="weekly",39&lt;=$D31),AND($E31="biweekly",39&lt;=$D31,MOD(39-$C31,2)=0))),Flows!$C32,0))</f>
        <v/>
      </c>
      <c r="AS31" s="13">
        <f>IF(OR($A31="",Flows!$C32=""),0,IF(AND(40&lt;=Setup!$B$5,40&gt;=$C31,OR(AND($E31="once",40=$C31),AND($E31="weekly",40&lt;=$D31),AND($E31="biweekly",40&lt;=$D31,MOD(40-$C31,2)=0))),Flows!$C32,0))</f>
        <v/>
      </c>
      <c r="AT31" s="13">
        <f>IF(OR($A31="",Flows!$C32=""),0,IF(AND(41&lt;=Setup!$B$5,41&gt;=$C31,OR(AND($E31="once",41=$C31),AND($E31="weekly",41&lt;=$D31),AND($E31="biweekly",41&lt;=$D31,MOD(41-$C31,2)=0))),Flows!$C32,0))</f>
        <v/>
      </c>
      <c r="AU31" s="13">
        <f>IF(OR($A31="",Flows!$C32=""),0,IF(AND(42&lt;=Setup!$B$5,42&gt;=$C31,OR(AND($E31="once",42=$C31),AND($E31="weekly",42&lt;=$D31),AND($E31="biweekly",42&lt;=$D31,MOD(42-$C31,2)=0))),Flows!$C32,0))</f>
        <v/>
      </c>
      <c r="AV31" s="13">
        <f>IF(OR($A31="",Flows!$C32=""),0,IF(AND(43&lt;=Setup!$B$5,43&gt;=$C31,OR(AND($E31="once",43=$C31),AND($E31="weekly",43&lt;=$D31),AND($E31="biweekly",43&lt;=$D31,MOD(43-$C31,2)=0))),Flows!$C32,0))</f>
        <v/>
      </c>
      <c r="AW31" s="13">
        <f>IF(OR($A31="",Flows!$C32=""),0,IF(AND(44&lt;=Setup!$B$5,44&gt;=$C31,OR(AND($E31="once",44=$C31),AND($E31="weekly",44&lt;=$D31),AND($E31="biweekly",44&lt;=$D31,MOD(44-$C31,2)=0))),Flows!$C32,0))</f>
        <v/>
      </c>
      <c r="AX31" s="13">
        <f>IF(OR($A31="",Flows!$C32=""),0,IF(AND(45&lt;=Setup!$B$5,45&gt;=$C31,OR(AND($E31="once",45=$C31),AND($E31="weekly",45&lt;=$D31),AND($E31="biweekly",45&lt;=$D31,MOD(45-$C31,2)=0))),Flows!$C32,0))</f>
        <v/>
      </c>
      <c r="AY31" s="13">
        <f>IF(OR($A31="",Flows!$C32=""),0,IF(AND(46&lt;=Setup!$B$5,46&gt;=$C31,OR(AND($E31="once",46=$C31),AND($E31="weekly",46&lt;=$D31),AND($E31="biweekly",46&lt;=$D31,MOD(46-$C31,2)=0))),Flows!$C32,0))</f>
        <v/>
      </c>
      <c r="AZ31" s="13">
        <f>IF(OR($A31="",Flows!$C32=""),0,IF(AND(47&lt;=Setup!$B$5,47&gt;=$C31,OR(AND($E31="once",47=$C31),AND($E31="weekly",47&lt;=$D31),AND($E31="biweekly",47&lt;=$D31,MOD(47-$C31,2)=0))),Flows!$C32,0))</f>
        <v/>
      </c>
      <c r="BA31" s="13">
        <f>IF(OR($A31="",Flows!$C32=""),0,IF(AND(48&lt;=Setup!$B$5,48&gt;=$C31,OR(AND($E31="once",48=$C31),AND($E31="weekly",48&lt;=$D31),AND($E31="biweekly",48&lt;=$D31,MOD(48-$C31,2)=0))),Flows!$C32,0))</f>
        <v/>
      </c>
      <c r="BB31" s="13">
        <f>IF(OR($A31="",Flows!$C32=""),0,IF(AND(49&lt;=Setup!$B$5,49&gt;=$C31,OR(AND($E31="once",49=$C31),AND($E31="weekly",49&lt;=$D31),AND($E31="biweekly",49&lt;=$D31,MOD(49-$C31,2)=0))),Flows!$C32,0))</f>
        <v/>
      </c>
      <c r="BC31" s="13">
        <f>IF(OR($A31="",Flows!$C32=""),0,IF(AND(50&lt;=Setup!$B$5,50&gt;=$C31,OR(AND($E31="once",50=$C31),AND($E31="weekly",50&lt;=$D31),AND($E31="biweekly",50&lt;=$D31,MOD(50-$C31,2)=0))),Flows!$C32,0))</f>
        <v/>
      </c>
      <c r="BD31" s="13">
        <f>IF(OR($A31="",Flows!$C32=""),0,IF(AND(51&lt;=Setup!$B$5,51&gt;=$C31,OR(AND($E31="once",51=$C31),AND($E31="weekly",51&lt;=$D31),AND($E31="biweekly",51&lt;=$D31,MOD(51-$C31,2)=0))),Flows!$C32,0))</f>
        <v/>
      </c>
      <c r="BE31" s="13">
        <f>IF(OR($A31="",Flows!$C32=""),0,IF(AND(52&lt;=Setup!$B$5,52&gt;=$C31,OR(AND($E31="once",52=$C31),AND($E31="weekly",52&lt;=$D31),AND($E31="biweekly",52&lt;=$D31,MOD(52-$C31,2)=0))),Flows!$C32,0))</f>
        <v/>
      </c>
    </row>
    <row r="32">
      <c r="A32" s="7">
        <f>IF(Flows!A33="","",LOWER(Flows!A33))</f>
        <v/>
      </c>
      <c r="B32" s="7">
        <f>IF(Flows!B33="","",Flows!B33)</f>
        <v/>
      </c>
      <c r="C32" s="7">
        <f>N(Flows!D33)</f>
        <v/>
      </c>
      <c r="D32" s="7">
        <f>IF(Flows!F33="",Setup!$B$5,Flows!F33)</f>
        <v/>
      </c>
      <c r="E32" s="7">
        <f>IF(Flows!E33="","once",LOWER(Flows!E33))</f>
        <v/>
      </c>
      <c r="F32" s="13">
        <f>IF(OR($A32="",Flows!$C33=""),0,IF(AND(1&lt;=Setup!$B$5,1&gt;=$C32,OR(AND($E32="once",1=$C32),AND($E32="weekly",1&lt;=$D32),AND($E32="biweekly",1&lt;=$D32,MOD(1-$C32,2)=0))),Flows!$C33,0))</f>
        <v/>
      </c>
      <c r="G32" s="13">
        <f>IF(OR($A32="",Flows!$C33=""),0,IF(AND(2&lt;=Setup!$B$5,2&gt;=$C32,OR(AND($E32="once",2=$C32),AND($E32="weekly",2&lt;=$D32),AND($E32="biweekly",2&lt;=$D32,MOD(2-$C32,2)=0))),Flows!$C33,0))</f>
        <v/>
      </c>
      <c r="H32" s="13">
        <f>IF(OR($A32="",Flows!$C33=""),0,IF(AND(3&lt;=Setup!$B$5,3&gt;=$C32,OR(AND($E32="once",3=$C32),AND($E32="weekly",3&lt;=$D32),AND($E32="biweekly",3&lt;=$D32,MOD(3-$C32,2)=0))),Flows!$C33,0))</f>
        <v/>
      </c>
      <c r="I32" s="13">
        <f>IF(OR($A32="",Flows!$C33=""),0,IF(AND(4&lt;=Setup!$B$5,4&gt;=$C32,OR(AND($E32="once",4=$C32),AND($E32="weekly",4&lt;=$D32),AND($E32="biweekly",4&lt;=$D32,MOD(4-$C32,2)=0))),Flows!$C33,0))</f>
        <v/>
      </c>
      <c r="J32" s="13">
        <f>IF(OR($A32="",Flows!$C33=""),0,IF(AND(5&lt;=Setup!$B$5,5&gt;=$C32,OR(AND($E32="once",5=$C32),AND($E32="weekly",5&lt;=$D32),AND($E32="biweekly",5&lt;=$D32,MOD(5-$C32,2)=0))),Flows!$C33,0))</f>
        <v/>
      </c>
      <c r="K32" s="13">
        <f>IF(OR($A32="",Flows!$C33=""),0,IF(AND(6&lt;=Setup!$B$5,6&gt;=$C32,OR(AND($E32="once",6=$C32),AND($E32="weekly",6&lt;=$D32),AND($E32="biweekly",6&lt;=$D32,MOD(6-$C32,2)=0))),Flows!$C33,0))</f>
        <v/>
      </c>
      <c r="L32" s="13">
        <f>IF(OR($A32="",Flows!$C33=""),0,IF(AND(7&lt;=Setup!$B$5,7&gt;=$C32,OR(AND($E32="once",7=$C32),AND($E32="weekly",7&lt;=$D32),AND($E32="biweekly",7&lt;=$D32,MOD(7-$C32,2)=0))),Flows!$C33,0))</f>
        <v/>
      </c>
      <c r="M32" s="13">
        <f>IF(OR($A32="",Flows!$C33=""),0,IF(AND(8&lt;=Setup!$B$5,8&gt;=$C32,OR(AND($E32="once",8=$C32),AND($E32="weekly",8&lt;=$D32),AND($E32="biweekly",8&lt;=$D32,MOD(8-$C32,2)=0))),Flows!$C33,0))</f>
        <v/>
      </c>
      <c r="N32" s="13">
        <f>IF(OR($A32="",Flows!$C33=""),0,IF(AND(9&lt;=Setup!$B$5,9&gt;=$C32,OR(AND($E32="once",9=$C32),AND($E32="weekly",9&lt;=$D32),AND($E32="biweekly",9&lt;=$D32,MOD(9-$C32,2)=0))),Flows!$C33,0))</f>
        <v/>
      </c>
      <c r="O32" s="13">
        <f>IF(OR($A32="",Flows!$C33=""),0,IF(AND(10&lt;=Setup!$B$5,10&gt;=$C32,OR(AND($E32="once",10=$C32),AND($E32="weekly",10&lt;=$D32),AND($E32="biweekly",10&lt;=$D32,MOD(10-$C32,2)=0))),Flows!$C33,0))</f>
        <v/>
      </c>
      <c r="P32" s="13">
        <f>IF(OR($A32="",Flows!$C33=""),0,IF(AND(11&lt;=Setup!$B$5,11&gt;=$C32,OR(AND($E32="once",11=$C32),AND($E32="weekly",11&lt;=$D32),AND($E32="biweekly",11&lt;=$D32,MOD(11-$C32,2)=0))),Flows!$C33,0))</f>
        <v/>
      </c>
      <c r="Q32" s="13">
        <f>IF(OR($A32="",Flows!$C33=""),0,IF(AND(12&lt;=Setup!$B$5,12&gt;=$C32,OR(AND($E32="once",12=$C32),AND($E32="weekly",12&lt;=$D32),AND($E32="biweekly",12&lt;=$D32,MOD(12-$C32,2)=0))),Flows!$C33,0))</f>
        <v/>
      </c>
      <c r="R32" s="13">
        <f>IF(OR($A32="",Flows!$C33=""),0,IF(AND(13&lt;=Setup!$B$5,13&gt;=$C32,OR(AND($E32="once",13=$C32),AND($E32="weekly",13&lt;=$D32),AND($E32="biweekly",13&lt;=$D32,MOD(13-$C32,2)=0))),Flows!$C33,0))</f>
        <v/>
      </c>
      <c r="S32" s="13">
        <f>IF(OR($A32="",Flows!$C33=""),0,IF(AND(14&lt;=Setup!$B$5,14&gt;=$C32,OR(AND($E32="once",14=$C32),AND($E32="weekly",14&lt;=$D32),AND($E32="biweekly",14&lt;=$D32,MOD(14-$C32,2)=0))),Flows!$C33,0))</f>
        <v/>
      </c>
      <c r="T32" s="13">
        <f>IF(OR($A32="",Flows!$C33=""),0,IF(AND(15&lt;=Setup!$B$5,15&gt;=$C32,OR(AND($E32="once",15=$C32),AND($E32="weekly",15&lt;=$D32),AND($E32="biweekly",15&lt;=$D32,MOD(15-$C32,2)=0))),Flows!$C33,0))</f>
        <v/>
      </c>
      <c r="U32" s="13">
        <f>IF(OR($A32="",Flows!$C33=""),0,IF(AND(16&lt;=Setup!$B$5,16&gt;=$C32,OR(AND($E32="once",16=$C32),AND($E32="weekly",16&lt;=$D32),AND($E32="biweekly",16&lt;=$D32,MOD(16-$C32,2)=0))),Flows!$C33,0))</f>
        <v/>
      </c>
      <c r="V32" s="13">
        <f>IF(OR($A32="",Flows!$C33=""),0,IF(AND(17&lt;=Setup!$B$5,17&gt;=$C32,OR(AND($E32="once",17=$C32),AND($E32="weekly",17&lt;=$D32),AND($E32="biweekly",17&lt;=$D32,MOD(17-$C32,2)=0))),Flows!$C33,0))</f>
        <v/>
      </c>
      <c r="W32" s="13">
        <f>IF(OR($A32="",Flows!$C33=""),0,IF(AND(18&lt;=Setup!$B$5,18&gt;=$C32,OR(AND($E32="once",18=$C32),AND($E32="weekly",18&lt;=$D32),AND($E32="biweekly",18&lt;=$D32,MOD(18-$C32,2)=0))),Flows!$C33,0))</f>
        <v/>
      </c>
      <c r="X32" s="13">
        <f>IF(OR($A32="",Flows!$C33=""),0,IF(AND(19&lt;=Setup!$B$5,19&gt;=$C32,OR(AND($E32="once",19=$C32),AND($E32="weekly",19&lt;=$D32),AND($E32="biweekly",19&lt;=$D32,MOD(19-$C32,2)=0))),Flows!$C33,0))</f>
        <v/>
      </c>
      <c r="Y32" s="13">
        <f>IF(OR($A32="",Flows!$C33=""),0,IF(AND(20&lt;=Setup!$B$5,20&gt;=$C32,OR(AND($E32="once",20=$C32),AND($E32="weekly",20&lt;=$D32),AND($E32="biweekly",20&lt;=$D32,MOD(20-$C32,2)=0))),Flows!$C33,0))</f>
        <v/>
      </c>
      <c r="Z32" s="13">
        <f>IF(OR($A32="",Flows!$C33=""),0,IF(AND(21&lt;=Setup!$B$5,21&gt;=$C32,OR(AND($E32="once",21=$C32),AND($E32="weekly",21&lt;=$D32),AND($E32="biweekly",21&lt;=$D32,MOD(21-$C32,2)=0))),Flows!$C33,0))</f>
        <v/>
      </c>
      <c r="AA32" s="13">
        <f>IF(OR($A32="",Flows!$C33=""),0,IF(AND(22&lt;=Setup!$B$5,22&gt;=$C32,OR(AND($E32="once",22=$C32),AND($E32="weekly",22&lt;=$D32),AND($E32="biweekly",22&lt;=$D32,MOD(22-$C32,2)=0))),Flows!$C33,0))</f>
        <v/>
      </c>
      <c r="AB32" s="13">
        <f>IF(OR($A32="",Flows!$C33=""),0,IF(AND(23&lt;=Setup!$B$5,23&gt;=$C32,OR(AND($E32="once",23=$C32),AND($E32="weekly",23&lt;=$D32),AND($E32="biweekly",23&lt;=$D32,MOD(23-$C32,2)=0))),Flows!$C33,0))</f>
        <v/>
      </c>
      <c r="AC32" s="13">
        <f>IF(OR($A32="",Flows!$C33=""),0,IF(AND(24&lt;=Setup!$B$5,24&gt;=$C32,OR(AND($E32="once",24=$C32),AND($E32="weekly",24&lt;=$D32),AND($E32="biweekly",24&lt;=$D32,MOD(24-$C32,2)=0))),Flows!$C33,0))</f>
        <v/>
      </c>
      <c r="AD32" s="13">
        <f>IF(OR($A32="",Flows!$C33=""),0,IF(AND(25&lt;=Setup!$B$5,25&gt;=$C32,OR(AND($E32="once",25=$C32),AND($E32="weekly",25&lt;=$D32),AND($E32="biweekly",25&lt;=$D32,MOD(25-$C32,2)=0))),Flows!$C33,0))</f>
        <v/>
      </c>
      <c r="AE32" s="13">
        <f>IF(OR($A32="",Flows!$C33=""),0,IF(AND(26&lt;=Setup!$B$5,26&gt;=$C32,OR(AND($E32="once",26=$C32),AND($E32="weekly",26&lt;=$D32),AND($E32="biweekly",26&lt;=$D32,MOD(26-$C32,2)=0))),Flows!$C33,0))</f>
        <v/>
      </c>
      <c r="AF32" s="13">
        <f>IF(OR($A32="",Flows!$C33=""),0,IF(AND(27&lt;=Setup!$B$5,27&gt;=$C32,OR(AND($E32="once",27=$C32),AND($E32="weekly",27&lt;=$D32),AND($E32="biweekly",27&lt;=$D32,MOD(27-$C32,2)=0))),Flows!$C33,0))</f>
        <v/>
      </c>
      <c r="AG32" s="13">
        <f>IF(OR($A32="",Flows!$C33=""),0,IF(AND(28&lt;=Setup!$B$5,28&gt;=$C32,OR(AND($E32="once",28=$C32),AND($E32="weekly",28&lt;=$D32),AND($E32="biweekly",28&lt;=$D32,MOD(28-$C32,2)=0))),Flows!$C33,0))</f>
        <v/>
      </c>
      <c r="AH32" s="13">
        <f>IF(OR($A32="",Flows!$C33=""),0,IF(AND(29&lt;=Setup!$B$5,29&gt;=$C32,OR(AND($E32="once",29=$C32),AND($E32="weekly",29&lt;=$D32),AND($E32="biweekly",29&lt;=$D32,MOD(29-$C32,2)=0))),Flows!$C33,0))</f>
        <v/>
      </c>
      <c r="AI32" s="13">
        <f>IF(OR($A32="",Flows!$C33=""),0,IF(AND(30&lt;=Setup!$B$5,30&gt;=$C32,OR(AND($E32="once",30=$C32),AND($E32="weekly",30&lt;=$D32),AND($E32="biweekly",30&lt;=$D32,MOD(30-$C32,2)=0))),Flows!$C33,0))</f>
        <v/>
      </c>
      <c r="AJ32" s="13">
        <f>IF(OR($A32="",Flows!$C33=""),0,IF(AND(31&lt;=Setup!$B$5,31&gt;=$C32,OR(AND($E32="once",31=$C32),AND($E32="weekly",31&lt;=$D32),AND($E32="biweekly",31&lt;=$D32,MOD(31-$C32,2)=0))),Flows!$C33,0))</f>
        <v/>
      </c>
      <c r="AK32" s="13">
        <f>IF(OR($A32="",Flows!$C33=""),0,IF(AND(32&lt;=Setup!$B$5,32&gt;=$C32,OR(AND($E32="once",32=$C32),AND($E32="weekly",32&lt;=$D32),AND($E32="biweekly",32&lt;=$D32,MOD(32-$C32,2)=0))),Flows!$C33,0))</f>
        <v/>
      </c>
      <c r="AL32" s="13">
        <f>IF(OR($A32="",Flows!$C33=""),0,IF(AND(33&lt;=Setup!$B$5,33&gt;=$C32,OR(AND($E32="once",33=$C32),AND($E32="weekly",33&lt;=$D32),AND($E32="biweekly",33&lt;=$D32,MOD(33-$C32,2)=0))),Flows!$C33,0))</f>
        <v/>
      </c>
      <c r="AM32" s="13">
        <f>IF(OR($A32="",Flows!$C33=""),0,IF(AND(34&lt;=Setup!$B$5,34&gt;=$C32,OR(AND($E32="once",34=$C32),AND($E32="weekly",34&lt;=$D32),AND($E32="biweekly",34&lt;=$D32,MOD(34-$C32,2)=0))),Flows!$C33,0))</f>
        <v/>
      </c>
      <c r="AN32" s="13">
        <f>IF(OR($A32="",Flows!$C33=""),0,IF(AND(35&lt;=Setup!$B$5,35&gt;=$C32,OR(AND($E32="once",35=$C32),AND($E32="weekly",35&lt;=$D32),AND($E32="biweekly",35&lt;=$D32,MOD(35-$C32,2)=0))),Flows!$C33,0))</f>
        <v/>
      </c>
      <c r="AO32" s="13">
        <f>IF(OR($A32="",Flows!$C33=""),0,IF(AND(36&lt;=Setup!$B$5,36&gt;=$C32,OR(AND($E32="once",36=$C32),AND($E32="weekly",36&lt;=$D32),AND($E32="biweekly",36&lt;=$D32,MOD(36-$C32,2)=0))),Flows!$C33,0))</f>
        <v/>
      </c>
      <c r="AP32" s="13">
        <f>IF(OR($A32="",Flows!$C33=""),0,IF(AND(37&lt;=Setup!$B$5,37&gt;=$C32,OR(AND($E32="once",37=$C32),AND($E32="weekly",37&lt;=$D32),AND($E32="biweekly",37&lt;=$D32,MOD(37-$C32,2)=0))),Flows!$C33,0))</f>
        <v/>
      </c>
      <c r="AQ32" s="13">
        <f>IF(OR($A32="",Flows!$C33=""),0,IF(AND(38&lt;=Setup!$B$5,38&gt;=$C32,OR(AND($E32="once",38=$C32),AND($E32="weekly",38&lt;=$D32),AND($E32="biweekly",38&lt;=$D32,MOD(38-$C32,2)=0))),Flows!$C33,0))</f>
        <v/>
      </c>
      <c r="AR32" s="13">
        <f>IF(OR($A32="",Flows!$C33=""),0,IF(AND(39&lt;=Setup!$B$5,39&gt;=$C32,OR(AND($E32="once",39=$C32),AND($E32="weekly",39&lt;=$D32),AND($E32="biweekly",39&lt;=$D32,MOD(39-$C32,2)=0))),Flows!$C33,0))</f>
        <v/>
      </c>
      <c r="AS32" s="13">
        <f>IF(OR($A32="",Flows!$C33=""),0,IF(AND(40&lt;=Setup!$B$5,40&gt;=$C32,OR(AND($E32="once",40=$C32),AND($E32="weekly",40&lt;=$D32),AND($E32="biweekly",40&lt;=$D32,MOD(40-$C32,2)=0))),Flows!$C33,0))</f>
        <v/>
      </c>
      <c r="AT32" s="13">
        <f>IF(OR($A32="",Flows!$C33=""),0,IF(AND(41&lt;=Setup!$B$5,41&gt;=$C32,OR(AND($E32="once",41=$C32),AND($E32="weekly",41&lt;=$D32),AND($E32="biweekly",41&lt;=$D32,MOD(41-$C32,2)=0))),Flows!$C33,0))</f>
        <v/>
      </c>
      <c r="AU32" s="13">
        <f>IF(OR($A32="",Flows!$C33=""),0,IF(AND(42&lt;=Setup!$B$5,42&gt;=$C32,OR(AND($E32="once",42=$C32),AND($E32="weekly",42&lt;=$D32),AND($E32="biweekly",42&lt;=$D32,MOD(42-$C32,2)=0))),Flows!$C33,0))</f>
        <v/>
      </c>
      <c r="AV32" s="13">
        <f>IF(OR($A32="",Flows!$C33=""),0,IF(AND(43&lt;=Setup!$B$5,43&gt;=$C32,OR(AND($E32="once",43=$C32),AND($E32="weekly",43&lt;=$D32),AND($E32="biweekly",43&lt;=$D32,MOD(43-$C32,2)=0))),Flows!$C33,0))</f>
        <v/>
      </c>
      <c r="AW32" s="13">
        <f>IF(OR($A32="",Flows!$C33=""),0,IF(AND(44&lt;=Setup!$B$5,44&gt;=$C32,OR(AND($E32="once",44=$C32),AND($E32="weekly",44&lt;=$D32),AND($E32="biweekly",44&lt;=$D32,MOD(44-$C32,2)=0))),Flows!$C33,0))</f>
        <v/>
      </c>
      <c r="AX32" s="13">
        <f>IF(OR($A32="",Flows!$C33=""),0,IF(AND(45&lt;=Setup!$B$5,45&gt;=$C32,OR(AND($E32="once",45=$C32),AND($E32="weekly",45&lt;=$D32),AND($E32="biweekly",45&lt;=$D32,MOD(45-$C32,2)=0))),Flows!$C33,0))</f>
        <v/>
      </c>
      <c r="AY32" s="13">
        <f>IF(OR($A32="",Flows!$C33=""),0,IF(AND(46&lt;=Setup!$B$5,46&gt;=$C32,OR(AND($E32="once",46=$C32),AND($E32="weekly",46&lt;=$D32),AND($E32="biweekly",46&lt;=$D32,MOD(46-$C32,2)=0))),Flows!$C33,0))</f>
        <v/>
      </c>
      <c r="AZ32" s="13">
        <f>IF(OR($A32="",Flows!$C33=""),0,IF(AND(47&lt;=Setup!$B$5,47&gt;=$C32,OR(AND($E32="once",47=$C32),AND($E32="weekly",47&lt;=$D32),AND($E32="biweekly",47&lt;=$D32,MOD(47-$C32,2)=0))),Flows!$C33,0))</f>
        <v/>
      </c>
      <c r="BA32" s="13">
        <f>IF(OR($A32="",Flows!$C33=""),0,IF(AND(48&lt;=Setup!$B$5,48&gt;=$C32,OR(AND($E32="once",48=$C32),AND($E32="weekly",48&lt;=$D32),AND($E32="biweekly",48&lt;=$D32,MOD(48-$C32,2)=0))),Flows!$C33,0))</f>
        <v/>
      </c>
      <c r="BB32" s="13">
        <f>IF(OR($A32="",Flows!$C33=""),0,IF(AND(49&lt;=Setup!$B$5,49&gt;=$C32,OR(AND($E32="once",49=$C32),AND($E32="weekly",49&lt;=$D32),AND($E32="biweekly",49&lt;=$D32,MOD(49-$C32,2)=0))),Flows!$C33,0))</f>
        <v/>
      </c>
      <c r="BC32" s="13">
        <f>IF(OR($A32="",Flows!$C33=""),0,IF(AND(50&lt;=Setup!$B$5,50&gt;=$C32,OR(AND($E32="once",50=$C32),AND($E32="weekly",50&lt;=$D32),AND($E32="biweekly",50&lt;=$D32,MOD(50-$C32,2)=0))),Flows!$C33,0))</f>
        <v/>
      </c>
      <c r="BD32" s="13">
        <f>IF(OR($A32="",Flows!$C33=""),0,IF(AND(51&lt;=Setup!$B$5,51&gt;=$C32,OR(AND($E32="once",51=$C32),AND($E32="weekly",51&lt;=$D32),AND($E32="biweekly",51&lt;=$D32,MOD(51-$C32,2)=0))),Flows!$C33,0))</f>
        <v/>
      </c>
      <c r="BE32" s="13">
        <f>IF(OR($A32="",Flows!$C33=""),0,IF(AND(52&lt;=Setup!$B$5,52&gt;=$C32,OR(AND($E32="once",52=$C32),AND($E32="weekly",52&lt;=$D32),AND($E32="biweekly",52&lt;=$D32,MOD(52-$C32,2)=0))),Flows!$C33,0))</f>
        <v/>
      </c>
    </row>
    <row r="33">
      <c r="A33" s="7">
        <f>IF(Flows!A34="","",LOWER(Flows!A34))</f>
        <v/>
      </c>
      <c r="B33" s="7">
        <f>IF(Flows!B34="","",Flows!B34)</f>
        <v/>
      </c>
      <c r="C33" s="7">
        <f>N(Flows!D34)</f>
        <v/>
      </c>
      <c r="D33" s="7">
        <f>IF(Flows!F34="",Setup!$B$5,Flows!F34)</f>
        <v/>
      </c>
      <c r="E33" s="7">
        <f>IF(Flows!E34="","once",LOWER(Flows!E34))</f>
        <v/>
      </c>
      <c r="F33" s="13">
        <f>IF(OR($A33="",Flows!$C34=""),0,IF(AND(1&lt;=Setup!$B$5,1&gt;=$C33,OR(AND($E33="once",1=$C33),AND($E33="weekly",1&lt;=$D33),AND($E33="biweekly",1&lt;=$D33,MOD(1-$C33,2)=0))),Flows!$C34,0))</f>
        <v/>
      </c>
      <c r="G33" s="13">
        <f>IF(OR($A33="",Flows!$C34=""),0,IF(AND(2&lt;=Setup!$B$5,2&gt;=$C33,OR(AND($E33="once",2=$C33),AND($E33="weekly",2&lt;=$D33),AND($E33="biweekly",2&lt;=$D33,MOD(2-$C33,2)=0))),Flows!$C34,0))</f>
        <v/>
      </c>
      <c r="H33" s="13">
        <f>IF(OR($A33="",Flows!$C34=""),0,IF(AND(3&lt;=Setup!$B$5,3&gt;=$C33,OR(AND($E33="once",3=$C33),AND($E33="weekly",3&lt;=$D33),AND($E33="biweekly",3&lt;=$D33,MOD(3-$C33,2)=0))),Flows!$C34,0))</f>
        <v/>
      </c>
      <c r="I33" s="13">
        <f>IF(OR($A33="",Flows!$C34=""),0,IF(AND(4&lt;=Setup!$B$5,4&gt;=$C33,OR(AND($E33="once",4=$C33),AND($E33="weekly",4&lt;=$D33),AND($E33="biweekly",4&lt;=$D33,MOD(4-$C33,2)=0))),Flows!$C34,0))</f>
        <v/>
      </c>
      <c r="J33" s="13">
        <f>IF(OR($A33="",Flows!$C34=""),0,IF(AND(5&lt;=Setup!$B$5,5&gt;=$C33,OR(AND($E33="once",5=$C33),AND($E33="weekly",5&lt;=$D33),AND($E33="biweekly",5&lt;=$D33,MOD(5-$C33,2)=0))),Flows!$C34,0))</f>
        <v/>
      </c>
      <c r="K33" s="13">
        <f>IF(OR($A33="",Flows!$C34=""),0,IF(AND(6&lt;=Setup!$B$5,6&gt;=$C33,OR(AND($E33="once",6=$C33),AND($E33="weekly",6&lt;=$D33),AND($E33="biweekly",6&lt;=$D33,MOD(6-$C33,2)=0))),Flows!$C34,0))</f>
        <v/>
      </c>
      <c r="L33" s="13">
        <f>IF(OR($A33="",Flows!$C34=""),0,IF(AND(7&lt;=Setup!$B$5,7&gt;=$C33,OR(AND($E33="once",7=$C33),AND($E33="weekly",7&lt;=$D33),AND($E33="biweekly",7&lt;=$D33,MOD(7-$C33,2)=0))),Flows!$C34,0))</f>
        <v/>
      </c>
      <c r="M33" s="13">
        <f>IF(OR($A33="",Flows!$C34=""),0,IF(AND(8&lt;=Setup!$B$5,8&gt;=$C33,OR(AND($E33="once",8=$C33),AND($E33="weekly",8&lt;=$D33),AND($E33="biweekly",8&lt;=$D33,MOD(8-$C33,2)=0))),Flows!$C34,0))</f>
        <v/>
      </c>
      <c r="N33" s="13">
        <f>IF(OR($A33="",Flows!$C34=""),0,IF(AND(9&lt;=Setup!$B$5,9&gt;=$C33,OR(AND($E33="once",9=$C33),AND($E33="weekly",9&lt;=$D33),AND($E33="biweekly",9&lt;=$D33,MOD(9-$C33,2)=0))),Flows!$C34,0))</f>
        <v/>
      </c>
      <c r="O33" s="13">
        <f>IF(OR($A33="",Flows!$C34=""),0,IF(AND(10&lt;=Setup!$B$5,10&gt;=$C33,OR(AND($E33="once",10=$C33),AND($E33="weekly",10&lt;=$D33),AND($E33="biweekly",10&lt;=$D33,MOD(10-$C33,2)=0))),Flows!$C34,0))</f>
        <v/>
      </c>
      <c r="P33" s="13">
        <f>IF(OR($A33="",Flows!$C34=""),0,IF(AND(11&lt;=Setup!$B$5,11&gt;=$C33,OR(AND($E33="once",11=$C33),AND($E33="weekly",11&lt;=$D33),AND($E33="biweekly",11&lt;=$D33,MOD(11-$C33,2)=0))),Flows!$C34,0))</f>
        <v/>
      </c>
      <c r="Q33" s="13">
        <f>IF(OR($A33="",Flows!$C34=""),0,IF(AND(12&lt;=Setup!$B$5,12&gt;=$C33,OR(AND($E33="once",12=$C33),AND($E33="weekly",12&lt;=$D33),AND($E33="biweekly",12&lt;=$D33,MOD(12-$C33,2)=0))),Flows!$C34,0))</f>
        <v/>
      </c>
      <c r="R33" s="13">
        <f>IF(OR($A33="",Flows!$C34=""),0,IF(AND(13&lt;=Setup!$B$5,13&gt;=$C33,OR(AND($E33="once",13=$C33),AND($E33="weekly",13&lt;=$D33),AND($E33="biweekly",13&lt;=$D33,MOD(13-$C33,2)=0))),Flows!$C34,0))</f>
        <v/>
      </c>
      <c r="S33" s="13">
        <f>IF(OR($A33="",Flows!$C34=""),0,IF(AND(14&lt;=Setup!$B$5,14&gt;=$C33,OR(AND($E33="once",14=$C33),AND($E33="weekly",14&lt;=$D33),AND($E33="biweekly",14&lt;=$D33,MOD(14-$C33,2)=0))),Flows!$C34,0))</f>
        <v/>
      </c>
      <c r="T33" s="13">
        <f>IF(OR($A33="",Flows!$C34=""),0,IF(AND(15&lt;=Setup!$B$5,15&gt;=$C33,OR(AND($E33="once",15=$C33),AND($E33="weekly",15&lt;=$D33),AND($E33="biweekly",15&lt;=$D33,MOD(15-$C33,2)=0))),Flows!$C34,0))</f>
        <v/>
      </c>
      <c r="U33" s="13">
        <f>IF(OR($A33="",Flows!$C34=""),0,IF(AND(16&lt;=Setup!$B$5,16&gt;=$C33,OR(AND($E33="once",16=$C33),AND($E33="weekly",16&lt;=$D33),AND($E33="biweekly",16&lt;=$D33,MOD(16-$C33,2)=0))),Flows!$C34,0))</f>
        <v/>
      </c>
      <c r="V33" s="13">
        <f>IF(OR($A33="",Flows!$C34=""),0,IF(AND(17&lt;=Setup!$B$5,17&gt;=$C33,OR(AND($E33="once",17=$C33),AND($E33="weekly",17&lt;=$D33),AND($E33="biweekly",17&lt;=$D33,MOD(17-$C33,2)=0))),Flows!$C34,0))</f>
        <v/>
      </c>
      <c r="W33" s="13">
        <f>IF(OR($A33="",Flows!$C34=""),0,IF(AND(18&lt;=Setup!$B$5,18&gt;=$C33,OR(AND($E33="once",18=$C33),AND($E33="weekly",18&lt;=$D33),AND($E33="biweekly",18&lt;=$D33,MOD(18-$C33,2)=0))),Flows!$C34,0))</f>
        <v/>
      </c>
      <c r="X33" s="13">
        <f>IF(OR($A33="",Flows!$C34=""),0,IF(AND(19&lt;=Setup!$B$5,19&gt;=$C33,OR(AND($E33="once",19=$C33),AND($E33="weekly",19&lt;=$D33),AND($E33="biweekly",19&lt;=$D33,MOD(19-$C33,2)=0))),Flows!$C34,0))</f>
        <v/>
      </c>
      <c r="Y33" s="13">
        <f>IF(OR($A33="",Flows!$C34=""),0,IF(AND(20&lt;=Setup!$B$5,20&gt;=$C33,OR(AND($E33="once",20=$C33),AND($E33="weekly",20&lt;=$D33),AND($E33="biweekly",20&lt;=$D33,MOD(20-$C33,2)=0))),Flows!$C34,0))</f>
        <v/>
      </c>
      <c r="Z33" s="13">
        <f>IF(OR($A33="",Flows!$C34=""),0,IF(AND(21&lt;=Setup!$B$5,21&gt;=$C33,OR(AND($E33="once",21=$C33),AND($E33="weekly",21&lt;=$D33),AND($E33="biweekly",21&lt;=$D33,MOD(21-$C33,2)=0))),Flows!$C34,0))</f>
        <v/>
      </c>
      <c r="AA33" s="13">
        <f>IF(OR($A33="",Flows!$C34=""),0,IF(AND(22&lt;=Setup!$B$5,22&gt;=$C33,OR(AND($E33="once",22=$C33),AND($E33="weekly",22&lt;=$D33),AND($E33="biweekly",22&lt;=$D33,MOD(22-$C33,2)=0))),Flows!$C34,0))</f>
        <v/>
      </c>
      <c r="AB33" s="13">
        <f>IF(OR($A33="",Flows!$C34=""),0,IF(AND(23&lt;=Setup!$B$5,23&gt;=$C33,OR(AND($E33="once",23=$C33),AND($E33="weekly",23&lt;=$D33),AND($E33="biweekly",23&lt;=$D33,MOD(23-$C33,2)=0))),Flows!$C34,0))</f>
        <v/>
      </c>
      <c r="AC33" s="13">
        <f>IF(OR($A33="",Flows!$C34=""),0,IF(AND(24&lt;=Setup!$B$5,24&gt;=$C33,OR(AND($E33="once",24=$C33),AND($E33="weekly",24&lt;=$D33),AND($E33="biweekly",24&lt;=$D33,MOD(24-$C33,2)=0))),Flows!$C34,0))</f>
        <v/>
      </c>
      <c r="AD33" s="13">
        <f>IF(OR($A33="",Flows!$C34=""),0,IF(AND(25&lt;=Setup!$B$5,25&gt;=$C33,OR(AND($E33="once",25=$C33),AND($E33="weekly",25&lt;=$D33),AND($E33="biweekly",25&lt;=$D33,MOD(25-$C33,2)=0))),Flows!$C34,0))</f>
        <v/>
      </c>
      <c r="AE33" s="13">
        <f>IF(OR($A33="",Flows!$C34=""),0,IF(AND(26&lt;=Setup!$B$5,26&gt;=$C33,OR(AND($E33="once",26=$C33),AND($E33="weekly",26&lt;=$D33),AND($E33="biweekly",26&lt;=$D33,MOD(26-$C33,2)=0))),Flows!$C34,0))</f>
        <v/>
      </c>
      <c r="AF33" s="13">
        <f>IF(OR($A33="",Flows!$C34=""),0,IF(AND(27&lt;=Setup!$B$5,27&gt;=$C33,OR(AND($E33="once",27=$C33),AND($E33="weekly",27&lt;=$D33),AND($E33="biweekly",27&lt;=$D33,MOD(27-$C33,2)=0))),Flows!$C34,0))</f>
        <v/>
      </c>
      <c r="AG33" s="13">
        <f>IF(OR($A33="",Flows!$C34=""),0,IF(AND(28&lt;=Setup!$B$5,28&gt;=$C33,OR(AND($E33="once",28=$C33),AND($E33="weekly",28&lt;=$D33),AND($E33="biweekly",28&lt;=$D33,MOD(28-$C33,2)=0))),Flows!$C34,0))</f>
        <v/>
      </c>
      <c r="AH33" s="13">
        <f>IF(OR($A33="",Flows!$C34=""),0,IF(AND(29&lt;=Setup!$B$5,29&gt;=$C33,OR(AND($E33="once",29=$C33),AND($E33="weekly",29&lt;=$D33),AND($E33="biweekly",29&lt;=$D33,MOD(29-$C33,2)=0))),Flows!$C34,0))</f>
        <v/>
      </c>
      <c r="AI33" s="13">
        <f>IF(OR($A33="",Flows!$C34=""),0,IF(AND(30&lt;=Setup!$B$5,30&gt;=$C33,OR(AND($E33="once",30=$C33),AND($E33="weekly",30&lt;=$D33),AND($E33="biweekly",30&lt;=$D33,MOD(30-$C33,2)=0))),Flows!$C34,0))</f>
        <v/>
      </c>
      <c r="AJ33" s="13">
        <f>IF(OR($A33="",Flows!$C34=""),0,IF(AND(31&lt;=Setup!$B$5,31&gt;=$C33,OR(AND($E33="once",31=$C33),AND($E33="weekly",31&lt;=$D33),AND($E33="biweekly",31&lt;=$D33,MOD(31-$C33,2)=0))),Flows!$C34,0))</f>
        <v/>
      </c>
      <c r="AK33" s="13">
        <f>IF(OR($A33="",Flows!$C34=""),0,IF(AND(32&lt;=Setup!$B$5,32&gt;=$C33,OR(AND($E33="once",32=$C33),AND($E33="weekly",32&lt;=$D33),AND($E33="biweekly",32&lt;=$D33,MOD(32-$C33,2)=0))),Flows!$C34,0))</f>
        <v/>
      </c>
      <c r="AL33" s="13">
        <f>IF(OR($A33="",Flows!$C34=""),0,IF(AND(33&lt;=Setup!$B$5,33&gt;=$C33,OR(AND($E33="once",33=$C33),AND($E33="weekly",33&lt;=$D33),AND($E33="biweekly",33&lt;=$D33,MOD(33-$C33,2)=0))),Flows!$C34,0))</f>
        <v/>
      </c>
      <c r="AM33" s="13">
        <f>IF(OR($A33="",Flows!$C34=""),0,IF(AND(34&lt;=Setup!$B$5,34&gt;=$C33,OR(AND($E33="once",34=$C33),AND($E33="weekly",34&lt;=$D33),AND($E33="biweekly",34&lt;=$D33,MOD(34-$C33,2)=0))),Flows!$C34,0))</f>
        <v/>
      </c>
      <c r="AN33" s="13">
        <f>IF(OR($A33="",Flows!$C34=""),0,IF(AND(35&lt;=Setup!$B$5,35&gt;=$C33,OR(AND($E33="once",35=$C33),AND($E33="weekly",35&lt;=$D33),AND($E33="biweekly",35&lt;=$D33,MOD(35-$C33,2)=0))),Flows!$C34,0))</f>
        <v/>
      </c>
      <c r="AO33" s="13">
        <f>IF(OR($A33="",Flows!$C34=""),0,IF(AND(36&lt;=Setup!$B$5,36&gt;=$C33,OR(AND($E33="once",36=$C33),AND($E33="weekly",36&lt;=$D33),AND($E33="biweekly",36&lt;=$D33,MOD(36-$C33,2)=0))),Flows!$C34,0))</f>
        <v/>
      </c>
      <c r="AP33" s="13">
        <f>IF(OR($A33="",Flows!$C34=""),0,IF(AND(37&lt;=Setup!$B$5,37&gt;=$C33,OR(AND($E33="once",37=$C33),AND($E33="weekly",37&lt;=$D33),AND($E33="biweekly",37&lt;=$D33,MOD(37-$C33,2)=0))),Flows!$C34,0))</f>
        <v/>
      </c>
      <c r="AQ33" s="13">
        <f>IF(OR($A33="",Flows!$C34=""),0,IF(AND(38&lt;=Setup!$B$5,38&gt;=$C33,OR(AND($E33="once",38=$C33),AND($E33="weekly",38&lt;=$D33),AND($E33="biweekly",38&lt;=$D33,MOD(38-$C33,2)=0))),Flows!$C34,0))</f>
        <v/>
      </c>
      <c r="AR33" s="13">
        <f>IF(OR($A33="",Flows!$C34=""),0,IF(AND(39&lt;=Setup!$B$5,39&gt;=$C33,OR(AND($E33="once",39=$C33),AND($E33="weekly",39&lt;=$D33),AND($E33="biweekly",39&lt;=$D33,MOD(39-$C33,2)=0))),Flows!$C34,0))</f>
        <v/>
      </c>
      <c r="AS33" s="13">
        <f>IF(OR($A33="",Flows!$C34=""),0,IF(AND(40&lt;=Setup!$B$5,40&gt;=$C33,OR(AND($E33="once",40=$C33),AND($E33="weekly",40&lt;=$D33),AND($E33="biweekly",40&lt;=$D33,MOD(40-$C33,2)=0))),Flows!$C34,0))</f>
        <v/>
      </c>
      <c r="AT33" s="13">
        <f>IF(OR($A33="",Flows!$C34=""),0,IF(AND(41&lt;=Setup!$B$5,41&gt;=$C33,OR(AND($E33="once",41=$C33),AND($E33="weekly",41&lt;=$D33),AND($E33="biweekly",41&lt;=$D33,MOD(41-$C33,2)=0))),Flows!$C34,0))</f>
        <v/>
      </c>
      <c r="AU33" s="13">
        <f>IF(OR($A33="",Flows!$C34=""),0,IF(AND(42&lt;=Setup!$B$5,42&gt;=$C33,OR(AND($E33="once",42=$C33),AND($E33="weekly",42&lt;=$D33),AND($E33="biweekly",42&lt;=$D33,MOD(42-$C33,2)=0))),Flows!$C34,0))</f>
        <v/>
      </c>
      <c r="AV33" s="13">
        <f>IF(OR($A33="",Flows!$C34=""),0,IF(AND(43&lt;=Setup!$B$5,43&gt;=$C33,OR(AND($E33="once",43=$C33),AND($E33="weekly",43&lt;=$D33),AND($E33="biweekly",43&lt;=$D33,MOD(43-$C33,2)=0))),Flows!$C34,0))</f>
        <v/>
      </c>
      <c r="AW33" s="13">
        <f>IF(OR($A33="",Flows!$C34=""),0,IF(AND(44&lt;=Setup!$B$5,44&gt;=$C33,OR(AND($E33="once",44=$C33),AND($E33="weekly",44&lt;=$D33),AND($E33="biweekly",44&lt;=$D33,MOD(44-$C33,2)=0))),Flows!$C34,0))</f>
        <v/>
      </c>
      <c r="AX33" s="13">
        <f>IF(OR($A33="",Flows!$C34=""),0,IF(AND(45&lt;=Setup!$B$5,45&gt;=$C33,OR(AND($E33="once",45=$C33),AND($E33="weekly",45&lt;=$D33),AND($E33="biweekly",45&lt;=$D33,MOD(45-$C33,2)=0))),Flows!$C34,0))</f>
        <v/>
      </c>
      <c r="AY33" s="13">
        <f>IF(OR($A33="",Flows!$C34=""),0,IF(AND(46&lt;=Setup!$B$5,46&gt;=$C33,OR(AND($E33="once",46=$C33),AND($E33="weekly",46&lt;=$D33),AND($E33="biweekly",46&lt;=$D33,MOD(46-$C33,2)=0))),Flows!$C34,0))</f>
        <v/>
      </c>
      <c r="AZ33" s="13">
        <f>IF(OR($A33="",Flows!$C34=""),0,IF(AND(47&lt;=Setup!$B$5,47&gt;=$C33,OR(AND($E33="once",47=$C33),AND($E33="weekly",47&lt;=$D33),AND($E33="biweekly",47&lt;=$D33,MOD(47-$C33,2)=0))),Flows!$C34,0))</f>
        <v/>
      </c>
      <c r="BA33" s="13">
        <f>IF(OR($A33="",Flows!$C34=""),0,IF(AND(48&lt;=Setup!$B$5,48&gt;=$C33,OR(AND($E33="once",48=$C33),AND($E33="weekly",48&lt;=$D33),AND($E33="biweekly",48&lt;=$D33,MOD(48-$C33,2)=0))),Flows!$C34,0))</f>
        <v/>
      </c>
      <c r="BB33" s="13">
        <f>IF(OR($A33="",Flows!$C34=""),0,IF(AND(49&lt;=Setup!$B$5,49&gt;=$C33,OR(AND($E33="once",49=$C33),AND($E33="weekly",49&lt;=$D33),AND($E33="biweekly",49&lt;=$D33,MOD(49-$C33,2)=0))),Flows!$C34,0))</f>
        <v/>
      </c>
      <c r="BC33" s="13">
        <f>IF(OR($A33="",Flows!$C34=""),0,IF(AND(50&lt;=Setup!$B$5,50&gt;=$C33,OR(AND($E33="once",50=$C33),AND($E33="weekly",50&lt;=$D33),AND($E33="biweekly",50&lt;=$D33,MOD(50-$C33,2)=0))),Flows!$C34,0))</f>
        <v/>
      </c>
      <c r="BD33" s="13">
        <f>IF(OR($A33="",Flows!$C34=""),0,IF(AND(51&lt;=Setup!$B$5,51&gt;=$C33,OR(AND($E33="once",51=$C33),AND($E33="weekly",51&lt;=$D33),AND($E33="biweekly",51&lt;=$D33,MOD(51-$C33,2)=0))),Flows!$C34,0))</f>
        <v/>
      </c>
      <c r="BE33" s="13">
        <f>IF(OR($A33="",Flows!$C34=""),0,IF(AND(52&lt;=Setup!$B$5,52&gt;=$C33,OR(AND($E33="once",52=$C33),AND($E33="weekly",52&lt;=$D33),AND($E33="biweekly",52&lt;=$D33,MOD(52-$C33,2)=0))),Flows!$C34,0))</f>
        <v/>
      </c>
    </row>
    <row r="34">
      <c r="A34" s="7">
        <f>IF(Flows!A35="","",LOWER(Flows!A35))</f>
        <v/>
      </c>
      <c r="B34" s="7">
        <f>IF(Flows!B35="","",Flows!B35)</f>
        <v/>
      </c>
      <c r="C34" s="7">
        <f>N(Flows!D35)</f>
        <v/>
      </c>
      <c r="D34" s="7">
        <f>IF(Flows!F35="",Setup!$B$5,Flows!F35)</f>
        <v/>
      </c>
      <c r="E34" s="7">
        <f>IF(Flows!E35="","once",LOWER(Flows!E35))</f>
        <v/>
      </c>
      <c r="F34" s="13">
        <f>IF(OR($A34="",Flows!$C35=""),0,IF(AND(1&lt;=Setup!$B$5,1&gt;=$C34,OR(AND($E34="once",1=$C34),AND($E34="weekly",1&lt;=$D34),AND($E34="biweekly",1&lt;=$D34,MOD(1-$C34,2)=0))),Flows!$C35,0))</f>
        <v/>
      </c>
      <c r="G34" s="13">
        <f>IF(OR($A34="",Flows!$C35=""),0,IF(AND(2&lt;=Setup!$B$5,2&gt;=$C34,OR(AND($E34="once",2=$C34),AND($E34="weekly",2&lt;=$D34),AND($E34="biweekly",2&lt;=$D34,MOD(2-$C34,2)=0))),Flows!$C35,0))</f>
        <v/>
      </c>
      <c r="H34" s="13">
        <f>IF(OR($A34="",Flows!$C35=""),0,IF(AND(3&lt;=Setup!$B$5,3&gt;=$C34,OR(AND($E34="once",3=$C34),AND($E34="weekly",3&lt;=$D34),AND($E34="biweekly",3&lt;=$D34,MOD(3-$C34,2)=0))),Flows!$C35,0))</f>
        <v/>
      </c>
      <c r="I34" s="13">
        <f>IF(OR($A34="",Flows!$C35=""),0,IF(AND(4&lt;=Setup!$B$5,4&gt;=$C34,OR(AND($E34="once",4=$C34),AND($E34="weekly",4&lt;=$D34),AND($E34="biweekly",4&lt;=$D34,MOD(4-$C34,2)=0))),Flows!$C35,0))</f>
        <v/>
      </c>
      <c r="J34" s="13">
        <f>IF(OR($A34="",Flows!$C35=""),0,IF(AND(5&lt;=Setup!$B$5,5&gt;=$C34,OR(AND($E34="once",5=$C34),AND($E34="weekly",5&lt;=$D34),AND($E34="biweekly",5&lt;=$D34,MOD(5-$C34,2)=0))),Flows!$C35,0))</f>
        <v/>
      </c>
      <c r="K34" s="13">
        <f>IF(OR($A34="",Flows!$C35=""),0,IF(AND(6&lt;=Setup!$B$5,6&gt;=$C34,OR(AND($E34="once",6=$C34),AND($E34="weekly",6&lt;=$D34),AND($E34="biweekly",6&lt;=$D34,MOD(6-$C34,2)=0))),Flows!$C35,0))</f>
        <v/>
      </c>
      <c r="L34" s="13">
        <f>IF(OR($A34="",Flows!$C35=""),0,IF(AND(7&lt;=Setup!$B$5,7&gt;=$C34,OR(AND($E34="once",7=$C34),AND($E34="weekly",7&lt;=$D34),AND($E34="biweekly",7&lt;=$D34,MOD(7-$C34,2)=0))),Flows!$C35,0))</f>
        <v/>
      </c>
      <c r="M34" s="13">
        <f>IF(OR($A34="",Flows!$C35=""),0,IF(AND(8&lt;=Setup!$B$5,8&gt;=$C34,OR(AND($E34="once",8=$C34),AND($E34="weekly",8&lt;=$D34),AND($E34="biweekly",8&lt;=$D34,MOD(8-$C34,2)=0))),Flows!$C35,0))</f>
        <v/>
      </c>
      <c r="N34" s="13">
        <f>IF(OR($A34="",Flows!$C35=""),0,IF(AND(9&lt;=Setup!$B$5,9&gt;=$C34,OR(AND($E34="once",9=$C34),AND($E34="weekly",9&lt;=$D34),AND($E34="biweekly",9&lt;=$D34,MOD(9-$C34,2)=0))),Flows!$C35,0))</f>
        <v/>
      </c>
      <c r="O34" s="13">
        <f>IF(OR($A34="",Flows!$C35=""),0,IF(AND(10&lt;=Setup!$B$5,10&gt;=$C34,OR(AND($E34="once",10=$C34),AND($E34="weekly",10&lt;=$D34),AND($E34="biweekly",10&lt;=$D34,MOD(10-$C34,2)=0))),Flows!$C35,0))</f>
        <v/>
      </c>
      <c r="P34" s="13">
        <f>IF(OR($A34="",Flows!$C35=""),0,IF(AND(11&lt;=Setup!$B$5,11&gt;=$C34,OR(AND($E34="once",11=$C34),AND($E34="weekly",11&lt;=$D34),AND($E34="biweekly",11&lt;=$D34,MOD(11-$C34,2)=0))),Flows!$C35,0))</f>
        <v/>
      </c>
      <c r="Q34" s="13">
        <f>IF(OR($A34="",Flows!$C35=""),0,IF(AND(12&lt;=Setup!$B$5,12&gt;=$C34,OR(AND($E34="once",12=$C34),AND($E34="weekly",12&lt;=$D34),AND($E34="biweekly",12&lt;=$D34,MOD(12-$C34,2)=0))),Flows!$C35,0))</f>
        <v/>
      </c>
      <c r="R34" s="13">
        <f>IF(OR($A34="",Flows!$C35=""),0,IF(AND(13&lt;=Setup!$B$5,13&gt;=$C34,OR(AND($E34="once",13=$C34),AND($E34="weekly",13&lt;=$D34),AND($E34="biweekly",13&lt;=$D34,MOD(13-$C34,2)=0))),Flows!$C35,0))</f>
        <v/>
      </c>
      <c r="S34" s="13">
        <f>IF(OR($A34="",Flows!$C35=""),0,IF(AND(14&lt;=Setup!$B$5,14&gt;=$C34,OR(AND($E34="once",14=$C34),AND($E34="weekly",14&lt;=$D34),AND($E34="biweekly",14&lt;=$D34,MOD(14-$C34,2)=0))),Flows!$C35,0))</f>
        <v/>
      </c>
      <c r="T34" s="13">
        <f>IF(OR($A34="",Flows!$C35=""),0,IF(AND(15&lt;=Setup!$B$5,15&gt;=$C34,OR(AND($E34="once",15=$C34),AND($E34="weekly",15&lt;=$D34),AND($E34="biweekly",15&lt;=$D34,MOD(15-$C34,2)=0))),Flows!$C35,0))</f>
        <v/>
      </c>
      <c r="U34" s="13">
        <f>IF(OR($A34="",Flows!$C35=""),0,IF(AND(16&lt;=Setup!$B$5,16&gt;=$C34,OR(AND($E34="once",16=$C34),AND($E34="weekly",16&lt;=$D34),AND($E34="biweekly",16&lt;=$D34,MOD(16-$C34,2)=0))),Flows!$C35,0))</f>
        <v/>
      </c>
      <c r="V34" s="13">
        <f>IF(OR($A34="",Flows!$C35=""),0,IF(AND(17&lt;=Setup!$B$5,17&gt;=$C34,OR(AND($E34="once",17=$C34),AND($E34="weekly",17&lt;=$D34),AND($E34="biweekly",17&lt;=$D34,MOD(17-$C34,2)=0))),Flows!$C35,0))</f>
        <v/>
      </c>
      <c r="W34" s="13">
        <f>IF(OR($A34="",Flows!$C35=""),0,IF(AND(18&lt;=Setup!$B$5,18&gt;=$C34,OR(AND($E34="once",18=$C34),AND($E34="weekly",18&lt;=$D34),AND($E34="biweekly",18&lt;=$D34,MOD(18-$C34,2)=0))),Flows!$C35,0))</f>
        <v/>
      </c>
      <c r="X34" s="13">
        <f>IF(OR($A34="",Flows!$C35=""),0,IF(AND(19&lt;=Setup!$B$5,19&gt;=$C34,OR(AND($E34="once",19=$C34),AND($E34="weekly",19&lt;=$D34),AND($E34="biweekly",19&lt;=$D34,MOD(19-$C34,2)=0))),Flows!$C35,0))</f>
        <v/>
      </c>
      <c r="Y34" s="13">
        <f>IF(OR($A34="",Flows!$C35=""),0,IF(AND(20&lt;=Setup!$B$5,20&gt;=$C34,OR(AND($E34="once",20=$C34),AND($E34="weekly",20&lt;=$D34),AND($E34="biweekly",20&lt;=$D34,MOD(20-$C34,2)=0))),Flows!$C35,0))</f>
        <v/>
      </c>
      <c r="Z34" s="13">
        <f>IF(OR($A34="",Flows!$C35=""),0,IF(AND(21&lt;=Setup!$B$5,21&gt;=$C34,OR(AND($E34="once",21=$C34),AND($E34="weekly",21&lt;=$D34),AND($E34="biweekly",21&lt;=$D34,MOD(21-$C34,2)=0))),Flows!$C35,0))</f>
        <v/>
      </c>
      <c r="AA34" s="13">
        <f>IF(OR($A34="",Flows!$C35=""),0,IF(AND(22&lt;=Setup!$B$5,22&gt;=$C34,OR(AND($E34="once",22=$C34),AND($E34="weekly",22&lt;=$D34),AND($E34="biweekly",22&lt;=$D34,MOD(22-$C34,2)=0))),Flows!$C35,0))</f>
        <v/>
      </c>
      <c r="AB34" s="13">
        <f>IF(OR($A34="",Flows!$C35=""),0,IF(AND(23&lt;=Setup!$B$5,23&gt;=$C34,OR(AND($E34="once",23=$C34),AND($E34="weekly",23&lt;=$D34),AND($E34="biweekly",23&lt;=$D34,MOD(23-$C34,2)=0))),Flows!$C35,0))</f>
        <v/>
      </c>
      <c r="AC34" s="13">
        <f>IF(OR($A34="",Flows!$C35=""),0,IF(AND(24&lt;=Setup!$B$5,24&gt;=$C34,OR(AND($E34="once",24=$C34),AND($E34="weekly",24&lt;=$D34),AND($E34="biweekly",24&lt;=$D34,MOD(24-$C34,2)=0))),Flows!$C35,0))</f>
        <v/>
      </c>
      <c r="AD34" s="13">
        <f>IF(OR($A34="",Flows!$C35=""),0,IF(AND(25&lt;=Setup!$B$5,25&gt;=$C34,OR(AND($E34="once",25=$C34),AND($E34="weekly",25&lt;=$D34),AND($E34="biweekly",25&lt;=$D34,MOD(25-$C34,2)=0))),Flows!$C35,0))</f>
        <v/>
      </c>
      <c r="AE34" s="13">
        <f>IF(OR($A34="",Flows!$C35=""),0,IF(AND(26&lt;=Setup!$B$5,26&gt;=$C34,OR(AND($E34="once",26=$C34),AND($E34="weekly",26&lt;=$D34),AND($E34="biweekly",26&lt;=$D34,MOD(26-$C34,2)=0))),Flows!$C35,0))</f>
        <v/>
      </c>
      <c r="AF34" s="13">
        <f>IF(OR($A34="",Flows!$C35=""),0,IF(AND(27&lt;=Setup!$B$5,27&gt;=$C34,OR(AND($E34="once",27=$C34),AND($E34="weekly",27&lt;=$D34),AND($E34="biweekly",27&lt;=$D34,MOD(27-$C34,2)=0))),Flows!$C35,0))</f>
        <v/>
      </c>
      <c r="AG34" s="13">
        <f>IF(OR($A34="",Flows!$C35=""),0,IF(AND(28&lt;=Setup!$B$5,28&gt;=$C34,OR(AND($E34="once",28=$C34),AND($E34="weekly",28&lt;=$D34),AND($E34="biweekly",28&lt;=$D34,MOD(28-$C34,2)=0))),Flows!$C35,0))</f>
        <v/>
      </c>
      <c r="AH34" s="13">
        <f>IF(OR($A34="",Flows!$C35=""),0,IF(AND(29&lt;=Setup!$B$5,29&gt;=$C34,OR(AND($E34="once",29=$C34),AND($E34="weekly",29&lt;=$D34),AND($E34="biweekly",29&lt;=$D34,MOD(29-$C34,2)=0))),Flows!$C35,0))</f>
        <v/>
      </c>
      <c r="AI34" s="13">
        <f>IF(OR($A34="",Flows!$C35=""),0,IF(AND(30&lt;=Setup!$B$5,30&gt;=$C34,OR(AND($E34="once",30=$C34),AND($E34="weekly",30&lt;=$D34),AND($E34="biweekly",30&lt;=$D34,MOD(30-$C34,2)=0))),Flows!$C35,0))</f>
        <v/>
      </c>
      <c r="AJ34" s="13">
        <f>IF(OR($A34="",Flows!$C35=""),0,IF(AND(31&lt;=Setup!$B$5,31&gt;=$C34,OR(AND($E34="once",31=$C34),AND($E34="weekly",31&lt;=$D34),AND($E34="biweekly",31&lt;=$D34,MOD(31-$C34,2)=0))),Flows!$C35,0))</f>
        <v/>
      </c>
      <c r="AK34" s="13">
        <f>IF(OR($A34="",Flows!$C35=""),0,IF(AND(32&lt;=Setup!$B$5,32&gt;=$C34,OR(AND($E34="once",32=$C34),AND($E34="weekly",32&lt;=$D34),AND($E34="biweekly",32&lt;=$D34,MOD(32-$C34,2)=0))),Flows!$C35,0))</f>
        <v/>
      </c>
      <c r="AL34" s="13">
        <f>IF(OR($A34="",Flows!$C35=""),0,IF(AND(33&lt;=Setup!$B$5,33&gt;=$C34,OR(AND($E34="once",33=$C34),AND($E34="weekly",33&lt;=$D34),AND($E34="biweekly",33&lt;=$D34,MOD(33-$C34,2)=0))),Flows!$C35,0))</f>
        <v/>
      </c>
      <c r="AM34" s="13">
        <f>IF(OR($A34="",Flows!$C35=""),0,IF(AND(34&lt;=Setup!$B$5,34&gt;=$C34,OR(AND($E34="once",34=$C34),AND($E34="weekly",34&lt;=$D34),AND($E34="biweekly",34&lt;=$D34,MOD(34-$C34,2)=0))),Flows!$C35,0))</f>
        <v/>
      </c>
      <c r="AN34" s="13">
        <f>IF(OR($A34="",Flows!$C35=""),0,IF(AND(35&lt;=Setup!$B$5,35&gt;=$C34,OR(AND($E34="once",35=$C34),AND($E34="weekly",35&lt;=$D34),AND($E34="biweekly",35&lt;=$D34,MOD(35-$C34,2)=0))),Flows!$C35,0))</f>
        <v/>
      </c>
      <c r="AO34" s="13">
        <f>IF(OR($A34="",Flows!$C35=""),0,IF(AND(36&lt;=Setup!$B$5,36&gt;=$C34,OR(AND($E34="once",36=$C34),AND($E34="weekly",36&lt;=$D34),AND($E34="biweekly",36&lt;=$D34,MOD(36-$C34,2)=0))),Flows!$C35,0))</f>
        <v/>
      </c>
      <c r="AP34" s="13">
        <f>IF(OR($A34="",Flows!$C35=""),0,IF(AND(37&lt;=Setup!$B$5,37&gt;=$C34,OR(AND($E34="once",37=$C34),AND($E34="weekly",37&lt;=$D34),AND($E34="biweekly",37&lt;=$D34,MOD(37-$C34,2)=0))),Flows!$C35,0))</f>
        <v/>
      </c>
      <c r="AQ34" s="13">
        <f>IF(OR($A34="",Flows!$C35=""),0,IF(AND(38&lt;=Setup!$B$5,38&gt;=$C34,OR(AND($E34="once",38=$C34),AND($E34="weekly",38&lt;=$D34),AND($E34="biweekly",38&lt;=$D34,MOD(38-$C34,2)=0))),Flows!$C35,0))</f>
        <v/>
      </c>
      <c r="AR34" s="13">
        <f>IF(OR($A34="",Flows!$C35=""),0,IF(AND(39&lt;=Setup!$B$5,39&gt;=$C34,OR(AND($E34="once",39=$C34),AND($E34="weekly",39&lt;=$D34),AND($E34="biweekly",39&lt;=$D34,MOD(39-$C34,2)=0))),Flows!$C35,0))</f>
        <v/>
      </c>
      <c r="AS34" s="13">
        <f>IF(OR($A34="",Flows!$C35=""),0,IF(AND(40&lt;=Setup!$B$5,40&gt;=$C34,OR(AND($E34="once",40=$C34),AND($E34="weekly",40&lt;=$D34),AND($E34="biweekly",40&lt;=$D34,MOD(40-$C34,2)=0))),Flows!$C35,0))</f>
        <v/>
      </c>
      <c r="AT34" s="13">
        <f>IF(OR($A34="",Flows!$C35=""),0,IF(AND(41&lt;=Setup!$B$5,41&gt;=$C34,OR(AND($E34="once",41=$C34),AND($E34="weekly",41&lt;=$D34),AND($E34="biweekly",41&lt;=$D34,MOD(41-$C34,2)=0))),Flows!$C35,0))</f>
        <v/>
      </c>
      <c r="AU34" s="13">
        <f>IF(OR($A34="",Flows!$C35=""),0,IF(AND(42&lt;=Setup!$B$5,42&gt;=$C34,OR(AND($E34="once",42=$C34),AND($E34="weekly",42&lt;=$D34),AND($E34="biweekly",42&lt;=$D34,MOD(42-$C34,2)=0))),Flows!$C35,0))</f>
        <v/>
      </c>
      <c r="AV34" s="13">
        <f>IF(OR($A34="",Flows!$C35=""),0,IF(AND(43&lt;=Setup!$B$5,43&gt;=$C34,OR(AND($E34="once",43=$C34),AND($E34="weekly",43&lt;=$D34),AND($E34="biweekly",43&lt;=$D34,MOD(43-$C34,2)=0))),Flows!$C35,0))</f>
        <v/>
      </c>
      <c r="AW34" s="13">
        <f>IF(OR($A34="",Flows!$C35=""),0,IF(AND(44&lt;=Setup!$B$5,44&gt;=$C34,OR(AND($E34="once",44=$C34),AND($E34="weekly",44&lt;=$D34),AND($E34="biweekly",44&lt;=$D34,MOD(44-$C34,2)=0))),Flows!$C35,0))</f>
        <v/>
      </c>
      <c r="AX34" s="13">
        <f>IF(OR($A34="",Flows!$C35=""),0,IF(AND(45&lt;=Setup!$B$5,45&gt;=$C34,OR(AND($E34="once",45=$C34),AND($E34="weekly",45&lt;=$D34),AND($E34="biweekly",45&lt;=$D34,MOD(45-$C34,2)=0))),Flows!$C35,0))</f>
        <v/>
      </c>
      <c r="AY34" s="13">
        <f>IF(OR($A34="",Flows!$C35=""),0,IF(AND(46&lt;=Setup!$B$5,46&gt;=$C34,OR(AND($E34="once",46=$C34),AND($E34="weekly",46&lt;=$D34),AND($E34="biweekly",46&lt;=$D34,MOD(46-$C34,2)=0))),Flows!$C35,0))</f>
        <v/>
      </c>
      <c r="AZ34" s="13">
        <f>IF(OR($A34="",Flows!$C35=""),0,IF(AND(47&lt;=Setup!$B$5,47&gt;=$C34,OR(AND($E34="once",47=$C34),AND($E34="weekly",47&lt;=$D34),AND($E34="biweekly",47&lt;=$D34,MOD(47-$C34,2)=0))),Flows!$C35,0))</f>
        <v/>
      </c>
      <c r="BA34" s="13">
        <f>IF(OR($A34="",Flows!$C35=""),0,IF(AND(48&lt;=Setup!$B$5,48&gt;=$C34,OR(AND($E34="once",48=$C34),AND($E34="weekly",48&lt;=$D34),AND($E34="biweekly",48&lt;=$D34,MOD(48-$C34,2)=0))),Flows!$C35,0))</f>
        <v/>
      </c>
      <c r="BB34" s="13">
        <f>IF(OR($A34="",Flows!$C35=""),0,IF(AND(49&lt;=Setup!$B$5,49&gt;=$C34,OR(AND($E34="once",49=$C34),AND($E34="weekly",49&lt;=$D34),AND($E34="biweekly",49&lt;=$D34,MOD(49-$C34,2)=0))),Flows!$C35,0))</f>
        <v/>
      </c>
      <c r="BC34" s="13">
        <f>IF(OR($A34="",Flows!$C35=""),0,IF(AND(50&lt;=Setup!$B$5,50&gt;=$C34,OR(AND($E34="once",50=$C34),AND($E34="weekly",50&lt;=$D34),AND($E34="biweekly",50&lt;=$D34,MOD(50-$C34,2)=0))),Flows!$C35,0))</f>
        <v/>
      </c>
      <c r="BD34" s="13">
        <f>IF(OR($A34="",Flows!$C35=""),0,IF(AND(51&lt;=Setup!$B$5,51&gt;=$C34,OR(AND($E34="once",51=$C34),AND($E34="weekly",51&lt;=$D34),AND($E34="biweekly",51&lt;=$D34,MOD(51-$C34,2)=0))),Flows!$C35,0))</f>
        <v/>
      </c>
      <c r="BE34" s="13">
        <f>IF(OR($A34="",Flows!$C35=""),0,IF(AND(52&lt;=Setup!$B$5,52&gt;=$C34,OR(AND($E34="once",52=$C34),AND($E34="weekly",52&lt;=$D34),AND($E34="biweekly",52&lt;=$D34,MOD(52-$C34,2)=0))),Flows!$C35,0))</f>
        <v/>
      </c>
    </row>
    <row r="35">
      <c r="A35" s="7">
        <f>IF(Flows!A36="","",LOWER(Flows!A36))</f>
        <v/>
      </c>
      <c r="B35" s="7">
        <f>IF(Flows!B36="","",Flows!B36)</f>
        <v/>
      </c>
      <c r="C35" s="7">
        <f>N(Flows!D36)</f>
        <v/>
      </c>
      <c r="D35" s="7">
        <f>IF(Flows!F36="",Setup!$B$5,Flows!F36)</f>
        <v/>
      </c>
      <c r="E35" s="7">
        <f>IF(Flows!E36="","once",LOWER(Flows!E36))</f>
        <v/>
      </c>
      <c r="F35" s="13">
        <f>IF(OR($A35="",Flows!$C36=""),0,IF(AND(1&lt;=Setup!$B$5,1&gt;=$C35,OR(AND($E35="once",1=$C35),AND($E35="weekly",1&lt;=$D35),AND($E35="biweekly",1&lt;=$D35,MOD(1-$C35,2)=0))),Flows!$C36,0))</f>
        <v/>
      </c>
      <c r="G35" s="13">
        <f>IF(OR($A35="",Flows!$C36=""),0,IF(AND(2&lt;=Setup!$B$5,2&gt;=$C35,OR(AND($E35="once",2=$C35),AND($E35="weekly",2&lt;=$D35),AND($E35="biweekly",2&lt;=$D35,MOD(2-$C35,2)=0))),Flows!$C36,0))</f>
        <v/>
      </c>
      <c r="H35" s="13">
        <f>IF(OR($A35="",Flows!$C36=""),0,IF(AND(3&lt;=Setup!$B$5,3&gt;=$C35,OR(AND($E35="once",3=$C35),AND($E35="weekly",3&lt;=$D35),AND($E35="biweekly",3&lt;=$D35,MOD(3-$C35,2)=0))),Flows!$C36,0))</f>
        <v/>
      </c>
      <c r="I35" s="13">
        <f>IF(OR($A35="",Flows!$C36=""),0,IF(AND(4&lt;=Setup!$B$5,4&gt;=$C35,OR(AND($E35="once",4=$C35),AND($E35="weekly",4&lt;=$D35),AND($E35="biweekly",4&lt;=$D35,MOD(4-$C35,2)=0))),Flows!$C36,0))</f>
        <v/>
      </c>
      <c r="J35" s="13">
        <f>IF(OR($A35="",Flows!$C36=""),0,IF(AND(5&lt;=Setup!$B$5,5&gt;=$C35,OR(AND($E35="once",5=$C35),AND($E35="weekly",5&lt;=$D35),AND($E35="biweekly",5&lt;=$D35,MOD(5-$C35,2)=0))),Flows!$C36,0))</f>
        <v/>
      </c>
      <c r="K35" s="13">
        <f>IF(OR($A35="",Flows!$C36=""),0,IF(AND(6&lt;=Setup!$B$5,6&gt;=$C35,OR(AND($E35="once",6=$C35),AND($E35="weekly",6&lt;=$D35),AND($E35="biweekly",6&lt;=$D35,MOD(6-$C35,2)=0))),Flows!$C36,0))</f>
        <v/>
      </c>
      <c r="L35" s="13">
        <f>IF(OR($A35="",Flows!$C36=""),0,IF(AND(7&lt;=Setup!$B$5,7&gt;=$C35,OR(AND($E35="once",7=$C35),AND($E35="weekly",7&lt;=$D35),AND($E35="biweekly",7&lt;=$D35,MOD(7-$C35,2)=0))),Flows!$C36,0))</f>
        <v/>
      </c>
      <c r="M35" s="13">
        <f>IF(OR($A35="",Flows!$C36=""),0,IF(AND(8&lt;=Setup!$B$5,8&gt;=$C35,OR(AND($E35="once",8=$C35),AND($E35="weekly",8&lt;=$D35),AND($E35="biweekly",8&lt;=$D35,MOD(8-$C35,2)=0))),Flows!$C36,0))</f>
        <v/>
      </c>
      <c r="N35" s="13">
        <f>IF(OR($A35="",Flows!$C36=""),0,IF(AND(9&lt;=Setup!$B$5,9&gt;=$C35,OR(AND($E35="once",9=$C35),AND($E35="weekly",9&lt;=$D35),AND($E35="biweekly",9&lt;=$D35,MOD(9-$C35,2)=0))),Flows!$C36,0))</f>
        <v/>
      </c>
      <c r="O35" s="13">
        <f>IF(OR($A35="",Flows!$C36=""),0,IF(AND(10&lt;=Setup!$B$5,10&gt;=$C35,OR(AND($E35="once",10=$C35),AND($E35="weekly",10&lt;=$D35),AND($E35="biweekly",10&lt;=$D35,MOD(10-$C35,2)=0))),Flows!$C36,0))</f>
        <v/>
      </c>
      <c r="P35" s="13">
        <f>IF(OR($A35="",Flows!$C36=""),0,IF(AND(11&lt;=Setup!$B$5,11&gt;=$C35,OR(AND($E35="once",11=$C35),AND($E35="weekly",11&lt;=$D35),AND($E35="biweekly",11&lt;=$D35,MOD(11-$C35,2)=0))),Flows!$C36,0))</f>
        <v/>
      </c>
      <c r="Q35" s="13">
        <f>IF(OR($A35="",Flows!$C36=""),0,IF(AND(12&lt;=Setup!$B$5,12&gt;=$C35,OR(AND($E35="once",12=$C35),AND($E35="weekly",12&lt;=$D35),AND($E35="biweekly",12&lt;=$D35,MOD(12-$C35,2)=0))),Flows!$C36,0))</f>
        <v/>
      </c>
      <c r="R35" s="13">
        <f>IF(OR($A35="",Flows!$C36=""),0,IF(AND(13&lt;=Setup!$B$5,13&gt;=$C35,OR(AND($E35="once",13=$C35),AND($E35="weekly",13&lt;=$D35),AND($E35="biweekly",13&lt;=$D35,MOD(13-$C35,2)=0))),Flows!$C36,0))</f>
        <v/>
      </c>
      <c r="S35" s="13">
        <f>IF(OR($A35="",Flows!$C36=""),0,IF(AND(14&lt;=Setup!$B$5,14&gt;=$C35,OR(AND($E35="once",14=$C35),AND($E35="weekly",14&lt;=$D35),AND($E35="biweekly",14&lt;=$D35,MOD(14-$C35,2)=0))),Flows!$C36,0))</f>
        <v/>
      </c>
      <c r="T35" s="13">
        <f>IF(OR($A35="",Flows!$C36=""),0,IF(AND(15&lt;=Setup!$B$5,15&gt;=$C35,OR(AND($E35="once",15=$C35),AND($E35="weekly",15&lt;=$D35),AND($E35="biweekly",15&lt;=$D35,MOD(15-$C35,2)=0))),Flows!$C36,0))</f>
        <v/>
      </c>
      <c r="U35" s="13">
        <f>IF(OR($A35="",Flows!$C36=""),0,IF(AND(16&lt;=Setup!$B$5,16&gt;=$C35,OR(AND($E35="once",16=$C35),AND($E35="weekly",16&lt;=$D35),AND($E35="biweekly",16&lt;=$D35,MOD(16-$C35,2)=0))),Flows!$C36,0))</f>
        <v/>
      </c>
      <c r="V35" s="13">
        <f>IF(OR($A35="",Flows!$C36=""),0,IF(AND(17&lt;=Setup!$B$5,17&gt;=$C35,OR(AND($E35="once",17=$C35),AND($E35="weekly",17&lt;=$D35),AND($E35="biweekly",17&lt;=$D35,MOD(17-$C35,2)=0))),Flows!$C36,0))</f>
        <v/>
      </c>
      <c r="W35" s="13">
        <f>IF(OR($A35="",Flows!$C36=""),0,IF(AND(18&lt;=Setup!$B$5,18&gt;=$C35,OR(AND($E35="once",18=$C35),AND($E35="weekly",18&lt;=$D35),AND($E35="biweekly",18&lt;=$D35,MOD(18-$C35,2)=0))),Flows!$C36,0))</f>
        <v/>
      </c>
      <c r="X35" s="13">
        <f>IF(OR($A35="",Flows!$C36=""),0,IF(AND(19&lt;=Setup!$B$5,19&gt;=$C35,OR(AND($E35="once",19=$C35),AND($E35="weekly",19&lt;=$D35),AND($E35="biweekly",19&lt;=$D35,MOD(19-$C35,2)=0))),Flows!$C36,0))</f>
        <v/>
      </c>
      <c r="Y35" s="13">
        <f>IF(OR($A35="",Flows!$C36=""),0,IF(AND(20&lt;=Setup!$B$5,20&gt;=$C35,OR(AND($E35="once",20=$C35),AND($E35="weekly",20&lt;=$D35),AND($E35="biweekly",20&lt;=$D35,MOD(20-$C35,2)=0))),Flows!$C36,0))</f>
        <v/>
      </c>
      <c r="Z35" s="13">
        <f>IF(OR($A35="",Flows!$C36=""),0,IF(AND(21&lt;=Setup!$B$5,21&gt;=$C35,OR(AND($E35="once",21=$C35),AND($E35="weekly",21&lt;=$D35),AND($E35="biweekly",21&lt;=$D35,MOD(21-$C35,2)=0))),Flows!$C36,0))</f>
        <v/>
      </c>
      <c r="AA35" s="13">
        <f>IF(OR($A35="",Flows!$C36=""),0,IF(AND(22&lt;=Setup!$B$5,22&gt;=$C35,OR(AND($E35="once",22=$C35),AND($E35="weekly",22&lt;=$D35),AND($E35="biweekly",22&lt;=$D35,MOD(22-$C35,2)=0))),Flows!$C36,0))</f>
        <v/>
      </c>
      <c r="AB35" s="13">
        <f>IF(OR($A35="",Flows!$C36=""),0,IF(AND(23&lt;=Setup!$B$5,23&gt;=$C35,OR(AND($E35="once",23=$C35),AND($E35="weekly",23&lt;=$D35),AND($E35="biweekly",23&lt;=$D35,MOD(23-$C35,2)=0))),Flows!$C36,0))</f>
        <v/>
      </c>
      <c r="AC35" s="13">
        <f>IF(OR($A35="",Flows!$C36=""),0,IF(AND(24&lt;=Setup!$B$5,24&gt;=$C35,OR(AND($E35="once",24=$C35),AND($E35="weekly",24&lt;=$D35),AND($E35="biweekly",24&lt;=$D35,MOD(24-$C35,2)=0))),Flows!$C36,0))</f>
        <v/>
      </c>
      <c r="AD35" s="13">
        <f>IF(OR($A35="",Flows!$C36=""),0,IF(AND(25&lt;=Setup!$B$5,25&gt;=$C35,OR(AND($E35="once",25=$C35),AND($E35="weekly",25&lt;=$D35),AND($E35="biweekly",25&lt;=$D35,MOD(25-$C35,2)=0))),Flows!$C36,0))</f>
        <v/>
      </c>
      <c r="AE35" s="13">
        <f>IF(OR($A35="",Flows!$C36=""),0,IF(AND(26&lt;=Setup!$B$5,26&gt;=$C35,OR(AND($E35="once",26=$C35),AND($E35="weekly",26&lt;=$D35),AND($E35="biweekly",26&lt;=$D35,MOD(26-$C35,2)=0))),Flows!$C36,0))</f>
        <v/>
      </c>
      <c r="AF35" s="13">
        <f>IF(OR($A35="",Flows!$C36=""),0,IF(AND(27&lt;=Setup!$B$5,27&gt;=$C35,OR(AND($E35="once",27=$C35),AND($E35="weekly",27&lt;=$D35),AND($E35="biweekly",27&lt;=$D35,MOD(27-$C35,2)=0))),Flows!$C36,0))</f>
        <v/>
      </c>
      <c r="AG35" s="13">
        <f>IF(OR($A35="",Flows!$C36=""),0,IF(AND(28&lt;=Setup!$B$5,28&gt;=$C35,OR(AND($E35="once",28=$C35),AND($E35="weekly",28&lt;=$D35),AND($E35="biweekly",28&lt;=$D35,MOD(28-$C35,2)=0))),Flows!$C36,0))</f>
        <v/>
      </c>
      <c r="AH35" s="13">
        <f>IF(OR($A35="",Flows!$C36=""),0,IF(AND(29&lt;=Setup!$B$5,29&gt;=$C35,OR(AND($E35="once",29=$C35),AND($E35="weekly",29&lt;=$D35),AND($E35="biweekly",29&lt;=$D35,MOD(29-$C35,2)=0))),Flows!$C36,0))</f>
        <v/>
      </c>
      <c r="AI35" s="13">
        <f>IF(OR($A35="",Flows!$C36=""),0,IF(AND(30&lt;=Setup!$B$5,30&gt;=$C35,OR(AND($E35="once",30=$C35),AND($E35="weekly",30&lt;=$D35),AND($E35="biweekly",30&lt;=$D35,MOD(30-$C35,2)=0))),Flows!$C36,0))</f>
        <v/>
      </c>
      <c r="AJ35" s="13">
        <f>IF(OR($A35="",Flows!$C36=""),0,IF(AND(31&lt;=Setup!$B$5,31&gt;=$C35,OR(AND($E35="once",31=$C35),AND($E35="weekly",31&lt;=$D35),AND($E35="biweekly",31&lt;=$D35,MOD(31-$C35,2)=0))),Flows!$C36,0))</f>
        <v/>
      </c>
      <c r="AK35" s="13">
        <f>IF(OR($A35="",Flows!$C36=""),0,IF(AND(32&lt;=Setup!$B$5,32&gt;=$C35,OR(AND($E35="once",32=$C35),AND($E35="weekly",32&lt;=$D35),AND($E35="biweekly",32&lt;=$D35,MOD(32-$C35,2)=0))),Flows!$C36,0))</f>
        <v/>
      </c>
      <c r="AL35" s="13">
        <f>IF(OR($A35="",Flows!$C36=""),0,IF(AND(33&lt;=Setup!$B$5,33&gt;=$C35,OR(AND($E35="once",33=$C35),AND($E35="weekly",33&lt;=$D35),AND($E35="biweekly",33&lt;=$D35,MOD(33-$C35,2)=0))),Flows!$C36,0))</f>
        <v/>
      </c>
      <c r="AM35" s="13">
        <f>IF(OR($A35="",Flows!$C36=""),0,IF(AND(34&lt;=Setup!$B$5,34&gt;=$C35,OR(AND($E35="once",34=$C35),AND($E35="weekly",34&lt;=$D35),AND($E35="biweekly",34&lt;=$D35,MOD(34-$C35,2)=0))),Flows!$C36,0))</f>
        <v/>
      </c>
      <c r="AN35" s="13">
        <f>IF(OR($A35="",Flows!$C36=""),0,IF(AND(35&lt;=Setup!$B$5,35&gt;=$C35,OR(AND($E35="once",35=$C35),AND($E35="weekly",35&lt;=$D35),AND($E35="biweekly",35&lt;=$D35,MOD(35-$C35,2)=0))),Flows!$C36,0))</f>
        <v/>
      </c>
      <c r="AO35" s="13">
        <f>IF(OR($A35="",Flows!$C36=""),0,IF(AND(36&lt;=Setup!$B$5,36&gt;=$C35,OR(AND($E35="once",36=$C35),AND($E35="weekly",36&lt;=$D35),AND($E35="biweekly",36&lt;=$D35,MOD(36-$C35,2)=0))),Flows!$C36,0))</f>
        <v/>
      </c>
      <c r="AP35" s="13">
        <f>IF(OR($A35="",Flows!$C36=""),0,IF(AND(37&lt;=Setup!$B$5,37&gt;=$C35,OR(AND($E35="once",37=$C35),AND($E35="weekly",37&lt;=$D35),AND($E35="biweekly",37&lt;=$D35,MOD(37-$C35,2)=0))),Flows!$C36,0))</f>
        <v/>
      </c>
      <c r="AQ35" s="13">
        <f>IF(OR($A35="",Flows!$C36=""),0,IF(AND(38&lt;=Setup!$B$5,38&gt;=$C35,OR(AND($E35="once",38=$C35),AND($E35="weekly",38&lt;=$D35),AND($E35="biweekly",38&lt;=$D35,MOD(38-$C35,2)=0))),Flows!$C36,0))</f>
        <v/>
      </c>
      <c r="AR35" s="13">
        <f>IF(OR($A35="",Flows!$C36=""),0,IF(AND(39&lt;=Setup!$B$5,39&gt;=$C35,OR(AND($E35="once",39=$C35),AND($E35="weekly",39&lt;=$D35),AND($E35="biweekly",39&lt;=$D35,MOD(39-$C35,2)=0))),Flows!$C36,0))</f>
        <v/>
      </c>
      <c r="AS35" s="13">
        <f>IF(OR($A35="",Flows!$C36=""),0,IF(AND(40&lt;=Setup!$B$5,40&gt;=$C35,OR(AND($E35="once",40=$C35),AND($E35="weekly",40&lt;=$D35),AND($E35="biweekly",40&lt;=$D35,MOD(40-$C35,2)=0))),Flows!$C36,0))</f>
        <v/>
      </c>
      <c r="AT35" s="13">
        <f>IF(OR($A35="",Flows!$C36=""),0,IF(AND(41&lt;=Setup!$B$5,41&gt;=$C35,OR(AND($E35="once",41=$C35),AND($E35="weekly",41&lt;=$D35),AND($E35="biweekly",41&lt;=$D35,MOD(41-$C35,2)=0))),Flows!$C36,0))</f>
        <v/>
      </c>
      <c r="AU35" s="13">
        <f>IF(OR($A35="",Flows!$C36=""),0,IF(AND(42&lt;=Setup!$B$5,42&gt;=$C35,OR(AND($E35="once",42=$C35),AND($E35="weekly",42&lt;=$D35),AND($E35="biweekly",42&lt;=$D35,MOD(42-$C35,2)=0))),Flows!$C36,0))</f>
        <v/>
      </c>
      <c r="AV35" s="13">
        <f>IF(OR($A35="",Flows!$C36=""),0,IF(AND(43&lt;=Setup!$B$5,43&gt;=$C35,OR(AND($E35="once",43=$C35),AND($E35="weekly",43&lt;=$D35),AND($E35="biweekly",43&lt;=$D35,MOD(43-$C35,2)=0))),Flows!$C36,0))</f>
        <v/>
      </c>
      <c r="AW35" s="13">
        <f>IF(OR($A35="",Flows!$C36=""),0,IF(AND(44&lt;=Setup!$B$5,44&gt;=$C35,OR(AND($E35="once",44=$C35),AND($E35="weekly",44&lt;=$D35),AND($E35="biweekly",44&lt;=$D35,MOD(44-$C35,2)=0))),Flows!$C36,0))</f>
        <v/>
      </c>
      <c r="AX35" s="13">
        <f>IF(OR($A35="",Flows!$C36=""),0,IF(AND(45&lt;=Setup!$B$5,45&gt;=$C35,OR(AND($E35="once",45=$C35),AND($E35="weekly",45&lt;=$D35),AND($E35="biweekly",45&lt;=$D35,MOD(45-$C35,2)=0))),Flows!$C36,0))</f>
        <v/>
      </c>
      <c r="AY35" s="13">
        <f>IF(OR($A35="",Flows!$C36=""),0,IF(AND(46&lt;=Setup!$B$5,46&gt;=$C35,OR(AND($E35="once",46=$C35),AND($E35="weekly",46&lt;=$D35),AND($E35="biweekly",46&lt;=$D35,MOD(46-$C35,2)=0))),Flows!$C36,0))</f>
        <v/>
      </c>
      <c r="AZ35" s="13">
        <f>IF(OR($A35="",Flows!$C36=""),0,IF(AND(47&lt;=Setup!$B$5,47&gt;=$C35,OR(AND($E35="once",47=$C35),AND($E35="weekly",47&lt;=$D35),AND($E35="biweekly",47&lt;=$D35,MOD(47-$C35,2)=0))),Flows!$C36,0))</f>
        <v/>
      </c>
      <c r="BA35" s="13">
        <f>IF(OR($A35="",Flows!$C36=""),0,IF(AND(48&lt;=Setup!$B$5,48&gt;=$C35,OR(AND($E35="once",48=$C35),AND($E35="weekly",48&lt;=$D35),AND($E35="biweekly",48&lt;=$D35,MOD(48-$C35,2)=0))),Flows!$C36,0))</f>
        <v/>
      </c>
      <c r="BB35" s="13">
        <f>IF(OR($A35="",Flows!$C36=""),0,IF(AND(49&lt;=Setup!$B$5,49&gt;=$C35,OR(AND($E35="once",49=$C35),AND($E35="weekly",49&lt;=$D35),AND($E35="biweekly",49&lt;=$D35,MOD(49-$C35,2)=0))),Flows!$C36,0))</f>
        <v/>
      </c>
      <c r="BC35" s="13">
        <f>IF(OR($A35="",Flows!$C36=""),0,IF(AND(50&lt;=Setup!$B$5,50&gt;=$C35,OR(AND($E35="once",50=$C35),AND($E35="weekly",50&lt;=$D35),AND($E35="biweekly",50&lt;=$D35,MOD(50-$C35,2)=0))),Flows!$C36,0))</f>
        <v/>
      </c>
      <c r="BD35" s="13">
        <f>IF(OR($A35="",Flows!$C36=""),0,IF(AND(51&lt;=Setup!$B$5,51&gt;=$C35,OR(AND($E35="once",51=$C35),AND($E35="weekly",51&lt;=$D35),AND($E35="biweekly",51&lt;=$D35,MOD(51-$C35,2)=0))),Flows!$C36,0))</f>
        <v/>
      </c>
      <c r="BE35" s="13">
        <f>IF(OR($A35="",Flows!$C36=""),0,IF(AND(52&lt;=Setup!$B$5,52&gt;=$C35,OR(AND($E35="once",52=$C35),AND($E35="weekly",52&lt;=$D35),AND($E35="biweekly",52&lt;=$D35,MOD(52-$C35,2)=0))),Flows!$C36,0))</f>
        <v/>
      </c>
    </row>
    <row r="36">
      <c r="A36" s="7">
        <f>IF(Flows!A37="","",LOWER(Flows!A37))</f>
        <v/>
      </c>
      <c r="B36" s="7">
        <f>IF(Flows!B37="","",Flows!B37)</f>
        <v/>
      </c>
      <c r="C36" s="7">
        <f>N(Flows!D37)</f>
        <v/>
      </c>
      <c r="D36" s="7">
        <f>IF(Flows!F37="",Setup!$B$5,Flows!F37)</f>
        <v/>
      </c>
      <c r="E36" s="7">
        <f>IF(Flows!E37="","once",LOWER(Flows!E37))</f>
        <v/>
      </c>
      <c r="F36" s="13">
        <f>IF(OR($A36="",Flows!$C37=""),0,IF(AND(1&lt;=Setup!$B$5,1&gt;=$C36,OR(AND($E36="once",1=$C36),AND($E36="weekly",1&lt;=$D36),AND($E36="biweekly",1&lt;=$D36,MOD(1-$C36,2)=0))),Flows!$C37,0))</f>
        <v/>
      </c>
      <c r="G36" s="13">
        <f>IF(OR($A36="",Flows!$C37=""),0,IF(AND(2&lt;=Setup!$B$5,2&gt;=$C36,OR(AND($E36="once",2=$C36),AND($E36="weekly",2&lt;=$D36),AND($E36="biweekly",2&lt;=$D36,MOD(2-$C36,2)=0))),Flows!$C37,0))</f>
        <v/>
      </c>
      <c r="H36" s="13">
        <f>IF(OR($A36="",Flows!$C37=""),0,IF(AND(3&lt;=Setup!$B$5,3&gt;=$C36,OR(AND($E36="once",3=$C36),AND($E36="weekly",3&lt;=$D36),AND($E36="biweekly",3&lt;=$D36,MOD(3-$C36,2)=0))),Flows!$C37,0))</f>
        <v/>
      </c>
      <c r="I36" s="13">
        <f>IF(OR($A36="",Flows!$C37=""),0,IF(AND(4&lt;=Setup!$B$5,4&gt;=$C36,OR(AND($E36="once",4=$C36),AND($E36="weekly",4&lt;=$D36),AND($E36="biweekly",4&lt;=$D36,MOD(4-$C36,2)=0))),Flows!$C37,0))</f>
        <v/>
      </c>
      <c r="J36" s="13">
        <f>IF(OR($A36="",Flows!$C37=""),0,IF(AND(5&lt;=Setup!$B$5,5&gt;=$C36,OR(AND($E36="once",5=$C36),AND($E36="weekly",5&lt;=$D36),AND($E36="biweekly",5&lt;=$D36,MOD(5-$C36,2)=0))),Flows!$C37,0))</f>
        <v/>
      </c>
      <c r="K36" s="13">
        <f>IF(OR($A36="",Flows!$C37=""),0,IF(AND(6&lt;=Setup!$B$5,6&gt;=$C36,OR(AND($E36="once",6=$C36),AND($E36="weekly",6&lt;=$D36),AND($E36="biweekly",6&lt;=$D36,MOD(6-$C36,2)=0))),Flows!$C37,0))</f>
        <v/>
      </c>
      <c r="L36" s="13">
        <f>IF(OR($A36="",Flows!$C37=""),0,IF(AND(7&lt;=Setup!$B$5,7&gt;=$C36,OR(AND($E36="once",7=$C36),AND($E36="weekly",7&lt;=$D36),AND($E36="biweekly",7&lt;=$D36,MOD(7-$C36,2)=0))),Flows!$C37,0))</f>
        <v/>
      </c>
      <c r="M36" s="13">
        <f>IF(OR($A36="",Flows!$C37=""),0,IF(AND(8&lt;=Setup!$B$5,8&gt;=$C36,OR(AND($E36="once",8=$C36),AND($E36="weekly",8&lt;=$D36),AND($E36="biweekly",8&lt;=$D36,MOD(8-$C36,2)=0))),Flows!$C37,0))</f>
        <v/>
      </c>
      <c r="N36" s="13">
        <f>IF(OR($A36="",Flows!$C37=""),0,IF(AND(9&lt;=Setup!$B$5,9&gt;=$C36,OR(AND($E36="once",9=$C36),AND($E36="weekly",9&lt;=$D36),AND($E36="biweekly",9&lt;=$D36,MOD(9-$C36,2)=0))),Flows!$C37,0))</f>
        <v/>
      </c>
      <c r="O36" s="13">
        <f>IF(OR($A36="",Flows!$C37=""),0,IF(AND(10&lt;=Setup!$B$5,10&gt;=$C36,OR(AND($E36="once",10=$C36),AND($E36="weekly",10&lt;=$D36),AND($E36="biweekly",10&lt;=$D36,MOD(10-$C36,2)=0))),Flows!$C37,0))</f>
        <v/>
      </c>
      <c r="P36" s="13">
        <f>IF(OR($A36="",Flows!$C37=""),0,IF(AND(11&lt;=Setup!$B$5,11&gt;=$C36,OR(AND($E36="once",11=$C36),AND($E36="weekly",11&lt;=$D36),AND($E36="biweekly",11&lt;=$D36,MOD(11-$C36,2)=0))),Flows!$C37,0))</f>
        <v/>
      </c>
      <c r="Q36" s="13">
        <f>IF(OR($A36="",Flows!$C37=""),0,IF(AND(12&lt;=Setup!$B$5,12&gt;=$C36,OR(AND($E36="once",12=$C36),AND($E36="weekly",12&lt;=$D36),AND($E36="biweekly",12&lt;=$D36,MOD(12-$C36,2)=0))),Flows!$C37,0))</f>
        <v/>
      </c>
      <c r="R36" s="13">
        <f>IF(OR($A36="",Flows!$C37=""),0,IF(AND(13&lt;=Setup!$B$5,13&gt;=$C36,OR(AND($E36="once",13=$C36),AND($E36="weekly",13&lt;=$D36),AND($E36="biweekly",13&lt;=$D36,MOD(13-$C36,2)=0))),Flows!$C37,0))</f>
        <v/>
      </c>
      <c r="S36" s="13">
        <f>IF(OR($A36="",Flows!$C37=""),0,IF(AND(14&lt;=Setup!$B$5,14&gt;=$C36,OR(AND($E36="once",14=$C36),AND($E36="weekly",14&lt;=$D36),AND($E36="biweekly",14&lt;=$D36,MOD(14-$C36,2)=0))),Flows!$C37,0))</f>
        <v/>
      </c>
      <c r="T36" s="13">
        <f>IF(OR($A36="",Flows!$C37=""),0,IF(AND(15&lt;=Setup!$B$5,15&gt;=$C36,OR(AND($E36="once",15=$C36),AND($E36="weekly",15&lt;=$D36),AND($E36="biweekly",15&lt;=$D36,MOD(15-$C36,2)=0))),Flows!$C37,0))</f>
        <v/>
      </c>
      <c r="U36" s="13">
        <f>IF(OR($A36="",Flows!$C37=""),0,IF(AND(16&lt;=Setup!$B$5,16&gt;=$C36,OR(AND($E36="once",16=$C36),AND($E36="weekly",16&lt;=$D36),AND($E36="biweekly",16&lt;=$D36,MOD(16-$C36,2)=0))),Flows!$C37,0))</f>
        <v/>
      </c>
      <c r="V36" s="13">
        <f>IF(OR($A36="",Flows!$C37=""),0,IF(AND(17&lt;=Setup!$B$5,17&gt;=$C36,OR(AND($E36="once",17=$C36),AND($E36="weekly",17&lt;=$D36),AND($E36="biweekly",17&lt;=$D36,MOD(17-$C36,2)=0))),Flows!$C37,0))</f>
        <v/>
      </c>
      <c r="W36" s="13">
        <f>IF(OR($A36="",Flows!$C37=""),0,IF(AND(18&lt;=Setup!$B$5,18&gt;=$C36,OR(AND($E36="once",18=$C36),AND($E36="weekly",18&lt;=$D36),AND($E36="biweekly",18&lt;=$D36,MOD(18-$C36,2)=0))),Flows!$C37,0))</f>
        <v/>
      </c>
      <c r="X36" s="13">
        <f>IF(OR($A36="",Flows!$C37=""),0,IF(AND(19&lt;=Setup!$B$5,19&gt;=$C36,OR(AND($E36="once",19=$C36),AND($E36="weekly",19&lt;=$D36),AND($E36="biweekly",19&lt;=$D36,MOD(19-$C36,2)=0))),Flows!$C37,0))</f>
        <v/>
      </c>
      <c r="Y36" s="13">
        <f>IF(OR($A36="",Flows!$C37=""),0,IF(AND(20&lt;=Setup!$B$5,20&gt;=$C36,OR(AND($E36="once",20=$C36),AND($E36="weekly",20&lt;=$D36),AND($E36="biweekly",20&lt;=$D36,MOD(20-$C36,2)=0))),Flows!$C37,0))</f>
        <v/>
      </c>
      <c r="Z36" s="13">
        <f>IF(OR($A36="",Flows!$C37=""),0,IF(AND(21&lt;=Setup!$B$5,21&gt;=$C36,OR(AND($E36="once",21=$C36),AND($E36="weekly",21&lt;=$D36),AND($E36="biweekly",21&lt;=$D36,MOD(21-$C36,2)=0))),Flows!$C37,0))</f>
        <v/>
      </c>
      <c r="AA36" s="13">
        <f>IF(OR($A36="",Flows!$C37=""),0,IF(AND(22&lt;=Setup!$B$5,22&gt;=$C36,OR(AND($E36="once",22=$C36),AND($E36="weekly",22&lt;=$D36),AND($E36="biweekly",22&lt;=$D36,MOD(22-$C36,2)=0))),Flows!$C37,0))</f>
        <v/>
      </c>
      <c r="AB36" s="13">
        <f>IF(OR($A36="",Flows!$C37=""),0,IF(AND(23&lt;=Setup!$B$5,23&gt;=$C36,OR(AND($E36="once",23=$C36),AND($E36="weekly",23&lt;=$D36),AND($E36="biweekly",23&lt;=$D36,MOD(23-$C36,2)=0))),Flows!$C37,0))</f>
        <v/>
      </c>
      <c r="AC36" s="13">
        <f>IF(OR($A36="",Flows!$C37=""),0,IF(AND(24&lt;=Setup!$B$5,24&gt;=$C36,OR(AND($E36="once",24=$C36),AND($E36="weekly",24&lt;=$D36),AND($E36="biweekly",24&lt;=$D36,MOD(24-$C36,2)=0))),Flows!$C37,0))</f>
        <v/>
      </c>
      <c r="AD36" s="13">
        <f>IF(OR($A36="",Flows!$C37=""),0,IF(AND(25&lt;=Setup!$B$5,25&gt;=$C36,OR(AND($E36="once",25=$C36),AND($E36="weekly",25&lt;=$D36),AND($E36="biweekly",25&lt;=$D36,MOD(25-$C36,2)=0))),Flows!$C37,0))</f>
        <v/>
      </c>
      <c r="AE36" s="13">
        <f>IF(OR($A36="",Flows!$C37=""),0,IF(AND(26&lt;=Setup!$B$5,26&gt;=$C36,OR(AND($E36="once",26=$C36),AND($E36="weekly",26&lt;=$D36),AND($E36="biweekly",26&lt;=$D36,MOD(26-$C36,2)=0))),Flows!$C37,0))</f>
        <v/>
      </c>
      <c r="AF36" s="13">
        <f>IF(OR($A36="",Flows!$C37=""),0,IF(AND(27&lt;=Setup!$B$5,27&gt;=$C36,OR(AND($E36="once",27=$C36),AND($E36="weekly",27&lt;=$D36),AND($E36="biweekly",27&lt;=$D36,MOD(27-$C36,2)=0))),Flows!$C37,0))</f>
        <v/>
      </c>
      <c r="AG36" s="13">
        <f>IF(OR($A36="",Flows!$C37=""),0,IF(AND(28&lt;=Setup!$B$5,28&gt;=$C36,OR(AND($E36="once",28=$C36),AND($E36="weekly",28&lt;=$D36),AND($E36="biweekly",28&lt;=$D36,MOD(28-$C36,2)=0))),Flows!$C37,0))</f>
        <v/>
      </c>
      <c r="AH36" s="13">
        <f>IF(OR($A36="",Flows!$C37=""),0,IF(AND(29&lt;=Setup!$B$5,29&gt;=$C36,OR(AND($E36="once",29=$C36),AND($E36="weekly",29&lt;=$D36),AND($E36="biweekly",29&lt;=$D36,MOD(29-$C36,2)=0))),Flows!$C37,0))</f>
        <v/>
      </c>
      <c r="AI36" s="13">
        <f>IF(OR($A36="",Flows!$C37=""),0,IF(AND(30&lt;=Setup!$B$5,30&gt;=$C36,OR(AND($E36="once",30=$C36),AND($E36="weekly",30&lt;=$D36),AND($E36="biweekly",30&lt;=$D36,MOD(30-$C36,2)=0))),Flows!$C37,0))</f>
        <v/>
      </c>
      <c r="AJ36" s="13">
        <f>IF(OR($A36="",Flows!$C37=""),0,IF(AND(31&lt;=Setup!$B$5,31&gt;=$C36,OR(AND($E36="once",31=$C36),AND($E36="weekly",31&lt;=$D36),AND($E36="biweekly",31&lt;=$D36,MOD(31-$C36,2)=0))),Flows!$C37,0))</f>
        <v/>
      </c>
      <c r="AK36" s="13">
        <f>IF(OR($A36="",Flows!$C37=""),0,IF(AND(32&lt;=Setup!$B$5,32&gt;=$C36,OR(AND($E36="once",32=$C36),AND($E36="weekly",32&lt;=$D36),AND($E36="biweekly",32&lt;=$D36,MOD(32-$C36,2)=0))),Flows!$C37,0))</f>
        <v/>
      </c>
      <c r="AL36" s="13">
        <f>IF(OR($A36="",Flows!$C37=""),0,IF(AND(33&lt;=Setup!$B$5,33&gt;=$C36,OR(AND($E36="once",33=$C36),AND($E36="weekly",33&lt;=$D36),AND($E36="biweekly",33&lt;=$D36,MOD(33-$C36,2)=0))),Flows!$C37,0))</f>
        <v/>
      </c>
      <c r="AM36" s="13">
        <f>IF(OR($A36="",Flows!$C37=""),0,IF(AND(34&lt;=Setup!$B$5,34&gt;=$C36,OR(AND($E36="once",34=$C36),AND($E36="weekly",34&lt;=$D36),AND($E36="biweekly",34&lt;=$D36,MOD(34-$C36,2)=0))),Flows!$C37,0))</f>
        <v/>
      </c>
      <c r="AN36" s="13">
        <f>IF(OR($A36="",Flows!$C37=""),0,IF(AND(35&lt;=Setup!$B$5,35&gt;=$C36,OR(AND($E36="once",35=$C36),AND($E36="weekly",35&lt;=$D36),AND($E36="biweekly",35&lt;=$D36,MOD(35-$C36,2)=0))),Flows!$C37,0))</f>
        <v/>
      </c>
      <c r="AO36" s="13">
        <f>IF(OR($A36="",Flows!$C37=""),0,IF(AND(36&lt;=Setup!$B$5,36&gt;=$C36,OR(AND($E36="once",36=$C36),AND($E36="weekly",36&lt;=$D36),AND($E36="biweekly",36&lt;=$D36,MOD(36-$C36,2)=0))),Flows!$C37,0))</f>
        <v/>
      </c>
      <c r="AP36" s="13">
        <f>IF(OR($A36="",Flows!$C37=""),0,IF(AND(37&lt;=Setup!$B$5,37&gt;=$C36,OR(AND($E36="once",37=$C36),AND($E36="weekly",37&lt;=$D36),AND($E36="biweekly",37&lt;=$D36,MOD(37-$C36,2)=0))),Flows!$C37,0))</f>
        <v/>
      </c>
      <c r="AQ36" s="13">
        <f>IF(OR($A36="",Flows!$C37=""),0,IF(AND(38&lt;=Setup!$B$5,38&gt;=$C36,OR(AND($E36="once",38=$C36),AND($E36="weekly",38&lt;=$D36),AND($E36="biweekly",38&lt;=$D36,MOD(38-$C36,2)=0))),Flows!$C37,0))</f>
        <v/>
      </c>
      <c r="AR36" s="13">
        <f>IF(OR($A36="",Flows!$C37=""),0,IF(AND(39&lt;=Setup!$B$5,39&gt;=$C36,OR(AND($E36="once",39=$C36),AND($E36="weekly",39&lt;=$D36),AND($E36="biweekly",39&lt;=$D36,MOD(39-$C36,2)=0))),Flows!$C37,0))</f>
        <v/>
      </c>
      <c r="AS36" s="13">
        <f>IF(OR($A36="",Flows!$C37=""),0,IF(AND(40&lt;=Setup!$B$5,40&gt;=$C36,OR(AND($E36="once",40=$C36),AND($E36="weekly",40&lt;=$D36),AND($E36="biweekly",40&lt;=$D36,MOD(40-$C36,2)=0))),Flows!$C37,0))</f>
        <v/>
      </c>
      <c r="AT36" s="13">
        <f>IF(OR($A36="",Flows!$C37=""),0,IF(AND(41&lt;=Setup!$B$5,41&gt;=$C36,OR(AND($E36="once",41=$C36),AND($E36="weekly",41&lt;=$D36),AND($E36="biweekly",41&lt;=$D36,MOD(41-$C36,2)=0))),Flows!$C37,0))</f>
        <v/>
      </c>
      <c r="AU36" s="13">
        <f>IF(OR($A36="",Flows!$C37=""),0,IF(AND(42&lt;=Setup!$B$5,42&gt;=$C36,OR(AND($E36="once",42=$C36),AND($E36="weekly",42&lt;=$D36),AND($E36="biweekly",42&lt;=$D36,MOD(42-$C36,2)=0))),Flows!$C37,0))</f>
        <v/>
      </c>
      <c r="AV36" s="13">
        <f>IF(OR($A36="",Flows!$C37=""),0,IF(AND(43&lt;=Setup!$B$5,43&gt;=$C36,OR(AND($E36="once",43=$C36),AND($E36="weekly",43&lt;=$D36),AND($E36="biweekly",43&lt;=$D36,MOD(43-$C36,2)=0))),Flows!$C37,0))</f>
        <v/>
      </c>
      <c r="AW36" s="13">
        <f>IF(OR($A36="",Flows!$C37=""),0,IF(AND(44&lt;=Setup!$B$5,44&gt;=$C36,OR(AND($E36="once",44=$C36),AND($E36="weekly",44&lt;=$D36),AND($E36="biweekly",44&lt;=$D36,MOD(44-$C36,2)=0))),Flows!$C37,0))</f>
        <v/>
      </c>
      <c r="AX36" s="13">
        <f>IF(OR($A36="",Flows!$C37=""),0,IF(AND(45&lt;=Setup!$B$5,45&gt;=$C36,OR(AND($E36="once",45=$C36),AND($E36="weekly",45&lt;=$D36),AND($E36="biweekly",45&lt;=$D36,MOD(45-$C36,2)=0))),Flows!$C37,0))</f>
        <v/>
      </c>
      <c r="AY36" s="13">
        <f>IF(OR($A36="",Flows!$C37=""),0,IF(AND(46&lt;=Setup!$B$5,46&gt;=$C36,OR(AND($E36="once",46=$C36),AND($E36="weekly",46&lt;=$D36),AND($E36="biweekly",46&lt;=$D36,MOD(46-$C36,2)=0))),Flows!$C37,0))</f>
        <v/>
      </c>
      <c r="AZ36" s="13">
        <f>IF(OR($A36="",Flows!$C37=""),0,IF(AND(47&lt;=Setup!$B$5,47&gt;=$C36,OR(AND($E36="once",47=$C36),AND($E36="weekly",47&lt;=$D36),AND($E36="biweekly",47&lt;=$D36,MOD(47-$C36,2)=0))),Flows!$C37,0))</f>
        <v/>
      </c>
      <c r="BA36" s="13">
        <f>IF(OR($A36="",Flows!$C37=""),0,IF(AND(48&lt;=Setup!$B$5,48&gt;=$C36,OR(AND($E36="once",48=$C36),AND($E36="weekly",48&lt;=$D36),AND($E36="biweekly",48&lt;=$D36,MOD(48-$C36,2)=0))),Flows!$C37,0))</f>
        <v/>
      </c>
      <c r="BB36" s="13">
        <f>IF(OR($A36="",Flows!$C37=""),0,IF(AND(49&lt;=Setup!$B$5,49&gt;=$C36,OR(AND($E36="once",49=$C36),AND($E36="weekly",49&lt;=$D36),AND($E36="biweekly",49&lt;=$D36,MOD(49-$C36,2)=0))),Flows!$C37,0))</f>
        <v/>
      </c>
      <c r="BC36" s="13">
        <f>IF(OR($A36="",Flows!$C37=""),0,IF(AND(50&lt;=Setup!$B$5,50&gt;=$C36,OR(AND($E36="once",50=$C36),AND($E36="weekly",50&lt;=$D36),AND($E36="biweekly",50&lt;=$D36,MOD(50-$C36,2)=0))),Flows!$C37,0))</f>
        <v/>
      </c>
      <c r="BD36" s="13">
        <f>IF(OR($A36="",Flows!$C37=""),0,IF(AND(51&lt;=Setup!$B$5,51&gt;=$C36,OR(AND($E36="once",51=$C36),AND($E36="weekly",51&lt;=$D36),AND($E36="biweekly",51&lt;=$D36,MOD(51-$C36,2)=0))),Flows!$C37,0))</f>
        <v/>
      </c>
      <c r="BE36" s="13">
        <f>IF(OR($A36="",Flows!$C37=""),0,IF(AND(52&lt;=Setup!$B$5,52&gt;=$C36,OR(AND($E36="once",52=$C36),AND($E36="weekly",52&lt;=$D36),AND($E36="biweekly",52&lt;=$D36,MOD(52-$C36,2)=0))),Flows!$C37,0))</f>
        <v/>
      </c>
    </row>
    <row r="37">
      <c r="A37" s="7">
        <f>IF(Flows!A38="","",LOWER(Flows!A38))</f>
        <v/>
      </c>
      <c r="B37" s="7">
        <f>IF(Flows!B38="","",Flows!B38)</f>
        <v/>
      </c>
      <c r="C37" s="7">
        <f>N(Flows!D38)</f>
        <v/>
      </c>
      <c r="D37" s="7">
        <f>IF(Flows!F38="",Setup!$B$5,Flows!F38)</f>
        <v/>
      </c>
      <c r="E37" s="7">
        <f>IF(Flows!E38="","once",LOWER(Flows!E38))</f>
        <v/>
      </c>
      <c r="F37" s="13">
        <f>IF(OR($A37="",Flows!$C38=""),0,IF(AND(1&lt;=Setup!$B$5,1&gt;=$C37,OR(AND($E37="once",1=$C37),AND($E37="weekly",1&lt;=$D37),AND($E37="biweekly",1&lt;=$D37,MOD(1-$C37,2)=0))),Flows!$C38,0))</f>
        <v/>
      </c>
      <c r="G37" s="13">
        <f>IF(OR($A37="",Flows!$C38=""),0,IF(AND(2&lt;=Setup!$B$5,2&gt;=$C37,OR(AND($E37="once",2=$C37),AND($E37="weekly",2&lt;=$D37),AND($E37="biweekly",2&lt;=$D37,MOD(2-$C37,2)=0))),Flows!$C38,0))</f>
        <v/>
      </c>
      <c r="H37" s="13">
        <f>IF(OR($A37="",Flows!$C38=""),0,IF(AND(3&lt;=Setup!$B$5,3&gt;=$C37,OR(AND($E37="once",3=$C37),AND($E37="weekly",3&lt;=$D37),AND($E37="biweekly",3&lt;=$D37,MOD(3-$C37,2)=0))),Flows!$C38,0))</f>
        <v/>
      </c>
      <c r="I37" s="13">
        <f>IF(OR($A37="",Flows!$C38=""),0,IF(AND(4&lt;=Setup!$B$5,4&gt;=$C37,OR(AND($E37="once",4=$C37),AND($E37="weekly",4&lt;=$D37),AND($E37="biweekly",4&lt;=$D37,MOD(4-$C37,2)=0))),Flows!$C38,0))</f>
        <v/>
      </c>
      <c r="J37" s="13">
        <f>IF(OR($A37="",Flows!$C38=""),0,IF(AND(5&lt;=Setup!$B$5,5&gt;=$C37,OR(AND($E37="once",5=$C37),AND($E37="weekly",5&lt;=$D37),AND($E37="biweekly",5&lt;=$D37,MOD(5-$C37,2)=0))),Flows!$C38,0))</f>
        <v/>
      </c>
      <c r="K37" s="13">
        <f>IF(OR($A37="",Flows!$C38=""),0,IF(AND(6&lt;=Setup!$B$5,6&gt;=$C37,OR(AND($E37="once",6=$C37),AND($E37="weekly",6&lt;=$D37),AND($E37="biweekly",6&lt;=$D37,MOD(6-$C37,2)=0))),Flows!$C38,0))</f>
        <v/>
      </c>
      <c r="L37" s="13">
        <f>IF(OR($A37="",Flows!$C38=""),0,IF(AND(7&lt;=Setup!$B$5,7&gt;=$C37,OR(AND($E37="once",7=$C37),AND($E37="weekly",7&lt;=$D37),AND($E37="biweekly",7&lt;=$D37,MOD(7-$C37,2)=0))),Flows!$C38,0))</f>
        <v/>
      </c>
      <c r="M37" s="13">
        <f>IF(OR($A37="",Flows!$C38=""),0,IF(AND(8&lt;=Setup!$B$5,8&gt;=$C37,OR(AND($E37="once",8=$C37),AND($E37="weekly",8&lt;=$D37),AND($E37="biweekly",8&lt;=$D37,MOD(8-$C37,2)=0))),Flows!$C38,0))</f>
        <v/>
      </c>
      <c r="N37" s="13">
        <f>IF(OR($A37="",Flows!$C38=""),0,IF(AND(9&lt;=Setup!$B$5,9&gt;=$C37,OR(AND($E37="once",9=$C37),AND($E37="weekly",9&lt;=$D37),AND($E37="biweekly",9&lt;=$D37,MOD(9-$C37,2)=0))),Flows!$C38,0))</f>
        <v/>
      </c>
      <c r="O37" s="13">
        <f>IF(OR($A37="",Flows!$C38=""),0,IF(AND(10&lt;=Setup!$B$5,10&gt;=$C37,OR(AND($E37="once",10=$C37),AND($E37="weekly",10&lt;=$D37),AND($E37="biweekly",10&lt;=$D37,MOD(10-$C37,2)=0))),Flows!$C38,0))</f>
        <v/>
      </c>
      <c r="P37" s="13">
        <f>IF(OR($A37="",Flows!$C38=""),0,IF(AND(11&lt;=Setup!$B$5,11&gt;=$C37,OR(AND($E37="once",11=$C37),AND($E37="weekly",11&lt;=$D37),AND($E37="biweekly",11&lt;=$D37,MOD(11-$C37,2)=0))),Flows!$C38,0))</f>
        <v/>
      </c>
      <c r="Q37" s="13">
        <f>IF(OR($A37="",Flows!$C38=""),0,IF(AND(12&lt;=Setup!$B$5,12&gt;=$C37,OR(AND($E37="once",12=$C37),AND($E37="weekly",12&lt;=$D37),AND($E37="biweekly",12&lt;=$D37,MOD(12-$C37,2)=0))),Flows!$C38,0))</f>
        <v/>
      </c>
      <c r="R37" s="13">
        <f>IF(OR($A37="",Flows!$C38=""),0,IF(AND(13&lt;=Setup!$B$5,13&gt;=$C37,OR(AND($E37="once",13=$C37),AND($E37="weekly",13&lt;=$D37),AND($E37="biweekly",13&lt;=$D37,MOD(13-$C37,2)=0))),Flows!$C38,0))</f>
        <v/>
      </c>
      <c r="S37" s="13">
        <f>IF(OR($A37="",Flows!$C38=""),0,IF(AND(14&lt;=Setup!$B$5,14&gt;=$C37,OR(AND($E37="once",14=$C37),AND($E37="weekly",14&lt;=$D37),AND($E37="biweekly",14&lt;=$D37,MOD(14-$C37,2)=0))),Flows!$C38,0))</f>
        <v/>
      </c>
      <c r="T37" s="13">
        <f>IF(OR($A37="",Flows!$C38=""),0,IF(AND(15&lt;=Setup!$B$5,15&gt;=$C37,OR(AND($E37="once",15=$C37),AND($E37="weekly",15&lt;=$D37),AND($E37="biweekly",15&lt;=$D37,MOD(15-$C37,2)=0))),Flows!$C38,0))</f>
        <v/>
      </c>
      <c r="U37" s="13">
        <f>IF(OR($A37="",Flows!$C38=""),0,IF(AND(16&lt;=Setup!$B$5,16&gt;=$C37,OR(AND($E37="once",16=$C37),AND($E37="weekly",16&lt;=$D37),AND($E37="biweekly",16&lt;=$D37,MOD(16-$C37,2)=0))),Flows!$C38,0))</f>
        <v/>
      </c>
      <c r="V37" s="13">
        <f>IF(OR($A37="",Flows!$C38=""),0,IF(AND(17&lt;=Setup!$B$5,17&gt;=$C37,OR(AND($E37="once",17=$C37),AND($E37="weekly",17&lt;=$D37),AND($E37="biweekly",17&lt;=$D37,MOD(17-$C37,2)=0))),Flows!$C38,0))</f>
        <v/>
      </c>
      <c r="W37" s="13">
        <f>IF(OR($A37="",Flows!$C38=""),0,IF(AND(18&lt;=Setup!$B$5,18&gt;=$C37,OR(AND($E37="once",18=$C37),AND($E37="weekly",18&lt;=$D37),AND($E37="biweekly",18&lt;=$D37,MOD(18-$C37,2)=0))),Flows!$C38,0))</f>
        <v/>
      </c>
      <c r="X37" s="13">
        <f>IF(OR($A37="",Flows!$C38=""),0,IF(AND(19&lt;=Setup!$B$5,19&gt;=$C37,OR(AND($E37="once",19=$C37),AND($E37="weekly",19&lt;=$D37),AND($E37="biweekly",19&lt;=$D37,MOD(19-$C37,2)=0))),Flows!$C38,0))</f>
        <v/>
      </c>
      <c r="Y37" s="13">
        <f>IF(OR($A37="",Flows!$C38=""),0,IF(AND(20&lt;=Setup!$B$5,20&gt;=$C37,OR(AND($E37="once",20=$C37),AND($E37="weekly",20&lt;=$D37),AND($E37="biweekly",20&lt;=$D37,MOD(20-$C37,2)=0))),Flows!$C38,0))</f>
        <v/>
      </c>
      <c r="Z37" s="13">
        <f>IF(OR($A37="",Flows!$C38=""),0,IF(AND(21&lt;=Setup!$B$5,21&gt;=$C37,OR(AND($E37="once",21=$C37),AND($E37="weekly",21&lt;=$D37),AND($E37="biweekly",21&lt;=$D37,MOD(21-$C37,2)=0))),Flows!$C38,0))</f>
        <v/>
      </c>
      <c r="AA37" s="13">
        <f>IF(OR($A37="",Flows!$C38=""),0,IF(AND(22&lt;=Setup!$B$5,22&gt;=$C37,OR(AND($E37="once",22=$C37),AND($E37="weekly",22&lt;=$D37),AND($E37="biweekly",22&lt;=$D37,MOD(22-$C37,2)=0))),Flows!$C38,0))</f>
        <v/>
      </c>
      <c r="AB37" s="13">
        <f>IF(OR($A37="",Flows!$C38=""),0,IF(AND(23&lt;=Setup!$B$5,23&gt;=$C37,OR(AND($E37="once",23=$C37),AND($E37="weekly",23&lt;=$D37),AND($E37="biweekly",23&lt;=$D37,MOD(23-$C37,2)=0))),Flows!$C38,0))</f>
        <v/>
      </c>
      <c r="AC37" s="13">
        <f>IF(OR($A37="",Flows!$C38=""),0,IF(AND(24&lt;=Setup!$B$5,24&gt;=$C37,OR(AND($E37="once",24=$C37),AND($E37="weekly",24&lt;=$D37),AND($E37="biweekly",24&lt;=$D37,MOD(24-$C37,2)=0))),Flows!$C38,0))</f>
        <v/>
      </c>
      <c r="AD37" s="13">
        <f>IF(OR($A37="",Flows!$C38=""),0,IF(AND(25&lt;=Setup!$B$5,25&gt;=$C37,OR(AND($E37="once",25=$C37),AND($E37="weekly",25&lt;=$D37),AND($E37="biweekly",25&lt;=$D37,MOD(25-$C37,2)=0))),Flows!$C38,0))</f>
        <v/>
      </c>
      <c r="AE37" s="13">
        <f>IF(OR($A37="",Flows!$C38=""),0,IF(AND(26&lt;=Setup!$B$5,26&gt;=$C37,OR(AND($E37="once",26=$C37),AND($E37="weekly",26&lt;=$D37),AND($E37="biweekly",26&lt;=$D37,MOD(26-$C37,2)=0))),Flows!$C38,0))</f>
        <v/>
      </c>
      <c r="AF37" s="13">
        <f>IF(OR($A37="",Flows!$C38=""),0,IF(AND(27&lt;=Setup!$B$5,27&gt;=$C37,OR(AND($E37="once",27=$C37),AND($E37="weekly",27&lt;=$D37),AND($E37="biweekly",27&lt;=$D37,MOD(27-$C37,2)=0))),Flows!$C38,0))</f>
        <v/>
      </c>
      <c r="AG37" s="13">
        <f>IF(OR($A37="",Flows!$C38=""),0,IF(AND(28&lt;=Setup!$B$5,28&gt;=$C37,OR(AND($E37="once",28=$C37),AND($E37="weekly",28&lt;=$D37),AND($E37="biweekly",28&lt;=$D37,MOD(28-$C37,2)=0))),Flows!$C38,0))</f>
        <v/>
      </c>
      <c r="AH37" s="13">
        <f>IF(OR($A37="",Flows!$C38=""),0,IF(AND(29&lt;=Setup!$B$5,29&gt;=$C37,OR(AND($E37="once",29=$C37),AND($E37="weekly",29&lt;=$D37),AND($E37="biweekly",29&lt;=$D37,MOD(29-$C37,2)=0))),Flows!$C38,0))</f>
        <v/>
      </c>
      <c r="AI37" s="13">
        <f>IF(OR($A37="",Flows!$C38=""),0,IF(AND(30&lt;=Setup!$B$5,30&gt;=$C37,OR(AND($E37="once",30=$C37),AND($E37="weekly",30&lt;=$D37),AND($E37="biweekly",30&lt;=$D37,MOD(30-$C37,2)=0))),Flows!$C38,0))</f>
        <v/>
      </c>
      <c r="AJ37" s="13">
        <f>IF(OR($A37="",Flows!$C38=""),0,IF(AND(31&lt;=Setup!$B$5,31&gt;=$C37,OR(AND($E37="once",31=$C37),AND($E37="weekly",31&lt;=$D37),AND($E37="biweekly",31&lt;=$D37,MOD(31-$C37,2)=0))),Flows!$C38,0))</f>
        <v/>
      </c>
      <c r="AK37" s="13">
        <f>IF(OR($A37="",Flows!$C38=""),0,IF(AND(32&lt;=Setup!$B$5,32&gt;=$C37,OR(AND($E37="once",32=$C37),AND($E37="weekly",32&lt;=$D37),AND($E37="biweekly",32&lt;=$D37,MOD(32-$C37,2)=0))),Flows!$C38,0))</f>
        <v/>
      </c>
      <c r="AL37" s="13">
        <f>IF(OR($A37="",Flows!$C38=""),0,IF(AND(33&lt;=Setup!$B$5,33&gt;=$C37,OR(AND($E37="once",33=$C37),AND($E37="weekly",33&lt;=$D37),AND($E37="biweekly",33&lt;=$D37,MOD(33-$C37,2)=0))),Flows!$C38,0))</f>
        <v/>
      </c>
      <c r="AM37" s="13">
        <f>IF(OR($A37="",Flows!$C38=""),0,IF(AND(34&lt;=Setup!$B$5,34&gt;=$C37,OR(AND($E37="once",34=$C37),AND($E37="weekly",34&lt;=$D37),AND($E37="biweekly",34&lt;=$D37,MOD(34-$C37,2)=0))),Flows!$C38,0))</f>
        <v/>
      </c>
      <c r="AN37" s="13">
        <f>IF(OR($A37="",Flows!$C38=""),0,IF(AND(35&lt;=Setup!$B$5,35&gt;=$C37,OR(AND($E37="once",35=$C37),AND($E37="weekly",35&lt;=$D37),AND($E37="biweekly",35&lt;=$D37,MOD(35-$C37,2)=0))),Flows!$C38,0))</f>
        <v/>
      </c>
      <c r="AO37" s="13">
        <f>IF(OR($A37="",Flows!$C38=""),0,IF(AND(36&lt;=Setup!$B$5,36&gt;=$C37,OR(AND($E37="once",36=$C37),AND($E37="weekly",36&lt;=$D37),AND($E37="biweekly",36&lt;=$D37,MOD(36-$C37,2)=0))),Flows!$C38,0))</f>
        <v/>
      </c>
      <c r="AP37" s="13">
        <f>IF(OR($A37="",Flows!$C38=""),0,IF(AND(37&lt;=Setup!$B$5,37&gt;=$C37,OR(AND($E37="once",37=$C37),AND($E37="weekly",37&lt;=$D37),AND($E37="biweekly",37&lt;=$D37,MOD(37-$C37,2)=0))),Flows!$C38,0))</f>
        <v/>
      </c>
      <c r="AQ37" s="13">
        <f>IF(OR($A37="",Flows!$C38=""),0,IF(AND(38&lt;=Setup!$B$5,38&gt;=$C37,OR(AND($E37="once",38=$C37),AND($E37="weekly",38&lt;=$D37),AND($E37="biweekly",38&lt;=$D37,MOD(38-$C37,2)=0))),Flows!$C38,0))</f>
        <v/>
      </c>
      <c r="AR37" s="13">
        <f>IF(OR($A37="",Flows!$C38=""),0,IF(AND(39&lt;=Setup!$B$5,39&gt;=$C37,OR(AND($E37="once",39=$C37),AND($E37="weekly",39&lt;=$D37),AND($E37="biweekly",39&lt;=$D37,MOD(39-$C37,2)=0))),Flows!$C38,0))</f>
        <v/>
      </c>
      <c r="AS37" s="13">
        <f>IF(OR($A37="",Flows!$C38=""),0,IF(AND(40&lt;=Setup!$B$5,40&gt;=$C37,OR(AND($E37="once",40=$C37),AND($E37="weekly",40&lt;=$D37),AND($E37="biweekly",40&lt;=$D37,MOD(40-$C37,2)=0))),Flows!$C38,0))</f>
        <v/>
      </c>
      <c r="AT37" s="13">
        <f>IF(OR($A37="",Flows!$C38=""),0,IF(AND(41&lt;=Setup!$B$5,41&gt;=$C37,OR(AND($E37="once",41=$C37),AND($E37="weekly",41&lt;=$D37),AND($E37="biweekly",41&lt;=$D37,MOD(41-$C37,2)=0))),Flows!$C38,0))</f>
        <v/>
      </c>
      <c r="AU37" s="13">
        <f>IF(OR($A37="",Flows!$C38=""),0,IF(AND(42&lt;=Setup!$B$5,42&gt;=$C37,OR(AND($E37="once",42=$C37),AND($E37="weekly",42&lt;=$D37),AND($E37="biweekly",42&lt;=$D37,MOD(42-$C37,2)=0))),Flows!$C38,0))</f>
        <v/>
      </c>
      <c r="AV37" s="13">
        <f>IF(OR($A37="",Flows!$C38=""),0,IF(AND(43&lt;=Setup!$B$5,43&gt;=$C37,OR(AND($E37="once",43=$C37),AND($E37="weekly",43&lt;=$D37),AND($E37="biweekly",43&lt;=$D37,MOD(43-$C37,2)=0))),Flows!$C38,0))</f>
        <v/>
      </c>
      <c r="AW37" s="13">
        <f>IF(OR($A37="",Flows!$C38=""),0,IF(AND(44&lt;=Setup!$B$5,44&gt;=$C37,OR(AND($E37="once",44=$C37),AND($E37="weekly",44&lt;=$D37),AND($E37="biweekly",44&lt;=$D37,MOD(44-$C37,2)=0))),Flows!$C38,0))</f>
        <v/>
      </c>
      <c r="AX37" s="13">
        <f>IF(OR($A37="",Flows!$C38=""),0,IF(AND(45&lt;=Setup!$B$5,45&gt;=$C37,OR(AND($E37="once",45=$C37),AND($E37="weekly",45&lt;=$D37),AND($E37="biweekly",45&lt;=$D37,MOD(45-$C37,2)=0))),Flows!$C38,0))</f>
        <v/>
      </c>
      <c r="AY37" s="13">
        <f>IF(OR($A37="",Flows!$C38=""),0,IF(AND(46&lt;=Setup!$B$5,46&gt;=$C37,OR(AND($E37="once",46=$C37),AND($E37="weekly",46&lt;=$D37),AND($E37="biweekly",46&lt;=$D37,MOD(46-$C37,2)=0))),Flows!$C38,0))</f>
        <v/>
      </c>
      <c r="AZ37" s="13">
        <f>IF(OR($A37="",Flows!$C38=""),0,IF(AND(47&lt;=Setup!$B$5,47&gt;=$C37,OR(AND($E37="once",47=$C37),AND($E37="weekly",47&lt;=$D37),AND($E37="biweekly",47&lt;=$D37,MOD(47-$C37,2)=0))),Flows!$C38,0))</f>
        <v/>
      </c>
      <c r="BA37" s="13">
        <f>IF(OR($A37="",Flows!$C38=""),0,IF(AND(48&lt;=Setup!$B$5,48&gt;=$C37,OR(AND($E37="once",48=$C37),AND($E37="weekly",48&lt;=$D37),AND($E37="biweekly",48&lt;=$D37,MOD(48-$C37,2)=0))),Flows!$C38,0))</f>
        <v/>
      </c>
      <c r="BB37" s="13">
        <f>IF(OR($A37="",Flows!$C38=""),0,IF(AND(49&lt;=Setup!$B$5,49&gt;=$C37,OR(AND($E37="once",49=$C37),AND($E37="weekly",49&lt;=$D37),AND($E37="biweekly",49&lt;=$D37,MOD(49-$C37,2)=0))),Flows!$C38,0))</f>
        <v/>
      </c>
      <c r="BC37" s="13">
        <f>IF(OR($A37="",Flows!$C38=""),0,IF(AND(50&lt;=Setup!$B$5,50&gt;=$C37,OR(AND($E37="once",50=$C37),AND($E37="weekly",50&lt;=$D37),AND($E37="biweekly",50&lt;=$D37,MOD(50-$C37,2)=0))),Flows!$C38,0))</f>
        <v/>
      </c>
      <c r="BD37" s="13">
        <f>IF(OR($A37="",Flows!$C38=""),0,IF(AND(51&lt;=Setup!$B$5,51&gt;=$C37,OR(AND($E37="once",51=$C37),AND($E37="weekly",51&lt;=$D37),AND($E37="biweekly",51&lt;=$D37,MOD(51-$C37,2)=0))),Flows!$C38,0))</f>
        <v/>
      </c>
      <c r="BE37" s="13">
        <f>IF(OR($A37="",Flows!$C38=""),0,IF(AND(52&lt;=Setup!$B$5,52&gt;=$C37,OR(AND($E37="once",52=$C37),AND($E37="weekly",52&lt;=$D37),AND($E37="biweekly",52&lt;=$D37,MOD(52-$C37,2)=0))),Flows!$C38,0))</f>
        <v/>
      </c>
    </row>
    <row r="38">
      <c r="A38" s="7">
        <f>IF(Flows!A39="","",LOWER(Flows!A39))</f>
        <v/>
      </c>
      <c r="B38" s="7">
        <f>IF(Flows!B39="","",Flows!B39)</f>
        <v/>
      </c>
      <c r="C38" s="7">
        <f>N(Flows!D39)</f>
        <v/>
      </c>
      <c r="D38" s="7">
        <f>IF(Flows!F39="",Setup!$B$5,Flows!F39)</f>
        <v/>
      </c>
      <c r="E38" s="7">
        <f>IF(Flows!E39="","once",LOWER(Flows!E39))</f>
        <v/>
      </c>
      <c r="F38" s="13">
        <f>IF(OR($A38="",Flows!$C39=""),0,IF(AND(1&lt;=Setup!$B$5,1&gt;=$C38,OR(AND($E38="once",1=$C38),AND($E38="weekly",1&lt;=$D38),AND($E38="biweekly",1&lt;=$D38,MOD(1-$C38,2)=0))),Flows!$C39,0))</f>
        <v/>
      </c>
      <c r="G38" s="13">
        <f>IF(OR($A38="",Flows!$C39=""),0,IF(AND(2&lt;=Setup!$B$5,2&gt;=$C38,OR(AND($E38="once",2=$C38),AND($E38="weekly",2&lt;=$D38),AND($E38="biweekly",2&lt;=$D38,MOD(2-$C38,2)=0))),Flows!$C39,0))</f>
        <v/>
      </c>
      <c r="H38" s="13">
        <f>IF(OR($A38="",Flows!$C39=""),0,IF(AND(3&lt;=Setup!$B$5,3&gt;=$C38,OR(AND($E38="once",3=$C38),AND($E38="weekly",3&lt;=$D38),AND($E38="biweekly",3&lt;=$D38,MOD(3-$C38,2)=0))),Flows!$C39,0))</f>
        <v/>
      </c>
      <c r="I38" s="13">
        <f>IF(OR($A38="",Flows!$C39=""),0,IF(AND(4&lt;=Setup!$B$5,4&gt;=$C38,OR(AND($E38="once",4=$C38),AND($E38="weekly",4&lt;=$D38),AND($E38="biweekly",4&lt;=$D38,MOD(4-$C38,2)=0))),Flows!$C39,0))</f>
        <v/>
      </c>
      <c r="J38" s="13">
        <f>IF(OR($A38="",Flows!$C39=""),0,IF(AND(5&lt;=Setup!$B$5,5&gt;=$C38,OR(AND($E38="once",5=$C38),AND($E38="weekly",5&lt;=$D38),AND($E38="biweekly",5&lt;=$D38,MOD(5-$C38,2)=0))),Flows!$C39,0))</f>
        <v/>
      </c>
      <c r="K38" s="13">
        <f>IF(OR($A38="",Flows!$C39=""),0,IF(AND(6&lt;=Setup!$B$5,6&gt;=$C38,OR(AND($E38="once",6=$C38),AND($E38="weekly",6&lt;=$D38),AND($E38="biweekly",6&lt;=$D38,MOD(6-$C38,2)=0))),Flows!$C39,0))</f>
        <v/>
      </c>
      <c r="L38" s="13">
        <f>IF(OR($A38="",Flows!$C39=""),0,IF(AND(7&lt;=Setup!$B$5,7&gt;=$C38,OR(AND($E38="once",7=$C38),AND($E38="weekly",7&lt;=$D38),AND($E38="biweekly",7&lt;=$D38,MOD(7-$C38,2)=0))),Flows!$C39,0))</f>
        <v/>
      </c>
      <c r="M38" s="13">
        <f>IF(OR($A38="",Flows!$C39=""),0,IF(AND(8&lt;=Setup!$B$5,8&gt;=$C38,OR(AND($E38="once",8=$C38),AND($E38="weekly",8&lt;=$D38),AND($E38="biweekly",8&lt;=$D38,MOD(8-$C38,2)=0))),Flows!$C39,0))</f>
        <v/>
      </c>
      <c r="N38" s="13">
        <f>IF(OR($A38="",Flows!$C39=""),0,IF(AND(9&lt;=Setup!$B$5,9&gt;=$C38,OR(AND($E38="once",9=$C38),AND($E38="weekly",9&lt;=$D38),AND($E38="biweekly",9&lt;=$D38,MOD(9-$C38,2)=0))),Flows!$C39,0))</f>
        <v/>
      </c>
      <c r="O38" s="13">
        <f>IF(OR($A38="",Flows!$C39=""),0,IF(AND(10&lt;=Setup!$B$5,10&gt;=$C38,OR(AND($E38="once",10=$C38),AND($E38="weekly",10&lt;=$D38),AND($E38="biweekly",10&lt;=$D38,MOD(10-$C38,2)=0))),Flows!$C39,0))</f>
        <v/>
      </c>
      <c r="P38" s="13">
        <f>IF(OR($A38="",Flows!$C39=""),0,IF(AND(11&lt;=Setup!$B$5,11&gt;=$C38,OR(AND($E38="once",11=$C38),AND($E38="weekly",11&lt;=$D38),AND($E38="biweekly",11&lt;=$D38,MOD(11-$C38,2)=0))),Flows!$C39,0))</f>
        <v/>
      </c>
      <c r="Q38" s="13">
        <f>IF(OR($A38="",Flows!$C39=""),0,IF(AND(12&lt;=Setup!$B$5,12&gt;=$C38,OR(AND($E38="once",12=$C38),AND($E38="weekly",12&lt;=$D38),AND($E38="biweekly",12&lt;=$D38,MOD(12-$C38,2)=0))),Flows!$C39,0))</f>
        <v/>
      </c>
      <c r="R38" s="13">
        <f>IF(OR($A38="",Flows!$C39=""),0,IF(AND(13&lt;=Setup!$B$5,13&gt;=$C38,OR(AND($E38="once",13=$C38),AND($E38="weekly",13&lt;=$D38),AND($E38="biweekly",13&lt;=$D38,MOD(13-$C38,2)=0))),Flows!$C39,0))</f>
        <v/>
      </c>
      <c r="S38" s="13">
        <f>IF(OR($A38="",Flows!$C39=""),0,IF(AND(14&lt;=Setup!$B$5,14&gt;=$C38,OR(AND($E38="once",14=$C38),AND($E38="weekly",14&lt;=$D38),AND($E38="biweekly",14&lt;=$D38,MOD(14-$C38,2)=0))),Flows!$C39,0))</f>
        <v/>
      </c>
      <c r="T38" s="13">
        <f>IF(OR($A38="",Flows!$C39=""),0,IF(AND(15&lt;=Setup!$B$5,15&gt;=$C38,OR(AND($E38="once",15=$C38),AND($E38="weekly",15&lt;=$D38),AND($E38="biweekly",15&lt;=$D38,MOD(15-$C38,2)=0))),Flows!$C39,0))</f>
        <v/>
      </c>
      <c r="U38" s="13">
        <f>IF(OR($A38="",Flows!$C39=""),0,IF(AND(16&lt;=Setup!$B$5,16&gt;=$C38,OR(AND($E38="once",16=$C38),AND($E38="weekly",16&lt;=$D38),AND($E38="biweekly",16&lt;=$D38,MOD(16-$C38,2)=0))),Flows!$C39,0))</f>
        <v/>
      </c>
      <c r="V38" s="13">
        <f>IF(OR($A38="",Flows!$C39=""),0,IF(AND(17&lt;=Setup!$B$5,17&gt;=$C38,OR(AND($E38="once",17=$C38),AND($E38="weekly",17&lt;=$D38),AND($E38="biweekly",17&lt;=$D38,MOD(17-$C38,2)=0))),Flows!$C39,0))</f>
        <v/>
      </c>
      <c r="W38" s="13">
        <f>IF(OR($A38="",Flows!$C39=""),0,IF(AND(18&lt;=Setup!$B$5,18&gt;=$C38,OR(AND($E38="once",18=$C38),AND($E38="weekly",18&lt;=$D38),AND($E38="biweekly",18&lt;=$D38,MOD(18-$C38,2)=0))),Flows!$C39,0))</f>
        <v/>
      </c>
      <c r="X38" s="13">
        <f>IF(OR($A38="",Flows!$C39=""),0,IF(AND(19&lt;=Setup!$B$5,19&gt;=$C38,OR(AND($E38="once",19=$C38),AND($E38="weekly",19&lt;=$D38),AND($E38="biweekly",19&lt;=$D38,MOD(19-$C38,2)=0))),Flows!$C39,0))</f>
        <v/>
      </c>
      <c r="Y38" s="13">
        <f>IF(OR($A38="",Flows!$C39=""),0,IF(AND(20&lt;=Setup!$B$5,20&gt;=$C38,OR(AND($E38="once",20=$C38),AND($E38="weekly",20&lt;=$D38),AND($E38="biweekly",20&lt;=$D38,MOD(20-$C38,2)=0))),Flows!$C39,0))</f>
        <v/>
      </c>
      <c r="Z38" s="13">
        <f>IF(OR($A38="",Flows!$C39=""),0,IF(AND(21&lt;=Setup!$B$5,21&gt;=$C38,OR(AND($E38="once",21=$C38),AND($E38="weekly",21&lt;=$D38),AND($E38="biweekly",21&lt;=$D38,MOD(21-$C38,2)=0))),Flows!$C39,0))</f>
        <v/>
      </c>
      <c r="AA38" s="13">
        <f>IF(OR($A38="",Flows!$C39=""),0,IF(AND(22&lt;=Setup!$B$5,22&gt;=$C38,OR(AND($E38="once",22=$C38),AND($E38="weekly",22&lt;=$D38),AND($E38="biweekly",22&lt;=$D38,MOD(22-$C38,2)=0))),Flows!$C39,0))</f>
        <v/>
      </c>
      <c r="AB38" s="13">
        <f>IF(OR($A38="",Flows!$C39=""),0,IF(AND(23&lt;=Setup!$B$5,23&gt;=$C38,OR(AND($E38="once",23=$C38),AND($E38="weekly",23&lt;=$D38),AND($E38="biweekly",23&lt;=$D38,MOD(23-$C38,2)=0))),Flows!$C39,0))</f>
        <v/>
      </c>
      <c r="AC38" s="13">
        <f>IF(OR($A38="",Flows!$C39=""),0,IF(AND(24&lt;=Setup!$B$5,24&gt;=$C38,OR(AND($E38="once",24=$C38),AND($E38="weekly",24&lt;=$D38),AND($E38="biweekly",24&lt;=$D38,MOD(24-$C38,2)=0))),Flows!$C39,0))</f>
        <v/>
      </c>
      <c r="AD38" s="13">
        <f>IF(OR($A38="",Flows!$C39=""),0,IF(AND(25&lt;=Setup!$B$5,25&gt;=$C38,OR(AND($E38="once",25=$C38),AND($E38="weekly",25&lt;=$D38),AND($E38="biweekly",25&lt;=$D38,MOD(25-$C38,2)=0))),Flows!$C39,0))</f>
        <v/>
      </c>
      <c r="AE38" s="13">
        <f>IF(OR($A38="",Flows!$C39=""),0,IF(AND(26&lt;=Setup!$B$5,26&gt;=$C38,OR(AND($E38="once",26=$C38),AND($E38="weekly",26&lt;=$D38),AND($E38="biweekly",26&lt;=$D38,MOD(26-$C38,2)=0))),Flows!$C39,0))</f>
        <v/>
      </c>
      <c r="AF38" s="13">
        <f>IF(OR($A38="",Flows!$C39=""),0,IF(AND(27&lt;=Setup!$B$5,27&gt;=$C38,OR(AND($E38="once",27=$C38),AND($E38="weekly",27&lt;=$D38),AND($E38="biweekly",27&lt;=$D38,MOD(27-$C38,2)=0))),Flows!$C39,0))</f>
        <v/>
      </c>
      <c r="AG38" s="13">
        <f>IF(OR($A38="",Flows!$C39=""),0,IF(AND(28&lt;=Setup!$B$5,28&gt;=$C38,OR(AND($E38="once",28=$C38),AND($E38="weekly",28&lt;=$D38),AND($E38="biweekly",28&lt;=$D38,MOD(28-$C38,2)=0))),Flows!$C39,0))</f>
        <v/>
      </c>
      <c r="AH38" s="13">
        <f>IF(OR($A38="",Flows!$C39=""),0,IF(AND(29&lt;=Setup!$B$5,29&gt;=$C38,OR(AND($E38="once",29=$C38),AND($E38="weekly",29&lt;=$D38),AND($E38="biweekly",29&lt;=$D38,MOD(29-$C38,2)=0))),Flows!$C39,0))</f>
        <v/>
      </c>
      <c r="AI38" s="13">
        <f>IF(OR($A38="",Flows!$C39=""),0,IF(AND(30&lt;=Setup!$B$5,30&gt;=$C38,OR(AND($E38="once",30=$C38),AND($E38="weekly",30&lt;=$D38),AND($E38="biweekly",30&lt;=$D38,MOD(30-$C38,2)=0))),Flows!$C39,0))</f>
        <v/>
      </c>
      <c r="AJ38" s="13">
        <f>IF(OR($A38="",Flows!$C39=""),0,IF(AND(31&lt;=Setup!$B$5,31&gt;=$C38,OR(AND($E38="once",31=$C38),AND($E38="weekly",31&lt;=$D38),AND($E38="biweekly",31&lt;=$D38,MOD(31-$C38,2)=0))),Flows!$C39,0))</f>
        <v/>
      </c>
      <c r="AK38" s="13">
        <f>IF(OR($A38="",Flows!$C39=""),0,IF(AND(32&lt;=Setup!$B$5,32&gt;=$C38,OR(AND($E38="once",32=$C38),AND($E38="weekly",32&lt;=$D38),AND($E38="biweekly",32&lt;=$D38,MOD(32-$C38,2)=0))),Flows!$C39,0))</f>
        <v/>
      </c>
      <c r="AL38" s="13">
        <f>IF(OR($A38="",Flows!$C39=""),0,IF(AND(33&lt;=Setup!$B$5,33&gt;=$C38,OR(AND($E38="once",33=$C38),AND($E38="weekly",33&lt;=$D38),AND($E38="biweekly",33&lt;=$D38,MOD(33-$C38,2)=0))),Flows!$C39,0))</f>
        <v/>
      </c>
      <c r="AM38" s="13">
        <f>IF(OR($A38="",Flows!$C39=""),0,IF(AND(34&lt;=Setup!$B$5,34&gt;=$C38,OR(AND($E38="once",34=$C38),AND($E38="weekly",34&lt;=$D38),AND($E38="biweekly",34&lt;=$D38,MOD(34-$C38,2)=0))),Flows!$C39,0))</f>
        <v/>
      </c>
      <c r="AN38" s="13">
        <f>IF(OR($A38="",Flows!$C39=""),0,IF(AND(35&lt;=Setup!$B$5,35&gt;=$C38,OR(AND($E38="once",35=$C38),AND($E38="weekly",35&lt;=$D38),AND($E38="biweekly",35&lt;=$D38,MOD(35-$C38,2)=0))),Flows!$C39,0))</f>
        <v/>
      </c>
      <c r="AO38" s="13">
        <f>IF(OR($A38="",Flows!$C39=""),0,IF(AND(36&lt;=Setup!$B$5,36&gt;=$C38,OR(AND($E38="once",36=$C38),AND($E38="weekly",36&lt;=$D38),AND($E38="biweekly",36&lt;=$D38,MOD(36-$C38,2)=0))),Flows!$C39,0))</f>
        <v/>
      </c>
      <c r="AP38" s="13">
        <f>IF(OR($A38="",Flows!$C39=""),0,IF(AND(37&lt;=Setup!$B$5,37&gt;=$C38,OR(AND($E38="once",37=$C38),AND($E38="weekly",37&lt;=$D38),AND($E38="biweekly",37&lt;=$D38,MOD(37-$C38,2)=0))),Flows!$C39,0))</f>
        <v/>
      </c>
      <c r="AQ38" s="13">
        <f>IF(OR($A38="",Flows!$C39=""),0,IF(AND(38&lt;=Setup!$B$5,38&gt;=$C38,OR(AND($E38="once",38=$C38),AND($E38="weekly",38&lt;=$D38),AND($E38="biweekly",38&lt;=$D38,MOD(38-$C38,2)=0))),Flows!$C39,0))</f>
        <v/>
      </c>
      <c r="AR38" s="13">
        <f>IF(OR($A38="",Flows!$C39=""),0,IF(AND(39&lt;=Setup!$B$5,39&gt;=$C38,OR(AND($E38="once",39=$C38),AND($E38="weekly",39&lt;=$D38),AND($E38="biweekly",39&lt;=$D38,MOD(39-$C38,2)=0))),Flows!$C39,0))</f>
        <v/>
      </c>
      <c r="AS38" s="13">
        <f>IF(OR($A38="",Flows!$C39=""),0,IF(AND(40&lt;=Setup!$B$5,40&gt;=$C38,OR(AND($E38="once",40=$C38),AND($E38="weekly",40&lt;=$D38),AND($E38="biweekly",40&lt;=$D38,MOD(40-$C38,2)=0))),Flows!$C39,0))</f>
        <v/>
      </c>
      <c r="AT38" s="13">
        <f>IF(OR($A38="",Flows!$C39=""),0,IF(AND(41&lt;=Setup!$B$5,41&gt;=$C38,OR(AND($E38="once",41=$C38),AND($E38="weekly",41&lt;=$D38),AND($E38="biweekly",41&lt;=$D38,MOD(41-$C38,2)=0))),Flows!$C39,0))</f>
        <v/>
      </c>
      <c r="AU38" s="13">
        <f>IF(OR($A38="",Flows!$C39=""),0,IF(AND(42&lt;=Setup!$B$5,42&gt;=$C38,OR(AND($E38="once",42=$C38),AND($E38="weekly",42&lt;=$D38),AND($E38="biweekly",42&lt;=$D38,MOD(42-$C38,2)=0))),Flows!$C39,0))</f>
        <v/>
      </c>
      <c r="AV38" s="13">
        <f>IF(OR($A38="",Flows!$C39=""),0,IF(AND(43&lt;=Setup!$B$5,43&gt;=$C38,OR(AND($E38="once",43=$C38),AND($E38="weekly",43&lt;=$D38),AND($E38="biweekly",43&lt;=$D38,MOD(43-$C38,2)=0))),Flows!$C39,0))</f>
        <v/>
      </c>
      <c r="AW38" s="13">
        <f>IF(OR($A38="",Flows!$C39=""),0,IF(AND(44&lt;=Setup!$B$5,44&gt;=$C38,OR(AND($E38="once",44=$C38),AND($E38="weekly",44&lt;=$D38),AND($E38="biweekly",44&lt;=$D38,MOD(44-$C38,2)=0))),Flows!$C39,0))</f>
        <v/>
      </c>
      <c r="AX38" s="13">
        <f>IF(OR($A38="",Flows!$C39=""),0,IF(AND(45&lt;=Setup!$B$5,45&gt;=$C38,OR(AND($E38="once",45=$C38),AND($E38="weekly",45&lt;=$D38),AND($E38="biweekly",45&lt;=$D38,MOD(45-$C38,2)=0))),Flows!$C39,0))</f>
        <v/>
      </c>
      <c r="AY38" s="13">
        <f>IF(OR($A38="",Flows!$C39=""),0,IF(AND(46&lt;=Setup!$B$5,46&gt;=$C38,OR(AND($E38="once",46=$C38),AND($E38="weekly",46&lt;=$D38),AND($E38="biweekly",46&lt;=$D38,MOD(46-$C38,2)=0))),Flows!$C39,0))</f>
        <v/>
      </c>
      <c r="AZ38" s="13">
        <f>IF(OR($A38="",Flows!$C39=""),0,IF(AND(47&lt;=Setup!$B$5,47&gt;=$C38,OR(AND($E38="once",47=$C38),AND($E38="weekly",47&lt;=$D38),AND($E38="biweekly",47&lt;=$D38,MOD(47-$C38,2)=0))),Flows!$C39,0))</f>
        <v/>
      </c>
      <c r="BA38" s="13">
        <f>IF(OR($A38="",Flows!$C39=""),0,IF(AND(48&lt;=Setup!$B$5,48&gt;=$C38,OR(AND($E38="once",48=$C38),AND($E38="weekly",48&lt;=$D38),AND($E38="biweekly",48&lt;=$D38,MOD(48-$C38,2)=0))),Flows!$C39,0))</f>
        <v/>
      </c>
      <c r="BB38" s="13">
        <f>IF(OR($A38="",Flows!$C39=""),0,IF(AND(49&lt;=Setup!$B$5,49&gt;=$C38,OR(AND($E38="once",49=$C38),AND($E38="weekly",49&lt;=$D38),AND($E38="biweekly",49&lt;=$D38,MOD(49-$C38,2)=0))),Flows!$C39,0))</f>
        <v/>
      </c>
      <c r="BC38" s="13">
        <f>IF(OR($A38="",Flows!$C39=""),0,IF(AND(50&lt;=Setup!$B$5,50&gt;=$C38,OR(AND($E38="once",50=$C38),AND($E38="weekly",50&lt;=$D38),AND($E38="biweekly",50&lt;=$D38,MOD(50-$C38,2)=0))),Flows!$C39,0))</f>
        <v/>
      </c>
      <c r="BD38" s="13">
        <f>IF(OR($A38="",Flows!$C39=""),0,IF(AND(51&lt;=Setup!$B$5,51&gt;=$C38,OR(AND($E38="once",51=$C38),AND($E38="weekly",51&lt;=$D38),AND($E38="biweekly",51&lt;=$D38,MOD(51-$C38,2)=0))),Flows!$C39,0))</f>
        <v/>
      </c>
      <c r="BE38" s="13">
        <f>IF(OR($A38="",Flows!$C39=""),0,IF(AND(52&lt;=Setup!$B$5,52&gt;=$C38,OR(AND($E38="once",52=$C38),AND($E38="weekly",52&lt;=$D38),AND($E38="biweekly",52&lt;=$D38,MOD(52-$C38,2)=0))),Flows!$C39,0))</f>
        <v/>
      </c>
    </row>
    <row r="39">
      <c r="A39" s="7">
        <f>IF(Flows!A40="","",LOWER(Flows!A40))</f>
        <v/>
      </c>
      <c r="B39" s="7">
        <f>IF(Flows!B40="","",Flows!B40)</f>
        <v/>
      </c>
      <c r="C39" s="7">
        <f>N(Flows!D40)</f>
        <v/>
      </c>
      <c r="D39" s="7">
        <f>IF(Flows!F40="",Setup!$B$5,Flows!F40)</f>
        <v/>
      </c>
      <c r="E39" s="7">
        <f>IF(Flows!E40="","once",LOWER(Flows!E40))</f>
        <v/>
      </c>
      <c r="F39" s="13">
        <f>IF(OR($A39="",Flows!$C40=""),0,IF(AND(1&lt;=Setup!$B$5,1&gt;=$C39,OR(AND($E39="once",1=$C39),AND($E39="weekly",1&lt;=$D39),AND($E39="biweekly",1&lt;=$D39,MOD(1-$C39,2)=0))),Flows!$C40,0))</f>
        <v/>
      </c>
      <c r="G39" s="13">
        <f>IF(OR($A39="",Flows!$C40=""),0,IF(AND(2&lt;=Setup!$B$5,2&gt;=$C39,OR(AND($E39="once",2=$C39),AND($E39="weekly",2&lt;=$D39),AND($E39="biweekly",2&lt;=$D39,MOD(2-$C39,2)=0))),Flows!$C40,0))</f>
        <v/>
      </c>
      <c r="H39" s="13">
        <f>IF(OR($A39="",Flows!$C40=""),0,IF(AND(3&lt;=Setup!$B$5,3&gt;=$C39,OR(AND($E39="once",3=$C39),AND($E39="weekly",3&lt;=$D39),AND($E39="biweekly",3&lt;=$D39,MOD(3-$C39,2)=0))),Flows!$C40,0))</f>
        <v/>
      </c>
      <c r="I39" s="13">
        <f>IF(OR($A39="",Flows!$C40=""),0,IF(AND(4&lt;=Setup!$B$5,4&gt;=$C39,OR(AND($E39="once",4=$C39),AND($E39="weekly",4&lt;=$D39),AND($E39="biweekly",4&lt;=$D39,MOD(4-$C39,2)=0))),Flows!$C40,0))</f>
        <v/>
      </c>
      <c r="J39" s="13">
        <f>IF(OR($A39="",Flows!$C40=""),0,IF(AND(5&lt;=Setup!$B$5,5&gt;=$C39,OR(AND($E39="once",5=$C39),AND($E39="weekly",5&lt;=$D39),AND($E39="biweekly",5&lt;=$D39,MOD(5-$C39,2)=0))),Flows!$C40,0))</f>
        <v/>
      </c>
      <c r="K39" s="13">
        <f>IF(OR($A39="",Flows!$C40=""),0,IF(AND(6&lt;=Setup!$B$5,6&gt;=$C39,OR(AND($E39="once",6=$C39),AND($E39="weekly",6&lt;=$D39),AND($E39="biweekly",6&lt;=$D39,MOD(6-$C39,2)=0))),Flows!$C40,0))</f>
        <v/>
      </c>
      <c r="L39" s="13">
        <f>IF(OR($A39="",Flows!$C40=""),0,IF(AND(7&lt;=Setup!$B$5,7&gt;=$C39,OR(AND($E39="once",7=$C39),AND($E39="weekly",7&lt;=$D39),AND($E39="biweekly",7&lt;=$D39,MOD(7-$C39,2)=0))),Flows!$C40,0))</f>
        <v/>
      </c>
      <c r="M39" s="13">
        <f>IF(OR($A39="",Flows!$C40=""),0,IF(AND(8&lt;=Setup!$B$5,8&gt;=$C39,OR(AND($E39="once",8=$C39),AND($E39="weekly",8&lt;=$D39),AND($E39="biweekly",8&lt;=$D39,MOD(8-$C39,2)=0))),Flows!$C40,0))</f>
        <v/>
      </c>
      <c r="N39" s="13">
        <f>IF(OR($A39="",Flows!$C40=""),0,IF(AND(9&lt;=Setup!$B$5,9&gt;=$C39,OR(AND($E39="once",9=$C39),AND($E39="weekly",9&lt;=$D39),AND($E39="biweekly",9&lt;=$D39,MOD(9-$C39,2)=0))),Flows!$C40,0))</f>
        <v/>
      </c>
      <c r="O39" s="13">
        <f>IF(OR($A39="",Flows!$C40=""),0,IF(AND(10&lt;=Setup!$B$5,10&gt;=$C39,OR(AND($E39="once",10=$C39),AND($E39="weekly",10&lt;=$D39),AND($E39="biweekly",10&lt;=$D39,MOD(10-$C39,2)=0))),Flows!$C40,0))</f>
        <v/>
      </c>
      <c r="P39" s="13">
        <f>IF(OR($A39="",Flows!$C40=""),0,IF(AND(11&lt;=Setup!$B$5,11&gt;=$C39,OR(AND($E39="once",11=$C39),AND($E39="weekly",11&lt;=$D39),AND($E39="biweekly",11&lt;=$D39,MOD(11-$C39,2)=0))),Flows!$C40,0))</f>
        <v/>
      </c>
      <c r="Q39" s="13">
        <f>IF(OR($A39="",Flows!$C40=""),0,IF(AND(12&lt;=Setup!$B$5,12&gt;=$C39,OR(AND($E39="once",12=$C39),AND($E39="weekly",12&lt;=$D39),AND($E39="biweekly",12&lt;=$D39,MOD(12-$C39,2)=0))),Flows!$C40,0))</f>
        <v/>
      </c>
      <c r="R39" s="13">
        <f>IF(OR($A39="",Flows!$C40=""),0,IF(AND(13&lt;=Setup!$B$5,13&gt;=$C39,OR(AND($E39="once",13=$C39),AND($E39="weekly",13&lt;=$D39),AND($E39="biweekly",13&lt;=$D39,MOD(13-$C39,2)=0))),Flows!$C40,0))</f>
        <v/>
      </c>
      <c r="S39" s="13">
        <f>IF(OR($A39="",Flows!$C40=""),0,IF(AND(14&lt;=Setup!$B$5,14&gt;=$C39,OR(AND($E39="once",14=$C39),AND($E39="weekly",14&lt;=$D39),AND($E39="biweekly",14&lt;=$D39,MOD(14-$C39,2)=0))),Flows!$C40,0))</f>
        <v/>
      </c>
      <c r="T39" s="13">
        <f>IF(OR($A39="",Flows!$C40=""),0,IF(AND(15&lt;=Setup!$B$5,15&gt;=$C39,OR(AND($E39="once",15=$C39),AND($E39="weekly",15&lt;=$D39),AND($E39="biweekly",15&lt;=$D39,MOD(15-$C39,2)=0))),Flows!$C40,0))</f>
        <v/>
      </c>
      <c r="U39" s="13">
        <f>IF(OR($A39="",Flows!$C40=""),0,IF(AND(16&lt;=Setup!$B$5,16&gt;=$C39,OR(AND($E39="once",16=$C39),AND($E39="weekly",16&lt;=$D39),AND($E39="biweekly",16&lt;=$D39,MOD(16-$C39,2)=0))),Flows!$C40,0))</f>
        <v/>
      </c>
      <c r="V39" s="13">
        <f>IF(OR($A39="",Flows!$C40=""),0,IF(AND(17&lt;=Setup!$B$5,17&gt;=$C39,OR(AND($E39="once",17=$C39),AND($E39="weekly",17&lt;=$D39),AND($E39="biweekly",17&lt;=$D39,MOD(17-$C39,2)=0))),Flows!$C40,0))</f>
        <v/>
      </c>
      <c r="W39" s="13">
        <f>IF(OR($A39="",Flows!$C40=""),0,IF(AND(18&lt;=Setup!$B$5,18&gt;=$C39,OR(AND($E39="once",18=$C39),AND($E39="weekly",18&lt;=$D39),AND($E39="biweekly",18&lt;=$D39,MOD(18-$C39,2)=0))),Flows!$C40,0))</f>
        <v/>
      </c>
      <c r="X39" s="13">
        <f>IF(OR($A39="",Flows!$C40=""),0,IF(AND(19&lt;=Setup!$B$5,19&gt;=$C39,OR(AND($E39="once",19=$C39),AND($E39="weekly",19&lt;=$D39),AND($E39="biweekly",19&lt;=$D39,MOD(19-$C39,2)=0))),Flows!$C40,0))</f>
        <v/>
      </c>
      <c r="Y39" s="13">
        <f>IF(OR($A39="",Flows!$C40=""),0,IF(AND(20&lt;=Setup!$B$5,20&gt;=$C39,OR(AND($E39="once",20=$C39),AND($E39="weekly",20&lt;=$D39),AND($E39="biweekly",20&lt;=$D39,MOD(20-$C39,2)=0))),Flows!$C40,0))</f>
        <v/>
      </c>
      <c r="Z39" s="13">
        <f>IF(OR($A39="",Flows!$C40=""),0,IF(AND(21&lt;=Setup!$B$5,21&gt;=$C39,OR(AND($E39="once",21=$C39),AND($E39="weekly",21&lt;=$D39),AND($E39="biweekly",21&lt;=$D39,MOD(21-$C39,2)=0))),Flows!$C40,0))</f>
        <v/>
      </c>
      <c r="AA39" s="13">
        <f>IF(OR($A39="",Flows!$C40=""),0,IF(AND(22&lt;=Setup!$B$5,22&gt;=$C39,OR(AND($E39="once",22=$C39),AND($E39="weekly",22&lt;=$D39),AND($E39="biweekly",22&lt;=$D39,MOD(22-$C39,2)=0))),Flows!$C40,0))</f>
        <v/>
      </c>
      <c r="AB39" s="13">
        <f>IF(OR($A39="",Flows!$C40=""),0,IF(AND(23&lt;=Setup!$B$5,23&gt;=$C39,OR(AND($E39="once",23=$C39),AND($E39="weekly",23&lt;=$D39),AND($E39="biweekly",23&lt;=$D39,MOD(23-$C39,2)=0))),Flows!$C40,0))</f>
        <v/>
      </c>
      <c r="AC39" s="13">
        <f>IF(OR($A39="",Flows!$C40=""),0,IF(AND(24&lt;=Setup!$B$5,24&gt;=$C39,OR(AND($E39="once",24=$C39),AND($E39="weekly",24&lt;=$D39),AND($E39="biweekly",24&lt;=$D39,MOD(24-$C39,2)=0))),Flows!$C40,0))</f>
        <v/>
      </c>
      <c r="AD39" s="13">
        <f>IF(OR($A39="",Flows!$C40=""),0,IF(AND(25&lt;=Setup!$B$5,25&gt;=$C39,OR(AND($E39="once",25=$C39),AND($E39="weekly",25&lt;=$D39),AND($E39="biweekly",25&lt;=$D39,MOD(25-$C39,2)=0))),Flows!$C40,0))</f>
        <v/>
      </c>
      <c r="AE39" s="13">
        <f>IF(OR($A39="",Flows!$C40=""),0,IF(AND(26&lt;=Setup!$B$5,26&gt;=$C39,OR(AND($E39="once",26=$C39),AND($E39="weekly",26&lt;=$D39),AND($E39="biweekly",26&lt;=$D39,MOD(26-$C39,2)=0))),Flows!$C40,0))</f>
        <v/>
      </c>
      <c r="AF39" s="13">
        <f>IF(OR($A39="",Flows!$C40=""),0,IF(AND(27&lt;=Setup!$B$5,27&gt;=$C39,OR(AND($E39="once",27=$C39),AND($E39="weekly",27&lt;=$D39),AND($E39="biweekly",27&lt;=$D39,MOD(27-$C39,2)=0))),Flows!$C40,0))</f>
        <v/>
      </c>
      <c r="AG39" s="13">
        <f>IF(OR($A39="",Flows!$C40=""),0,IF(AND(28&lt;=Setup!$B$5,28&gt;=$C39,OR(AND($E39="once",28=$C39),AND($E39="weekly",28&lt;=$D39),AND($E39="biweekly",28&lt;=$D39,MOD(28-$C39,2)=0))),Flows!$C40,0))</f>
        <v/>
      </c>
      <c r="AH39" s="13">
        <f>IF(OR($A39="",Flows!$C40=""),0,IF(AND(29&lt;=Setup!$B$5,29&gt;=$C39,OR(AND($E39="once",29=$C39),AND($E39="weekly",29&lt;=$D39),AND($E39="biweekly",29&lt;=$D39,MOD(29-$C39,2)=0))),Flows!$C40,0))</f>
        <v/>
      </c>
      <c r="AI39" s="13">
        <f>IF(OR($A39="",Flows!$C40=""),0,IF(AND(30&lt;=Setup!$B$5,30&gt;=$C39,OR(AND($E39="once",30=$C39),AND($E39="weekly",30&lt;=$D39),AND($E39="biweekly",30&lt;=$D39,MOD(30-$C39,2)=0))),Flows!$C40,0))</f>
        <v/>
      </c>
      <c r="AJ39" s="13">
        <f>IF(OR($A39="",Flows!$C40=""),0,IF(AND(31&lt;=Setup!$B$5,31&gt;=$C39,OR(AND($E39="once",31=$C39),AND($E39="weekly",31&lt;=$D39),AND($E39="biweekly",31&lt;=$D39,MOD(31-$C39,2)=0))),Flows!$C40,0))</f>
        <v/>
      </c>
      <c r="AK39" s="13">
        <f>IF(OR($A39="",Flows!$C40=""),0,IF(AND(32&lt;=Setup!$B$5,32&gt;=$C39,OR(AND($E39="once",32=$C39),AND($E39="weekly",32&lt;=$D39),AND($E39="biweekly",32&lt;=$D39,MOD(32-$C39,2)=0))),Flows!$C40,0))</f>
        <v/>
      </c>
      <c r="AL39" s="13">
        <f>IF(OR($A39="",Flows!$C40=""),0,IF(AND(33&lt;=Setup!$B$5,33&gt;=$C39,OR(AND($E39="once",33=$C39),AND($E39="weekly",33&lt;=$D39),AND($E39="biweekly",33&lt;=$D39,MOD(33-$C39,2)=0))),Flows!$C40,0))</f>
        <v/>
      </c>
      <c r="AM39" s="13">
        <f>IF(OR($A39="",Flows!$C40=""),0,IF(AND(34&lt;=Setup!$B$5,34&gt;=$C39,OR(AND($E39="once",34=$C39),AND($E39="weekly",34&lt;=$D39),AND($E39="biweekly",34&lt;=$D39,MOD(34-$C39,2)=0))),Flows!$C40,0))</f>
        <v/>
      </c>
      <c r="AN39" s="13">
        <f>IF(OR($A39="",Flows!$C40=""),0,IF(AND(35&lt;=Setup!$B$5,35&gt;=$C39,OR(AND($E39="once",35=$C39),AND($E39="weekly",35&lt;=$D39),AND($E39="biweekly",35&lt;=$D39,MOD(35-$C39,2)=0))),Flows!$C40,0))</f>
        <v/>
      </c>
      <c r="AO39" s="13">
        <f>IF(OR($A39="",Flows!$C40=""),0,IF(AND(36&lt;=Setup!$B$5,36&gt;=$C39,OR(AND($E39="once",36=$C39),AND($E39="weekly",36&lt;=$D39),AND($E39="biweekly",36&lt;=$D39,MOD(36-$C39,2)=0))),Flows!$C40,0))</f>
        <v/>
      </c>
      <c r="AP39" s="13">
        <f>IF(OR($A39="",Flows!$C40=""),0,IF(AND(37&lt;=Setup!$B$5,37&gt;=$C39,OR(AND($E39="once",37=$C39),AND($E39="weekly",37&lt;=$D39),AND($E39="biweekly",37&lt;=$D39,MOD(37-$C39,2)=0))),Flows!$C40,0))</f>
        <v/>
      </c>
      <c r="AQ39" s="13">
        <f>IF(OR($A39="",Flows!$C40=""),0,IF(AND(38&lt;=Setup!$B$5,38&gt;=$C39,OR(AND($E39="once",38=$C39),AND($E39="weekly",38&lt;=$D39),AND($E39="biweekly",38&lt;=$D39,MOD(38-$C39,2)=0))),Flows!$C40,0))</f>
        <v/>
      </c>
      <c r="AR39" s="13">
        <f>IF(OR($A39="",Flows!$C40=""),0,IF(AND(39&lt;=Setup!$B$5,39&gt;=$C39,OR(AND($E39="once",39=$C39),AND($E39="weekly",39&lt;=$D39),AND($E39="biweekly",39&lt;=$D39,MOD(39-$C39,2)=0))),Flows!$C40,0))</f>
        <v/>
      </c>
      <c r="AS39" s="13">
        <f>IF(OR($A39="",Flows!$C40=""),0,IF(AND(40&lt;=Setup!$B$5,40&gt;=$C39,OR(AND($E39="once",40=$C39),AND($E39="weekly",40&lt;=$D39),AND($E39="biweekly",40&lt;=$D39,MOD(40-$C39,2)=0))),Flows!$C40,0))</f>
        <v/>
      </c>
      <c r="AT39" s="13">
        <f>IF(OR($A39="",Flows!$C40=""),0,IF(AND(41&lt;=Setup!$B$5,41&gt;=$C39,OR(AND($E39="once",41=$C39),AND($E39="weekly",41&lt;=$D39),AND($E39="biweekly",41&lt;=$D39,MOD(41-$C39,2)=0))),Flows!$C40,0))</f>
        <v/>
      </c>
      <c r="AU39" s="13">
        <f>IF(OR($A39="",Flows!$C40=""),0,IF(AND(42&lt;=Setup!$B$5,42&gt;=$C39,OR(AND($E39="once",42=$C39),AND($E39="weekly",42&lt;=$D39),AND($E39="biweekly",42&lt;=$D39,MOD(42-$C39,2)=0))),Flows!$C40,0))</f>
        <v/>
      </c>
      <c r="AV39" s="13">
        <f>IF(OR($A39="",Flows!$C40=""),0,IF(AND(43&lt;=Setup!$B$5,43&gt;=$C39,OR(AND($E39="once",43=$C39),AND($E39="weekly",43&lt;=$D39),AND($E39="biweekly",43&lt;=$D39,MOD(43-$C39,2)=0))),Flows!$C40,0))</f>
        <v/>
      </c>
      <c r="AW39" s="13">
        <f>IF(OR($A39="",Flows!$C40=""),0,IF(AND(44&lt;=Setup!$B$5,44&gt;=$C39,OR(AND($E39="once",44=$C39),AND($E39="weekly",44&lt;=$D39),AND($E39="biweekly",44&lt;=$D39,MOD(44-$C39,2)=0))),Flows!$C40,0))</f>
        <v/>
      </c>
      <c r="AX39" s="13">
        <f>IF(OR($A39="",Flows!$C40=""),0,IF(AND(45&lt;=Setup!$B$5,45&gt;=$C39,OR(AND($E39="once",45=$C39),AND($E39="weekly",45&lt;=$D39),AND($E39="biweekly",45&lt;=$D39,MOD(45-$C39,2)=0))),Flows!$C40,0))</f>
        <v/>
      </c>
      <c r="AY39" s="13">
        <f>IF(OR($A39="",Flows!$C40=""),0,IF(AND(46&lt;=Setup!$B$5,46&gt;=$C39,OR(AND($E39="once",46=$C39),AND($E39="weekly",46&lt;=$D39),AND($E39="biweekly",46&lt;=$D39,MOD(46-$C39,2)=0))),Flows!$C40,0))</f>
        <v/>
      </c>
      <c r="AZ39" s="13">
        <f>IF(OR($A39="",Flows!$C40=""),0,IF(AND(47&lt;=Setup!$B$5,47&gt;=$C39,OR(AND($E39="once",47=$C39),AND($E39="weekly",47&lt;=$D39),AND($E39="biweekly",47&lt;=$D39,MOD(47-$C39,2)=0))),Flows!$C40,0))</f>
        <v/>
      </c>
      <c r="BA39" s="13">
        <f>IF(OR($A39="",Flows!$C40=""),0,IF(AND(48&lt;=Setup!$B$5,48&gt;=$C39,OR(AND($E39="once",48=$C39),AND($E39="weekly",48&lt;=$D39),AND($E39="biweekly",48&lt;=$D39,MOD(48-$C39,2)=0))),Flows!$C40,0))</f>
        <v/>
      </c>
      <c r="BB39" s="13">
        <f>IF(OR($A39="",Flows!$C40=""),0,IF(AND(49&lt;=Setup!$B$5,49&gt;=$C39,OR(AND($E39="once",49=$C39),AND($E39="weekly",49&lt;=$D39),AND($E39="biweekly",49&lt;=$D39,MOD(49-$C39,2)=0))),Flows!$C40,0))</f>
        <v/>
      </c>
      <c r="BC39" s="13">
        <f>IF(OR($A39="",Flows!$C40=""),0,IF(AND(50&lt;=Setup!$B$5,50&gt;=$C39,OR(AND($E39="once",50=$C39),AND($E39="weekly",50&lt;=$D39),AND($E39="biweekly",50&lt;=$D39,MOD(50-$C39,2)=0))),Flows!$C40,0))</f>
        <v/>
      </c>
      <c r="BD39" s="13">
        <f>IF(OR($A39="",Flows!$C40=""),0,IF(AND(51&lt;=Setup!$B$5,51&gt;=$C39,OR(AND($E39="once",51=$C39),AND($E39="weekly",51&lt;=$D39),AND($E39="biweekly",51&lt;=$D39,MOD(51-$C39,2)=0))),Flows!$C40,0))</f>
        <v/>
      </c>
      <c r="BE39" s="13">
        <f>IF(OR($A39="",Flows!$C40=""),0,IF(AND(52&lt;=Setup!$B$5,52&gt;=$C39,OR(AND($E39="once",52=$C39),AND($E39="weekly",52&lt;=$D39),AND($E39="biweekly",52&lt;=$D39,MOD(52-$C39,2)=0))),Flows!$C40,0))</f>
        <v/>
      </c>
    </row>
    <row r="40">
      <c r="A40" s="7">
        <f>IF(Flows!A41="","",LOWER(Flows!A41))</f>
        <v/>
      </c>
      <c r="B40" s="7">
        <f>IF(Flows!B41="","",Flows!B41)</f>
        <v/>
      </c>
      <c r="C40" s="7">
        <f>N(Flows!D41)</f>
        <v/>
      </c>
      <c r="D40" s="7">
        <f>IF(Flows!F41="",Setup!$B$5,Flows!F41)</f>
        <v/>
      </c>
      <c r="E40" s="7">
        <f>IF(Flows!E41="","once",LOWER(Flows!E41))</f>
        <v/>
      </c>
      <c r="F40" s="13">
        <f>IF(OR($A40="",Flows!$C41=""),0,IF(AND(1&lt;=Setup!$B$5,1&gt;=$C40,OR(AND($E40="once",1=$C40),AND($E40="weekly",1&lt;=$D40),AND($E40="biweekly",1&lt;=$D40,MOD(1-$C40,2)=0))),Flows!$C41,0))</f>
        <v/>
      </c>
      <c r="G40" s="13">
        <f>IF(OR($A40="",Flows!$C41=""),0,IF(AND(2&lt;=Setup!$B$5,2&gt;=$C40,OR(AND($E40="once",2=$C40),AND($E40="weekly",2&lt;=$D40),AND($E40="biweekly",2&lt;=$D40,MOD(2-$C40,2)=0))),Flows!$C41,0))</f>
        <v/>
      </c>
      <c r="H40" s="13">
        <f>IF(OR($A40="",Flows!$C41=""),0,IF(AND(3&lt;=Setup!$B$5,3&gt;=$C40,OR(AND($E40="once",3=$C40),AND($E40="weekly",3&lt;=$D40),AND($E40="biweekly",3&lt;=$D40,MOD(3-$C40,2)=0))),Flows!$C41,0))</f>
        <v/>
      </c>
      <c r="I40" s="13">
        <f>IF(OR($A40="",Flows!$C41=""),0,IF(AND(4&lt;=Setup!$B$5,4&gt;=$C40,OR(AND($E40="once",4=$C40),AND($E40="weekly",4&lt;=$D40),AND($E40="biweekly",4&lt;=$D40,MOD(4-$C40,2)=0))),Flows!$C41,0))</f>
        <v/>
      </c>
      <c r="J40" s="13">
        <f>IF(OR($A40="",Flows!$C41=""),0,IF(AND(5&lt;=Setup!$B$5,5&gt;=$C40,OR(AND($E40="once",5=$C40),AND($E40="weekly",5&lt;=$D40),AND($E40="biweekly",5&lt;=$D40,MOD(5-$C40,2)=0))),Flows!$C41,0))</f>
        <v/>
      </c>
      <c r="K40" s="13">
        <f>IF(OR($A40="",Flows!$C41=""),0,IF(AND(6&lt;=Setup!$B$5,6&gt;=$C40,OR(AND($E40="once",6=$C40),AND($E40="weekly",6&lt;=$D40),AND($E40="biweekly",6&lt;=$D40,MOD(6-$C40,2)=0))),Flows!$C41,0))</f>
        <v/>
      </c>
      <c r="L40" s="13">
        <f>IF(OR($A40="",Flows!$C41=""),0,IF(AND(7&lt;=Setup!$B$5,7&gt;=$C40,OR(AND($E40="once",7=$C40),AND($E40="weekly",7&lt;=$D40),AND($E40="biweekly",7&lt;=$D40,MOD(7-$C40,2)=0))),Flows!$C41,0))</f>
        <v/>
      </c>
      <c r="M40" s="13">
        <f>IF(OR($A40="",Flows!$C41=""),0,IF(AND(8&lt;=Setup!$B$5,8&gt;=$C40,OR(AND($E40="once",8=$C40),AND($E40="weekly",8&lt;=$D40),AND($E40="biweekly",8&lt;=$D40,MOD(8-$C40,2)=0))),Flows!$C41,0))</f>
        <v/>
      </c>
      <c r="N40" s="13">
        <f>IF(OR($A40="",Flows!$C41=""),0,IF(AND(9&lt;=Setup!$B$5,9&gt;=$C40,OR(AND($E40="once",9=$C40),AND($E40="weekly",9&lt;=$D40),AND($E40="biweekly",9&lt;=$D40,MOD(9-$C40,2)=0))),Flows!$C41,0))</f>
        <v/>
      </c>
      <c r="O40" s="13">
        <f>IF(OR($A40="",Flows!$C41=""),0,IF(AND(10&lt;=Setup!$B$5,10&gt;=$C40,OR(AND($E40="once",10=$C40),AND($E40="weekly",10&lt;=$D40),AND($E40="biweekly",10&lt;=$D40,MOD(10-$C40,2)=0))),Flows!$C41,0))</f>
        <v/>
      </c>
      <c r="P40" s="13">
        <f>IF(OR($A40="",Flows!$C41=""),0,IF(AND(11&lt;=Setup!$B$5,11&gt;=$C40,OR(AND($E40="once",11=$C40),AND($E40="weekly",11&lt;=$D40),AND($E40="biweekly",11&lt;=$D40,MOD(11-$C40,2)=0))),Flows!$C41,0))</f>
        <v/>
      </c>
      <c r="Q40" s="13">
        <f>IF(OR($A40="",Flows!$C41=""),0,IF(AND(12&lt;=Setup!$B$5,12&gt;=$C40,OR(AND($E40="once",12=$C40),AND($E40="weekly",12&lt;=$D40),AND($E40="biweekly",12&lt;=$D40,MOD(12-$C40,2)=0))),Flows!$C41,0))</f>
        <v/>
      </c>
      <c r="R40" s="13">
        <f>IF(OR($A40="",Flows!$C41=""),0,IF(AND(13&lt;=Setup!$B$5,13&gt;=$C40,OR(AND($E40="once",13=$C40),AND($E40="weekly",13&lt;=$D40),AND($E40="biweekly",13&lt;=$D40,MOD(13-$C40,2)=0))),Flows!$C41,0))</f>
        <v/>
      </c>
      <c r="S40" s="13">
        <f>IF(OR($A40="",Flows!$C41=""),0,IF(AND(14&lt;=Setup!$B$5,14&gt;=$C40,OR(AND($E40="once",14=$C40),AND($E40="weekly",14&lt;=$D40),AND($E40="biweekly",14&lt;=$D40,MOD(14-$C40,2)=0))),Flows!$C41,0))</f>
        <v/>
      </c>
      <c r="T40" s="13">
        <f>IF(OR($A40="",Flows!$C41=""),0,IF(AND(15&lt;=Setup!$B$5,15&gt;=$C40,OR(AND($E40="once",15=$C40),AND($E40="weekly",15&lt;=$D40),AND($E40="biweekly",15&lt;=$D40,MOD(15-$C40,2)=0))),Flows!$C41,0))</f>
        <v/>
      </c>
      <c r="U40" s="13">
        <f>IF(OR($A40="",Flows!$C41=""),0,IF(AND(16&lt;=Setup!$B$5,16&gt;=$C40,OR(AND($E40="once",16=$C40),AND($E40="weekly",16&lt;=$D40),AND($E40="biweekly",16&lt;=$D40,MOD(16-$C40,2)=0))),Flows!$C41,0))</f>
        <v/>
      </c>
      <c r="V40" s="13">
        <f>IF(OR($A40="",Flows!$C41=""),0,IF(AND(17&lt;=Setup!$B$5,17&gt;=$C40,OR(AND($E40="once",17=$C40),AND($E40="weekly",17&lt;=$D40),AND($E40="biweekly",17&lt;=$D40,MOD(17-$C40,2)=0))),Flows!$C41,0))</f>
        <v/>
      </c>
      <c r="W40" s="13">
        <f>IF(OR($A40="",Flows!$C41=""),0,IF(AND(18&lt;=Setup!$B$5,18&gt;=$C40,OR(AND($E40="once",18=$C40),AND($E40="weekly",18&lt;=$D40),AND($E40="biweekly",18&lt;=$D40,MOD(18-$C40,2)=0))),Flows!$C41,0))</f>
        <v/>
      </c>
      <c r="X40" s="13">
        <f>IF(OR($A40="",Flows!$C41=""),0,IF(AND(19&lt;=Setup!$B$5,19&gt;=$C40,OR(AND($E40="once",19=$C40),AND($E40="weekly",19&lt;=$D40),AND($E40="biweekly",19&lt;=$D40,MOD(19-$C40,2)=0))),Flows!$C41,0))</f>
        <v/>
      </c>
      <c r="Y40" s="13">
        <f>IF(OR($A40="",Flows!$C41=""),0,IF(AND(20&lt;=Setup!$B$5,20&gt;=$C40,OR(AND($E40="once",20=$C40),AND($E40="weekly",20&lt;=$D40),AND($E40="biweekly",20&lt;=$D40,MOD(20-$C40,2)=0))),Flows!$C41,0))</f>
        <v/>
      </c>
      <c r="Z40" s="13">
        <f>IF(OR($A40="",Flows!$C41=""),0,IF(AND(21&lt;=Setup!$B$5,21&gt;=$C40,OR(AND($E40="once",21=$C40),AND($E40="weekly",21&lt;=$D40),AND($E40="biweekly",21&lt;=$D40,MOD(21-$C40,2)=0))),Flows!$C41,0))</f>
        <v/>
      </c>
      <c r="AA40" s="13">
        <f>IF(OR($A40="",Flows!$C41=""),0,IF(AND(22&lt;=Setup!$B$5,22&gt;=$C40,OR(AND($E40="once",22=$C40),AND($E40="weekly",22&lt;=$D40),AND($E40="biweekly",22&lt;=$D40,MOD(22-$C40,2)=0))),Flows!$C41,0))</f>
        <v/>
      </c>
      <c r="AB40" s="13">
        <f>IF(OR($A40="",Flows!$C41=""),0,IF(AND(23&lt;=Setup!$B$5,23&gt;=$C40,OR(AND($E40="once",23=$C40),AND($E40="weekly",23&lt;=$D40),AND($E40="biweekly",23&lt;=$D40,MOD(23-$C40,2)=0))),Flows!$C41,0))</f>
        <v/>
      </c>
      <c r="AC40" s="13">
        <f>IF(OR($A40="",Flows!$C41=""),0,IF(AND(24&lt;=Setup!$B$5,24&gt;=$C40,OR(AND($E40="once",24=$C40),AND($E40="weekly",24&lt;=$D40),AND($E40="biweekly",24&lt;=$D40,MOD(24-$C40,2)=0))),Flows!$C41,0))</f>
        <v/>
      </c>
      <c r="AD40" s="13">
        <f>IF(OR($A40="",Flows!$C41=""),0,IF(AND(25&lt;=Setup!$B$5,25&gt;=$C40,OR(AND($E40="once",25=$C40),AND($E40="weekly",25&lt;=$D40),AND($E40="biweekly",25&lt;=$D40,MOD(25-$C40,2)=0))),Flows!$C41,0))</f>
        <v/>
      </c>
      <c r="AE40" s="13">
        <f>IF(OR($A40="",Flows!$C41=""),0,IF(AND(26&lt;=Setup!$B$5,26&gt;=$C40,OR(AND($E40="once",26=$C40),AND($E40="weekly",26&lt;=$D40),AND($E40="biweekly",26&lt;=$D40,MOD(26-$C40,2)=0))),Flows!$C41,0))</f>
        <v/>
      </c>
      <c r="AF40" s="13">
        <f>IF(OR($A40="",Flows!$C41=""),0,IF(AND(27&lt;=Setup!$B$5,27&gt;=$C40,OR(AND($E40="once",27=$C40),AND($E40="weekly",27&lt;=$D40),AND($E40="biweekly",27&lt;=$D40,MOD(27-$C40,2)=0))),Flows!$C41,0))</f>
        <v/>
      </c>
      <c r="AG40" s="13">
        <f>IF(OR($A40="",Flows!$C41=""),0,IF(AND(28&lt;=Setup!$B$5,28&gt;=$C40,OR(AND($E40="once",28=$C40),AND($E40="weekly",28&lt;=$D40),AND($E40="biweekly",28&lt;=$D40,MOD(28-$C40,2)=0))),Flows!$C41,0))</f>
        <v/>
      </c>
      <c r="AH40" s="13">
        <f>IF(OR($A40="",Flows!$C41=""),0,IF(AND(29&lt;=Setup!$B$5,29&gt;=$C40,OR(AND($E40="once",29=$C40),AND($E40="weekly",29&lt;=$D40),AND($E40="biweekly",29&lt;=$D40,MOD(29-$C40,2)=0))),Flows!$C41,0))</f>
        <v/>
      </c>
      <c r="AI40" s="13">
        <f>IF(OR($A40="",Flows!$C41=""),0,IF(AND(30&lt;=Setup!$B$5,30&gt;=$C40,OR(AND($E40="once",30=$C40),AND($E40="weekly",30&lt;=$D40),AND($E40="biweekly",30&lt;=$D40,MOD(30-$C40,2)=0))),Flows!$C41,0))</f>
        <v/>
      </c>
      <c r="AJ40" s="13">
        <f>IF(OR($A40="",Flows!$C41=""),0,IF(AND(31&lt;=Setup!$B$5,31&gt;=$C40,OR(AND($E40="once",31=$C40),AND($E40="weekly",31&lt;=$D40),AND($E40="biweekly",31&lt;=$D40,MOD(31-$C40,2)=0))),Flows!$C41,0))</f>
        <v/>
      </c>
      <c r="AK40" s="13">
        <f>IF(OR($A40="",Flows!$C41=""),0,IF(AND(32&lt;=Setup!$B$5,32&gt;=$C40,OR(AND($E40="once",32=$C40),AND($E40="weekly",32&lt;=$D40),AND($E40="biweekly",32&lt;=$D40,MOD(32-$C40,2)=0))),Flows!$C41,0))</f>
        <v/>
      </c>
      <c r="AL40" s="13">
        <f>IF(OR($A40="",Flows!$C41=""),0,IF(AND(33&lt;=Setup!$B$5,33&gt;=$C40,OR(AND($E40="once",33=$C40),AND($E40="weekly",33&lt;=$D40),AND($E40="biweekly",33&lt;=$D40,MOD(33-$C40,2)=0))),Flows!$C41,0))</f>
        <v/>
      </c>
      <c r="AM40" s="13">
        <f>IF(OR($A40="",Flows!$C41=""),0,IF(AND(34&lt;=Setup!$B$5,34&gt;=$C40,OR(AND($E40="once",34=$C40),AND($E40="weekly",34&lt;=$D40),AND($E40="biweekly",34&lt;=$D40,MOD(34-$C40,2)=0))),Flows!$C41,0))</f>
        <v/>
      </c>
      <c r="AN40" s="13">
        <f>IF(OR($A40="",Flows!$C41=""),0,IF(AND(35&lt;=Setup!$B$5,35&gt;=$C40,OR(AND($E40="once",35=$C40),AND($E40="weekly",35&lt;=$D40),AND($E40="biweekly",35&lt;=$D40,MOD(35-$C40,2)=0))),Flows!$C41,0))</f>
        <v/>
      </c>
      <c r="AO40" s="13">
        <f>IF(OR($A40="",Flows!$C41=""),0,IF(AND(36&lt;=Setup!$B$5,36&gt;=$C40,OR(AND($E40="once",36=$C40),AND($E40="weekly",36&lt;=$D40),AND($E40="biweekly",36&lt;=$D40,MOD(36-$C40,2)=0))),Flows!$C41,0))</f>
        <v/>
      </c>
      <c r="AP40" s="13">
        <f>IF(OR($A40="",Flows!$C41=""),0,IF(AND(37&lt;=Setup!$B$5,37&gt;=$C40,OR(AND($E40="once",37=$C40),AND($E40="weekly",37&lt;=$D40),AND($E40="biweekly",37&lt;=$D40,MOD(37-$C40,2)=0))),Flows!$C41,0))</f>
        <v/>
      </c>
      <c r="AQ40" s="13">
        <f>IF(OR($A40="",Flows!$C41=""),0,IF(AND(38&lt;=Setup!$B$5,38&gt;=$C40,OR(AND($E40="once",38=$C40),AND($E40="weekly",38&lt;=$D40),AND($E40="biweekly",38&lt;=$D40,MOD(38-$C40,2)=0))),Flows!$C41,0))</f>
        <v/>
      </c>
      <c r="AR40" s="13">
        <f>IF(OR($A40="",Flows!$C41=""),0,IF(AND(39&lt;=Setup!$B$5,39&gt;=$C40,OR(AND($E40="once",39=$C40),AND($E40="weekly",39&lt;=$D40),AND($E40="biweekly",39&lt;=$D40,MOD(39-$C40,2)=0))),Flows!$C41,0))</f>
        <v/>
      </c>
      <c r="AS40" s="13">
        <f>IF(OR($A40="",Flows!$C41=""),0,IF(AND(40&lt;=Setup!$B$5,40&gt;=$C40,OR(AND($E40="once",40=$C40),AND($E40="weekly",40&lt;=$D40),AND($E40="biweekly",40&lt;=$D40,MOD(40-$C40,2)=0))),Flows!$C41,0))</f>
        <v/>
      </c>
      <c r="AT40" s="13">
        <f>IF(OR($A40="",Flows!$C41=""),0,IF(AND(41&lt;=Setup!$B$5,41&gt;=$C40,OR(AND($E40="once",41=$C40),AND($E40="weekly",41&lt;=$D40),AND($E40="biweekly",41&lt;=$D40,MOD(41-$C40,2)=0))),Flows!$C41,0))</f>
        <v/>
      </c>
      <c r="AU40" s="13">
        <f>IF(OR($A40="",Flows!$C41=""),0,IF(AND(42&lt;=Setup!$B$5,42&gt;=$C40,OR(AND($E40="once",42=$C40),AND($E40="weekly",42&lt;=$D40),AND($E40="biweekly",42&lt;=$D40,MOD(42-$C40,2)=0))),Flows!$C41,0))</f>
        <v/>
      </c>
      <c r="AV40" s="13">
        <f>IF(OR($A40="",Flows!$C41=""),0,IF(AND(43&lt;=Setup!$B$5,43&gt;=$C40,OR(AND($E40="once",43=$C40),AND($E40="weekly",43&lt;=$D40),AND($E40="biweekly",43&lt;=$D40,MOD(43-$C40,2)=0))),Flows!$C41,0))</f>
        <v/>
      </c>
      <c r="AW40" s="13">
        <f>IF(OR($A40="",Flows!$C41=""),0,IF(AND(44&lt;=Setup!$B$5,44&gt;=$C40,OR(AND($E40="once",44=$C40),AND($E40="weekly",44&lt;=$D40),AND($E40="biweekly",44&lt;=$D40,MOD(44-$C40,2)=0))),Flows!$C41,0))</f>
        <v/>
      </c>
      <c r="AX40" s="13">
        <f>IF(OR($A40="",Flows!$C41=""),0,IF(AND(45&lt;=Setup!$B$5,45&gt;=$C40,OR(AND($E40="once",45=$C40),AND($E40="weekly",45&lt;=$D40),AND($E40="biweekly",45&lt;=$D40,MOD(45-$C40,2)=0))),Flows!$C41,0))</f>
        <v/>
      </c>
      <c r="AY40" s="13">
        <f>IF(OR($A40="",Flows!$C41=""),0,IF(AND(46&lt;=Setup!$B$5,46&gt;=$C40,OR(AND($E40="once",46=$C40),AND($E40="weekly",46&lt;=$D40),AND($E40="biweekly",46&lt;=$D40,MOD(46-$C40,2)=0))),Flows!$C41,0))</f>
        <v/>
      </c>
      <c r="AZ40" s="13">
        <f>IF(OR($A40="",Flows!$C41=""),0,IF(AND(47&lt;=Setup!$B$5,47&gt;=$C40,OR(AND($E40="once",47=$C40),AND($E40="weekly",47&lt;=$D40),AND($E40="biweekly",47&lt;=$D40,MOD(47-$C40,2)=0))),Flows!$C41,0))</f>
        <v/>
      </c>
      <c r="BA40" s="13">
        <f>IF(OR($A40="",Flows!$C41=""),0,IF(AND(48&lt;=Setup!$B$5,48&gt;=$C40,OR(AND($E40="once",48=$C40),AND($E40="weekly",48&lt;=$D40),AND($E40="biweekly",48&lt;=$D40,MOD(48-$C40,2)=0))),Flows!$C41,0))</f>
        <v/>
      </c>
      <c r="BB40" s="13">
        <f>IF(OR($A40="",Flows!$C41=""),0,IF(AND(49&lt;=Setup!$B$5,49&gt;=$C40,OR(AND($E40="once",49=$C40),AND($E40="weekly",49&lt;=$D40),AND($E40="biweekly",49&lt;=$D40,MOD(49-$C40,2)=0))),Flows!$C41,0))</f>
        <v/>
      </c>
      <c r="BC40" s="13">
        <f>IF(OR($A40="",Flows!$C41=""),0,IF(AND(50&lt;=Setup!$B$5,50&gt;=$C40,OR(AND($E40="once",50=$C40),AND($E40="weekly",50&lt;=$D40),AND($E40="biweekly",50&lt;=$D40,MOD(50-$C40,2)=0))),Flows!$C41,0))</f>
        <v/>
      </c>
      <c r="BD40" s="13">
        <f>IF(OR($A40="",Flows!$C41=""),0,IF(AND(51&lt;=Setup!$B$5,51&gt;=$C40,OR(AND($E40="once",51=$C40),AND($E40="weekly",51&lt;=$D40),AND($E40="biweekly",51&lt;=$D40,MOD(51-$C40,2)=0))),Flows!$C41,0))</f>
        <v/>
      </c>
      <c r="BE40" s="13">
        <f>IF(OR($A40="",Flows!$C41=""),0,IF(AND(52&lt;=Setup!$B$5,52&gt;=$C40,OR(AND($E40="once",52=$C40),AND($E40="weekly",52&lt;=$D40),AND($E40="biweekly",52&lt;=$D40,MOD(52-$C40,2)=0))),Flows!$C41,0))</f>
        <v/>
      </c>
    </row>
    <row r="41">
      <c r="A41" s="7">
        <f>IF(Flows!A42="","",LOWER(Flows!A42))</f>
        <v/>
      </c>
      <c r="B41" s="7">
        <f>IF(Flows!B42="","",Flows!B42)</f>
        <v/>
      </c>
      <c r="C41" s="7">
        <f>N(Flows!D42)</f>
        <v/>
      </c>
      <c r="D41" s="7">
        <f>IF(Flows!F42="",Setup!$B$5,Flows!F42)</f>
        <v/>
      </c>
      <c r="E41" s="7">
        <f>IF(Flows!E42="","once",LOWER(Flows!E42))</f>
        <v/>
      </c>
      <c r="F41" s="13">
        <f>IF(OR($A41="",Flows!$C42=""),0,IF(AND(1&lt;=Setup!$B$5,1&gt;=$C41,OR(AND($E41="once",1=$C41),AND($E41="weekly",1&lt;=$D41),AND($E41="biweekly",1&lt;=$D41,MOD(1-$C41,2)=0))),Flows!$C42,0))</f>
        <v/>
      </c>
      <c r="G41" s="13">
        <f>IF(OR($A41="",Flows!$C42=""),0,IF(AND(2&lt;=Setup!$B$5,2&gt;=$C41,OR(AND($E41="once",2=$C41),AND($E41="weekly",2&lt;=$D41),AND($E41="biweekly",2&lt;=$D41,MOD(2-$C41,2)=0))),Flows!$C42,0))</f>
        <v/>
      </c>
      <c r="H41" s="13">
        <f>IF(OR($A41="",Flows!$C42=""),0,IF(AND(3&lt;=Setup!$B$5,3&gt;=$C41,OR(AND($E41="once",3=$C41),AND($E41="weekly",3&lt;=$D41),AND($E41="biweekly",3&lt;=$D41,MOD(3-$C41,2)=0))),Flows!$C42,0))</f>
        <v/>
      </c>
      <c r="I41" s="13">
        <f>IF(OR($A41="",Flows!$C42=""),0,IF(AND(4&lt;=Setup!$B$5,4&gt;=$C41,OR(AND($E41="once",4=$C41),AND($E41="weekly",4&lt;=$D41),AND($E41="biweekly",4&lt;=$D41,MOD(4-$C41,2)=0))),Flows!$C42,0))</f>
        <v/>
      </c>
      <c r="J41" s="13">
        <f>IF(OR($A41="",Flows!$C42=""),0,IF(AND(5&lt;=Setup!$B$5,5&gt;=$C41,OR(AND($E41="once",5=$C41),AND($E41="weekly",5&lt;=$D41),AND($E41="biweekly",5&lt;=$D41,MOD(5-$C41,2)=0))),Flows!$C42,0))</f>
        <v/>
      </c>
      <c r="K41" s="13">
        <f>IF(OR($A41="",Flows!$C42=""),0,IF(AND(6&lt;=Setup!$B$5,6&gt;=$C41,OR(AND($E41="once",6=$C41),AND($E41="weekly",6&lt;=$D41),AND($E41="biweekly",6&lt;=$D41,MOD(6-$C41,2)=0))),Flows!$C42,0))</f>
        <v/>
      </c>
      <c r="L41" s="13">
        <f>IF(OR($A41="",Flows!$C42=""),0,IF(AND(7&lt;=Setup!$B$5,7&gt;=$C41,OR(AND($E41="once",7=$C41),AND($E41="weekly",7&lt;=$D41),AND($E41="biweekly",7&lt;=$D41,MOD(7-$C41,2)=0))),Flows!$C42,0))</f>
        <v/>
      </c>
      <c r="M41" s="13">
        <f>IF(OR($A41="",Flows!$C42=""),0,IF(AND(8&lt;=Setup!$B$5,8&gt;=$C41,OR(AND($E41="once",8=$C41),AND($E41="weekly",8&lt;=$D41),AND($E41="biweekly",8&lt;=$D41,MOD(8-$C41,2)=0))),Flows!$C42,0))</f>
        <v/>
      </c>
      <c r="N41" s="13">
        <f>IF(OR($A41="",Flows!$C42=""),0,IF(AND(9&lt;=Setup!$B$5,9&gt;=$C41,OR(AND($E41="once",9=$C41),AND($E41="weekly",9&lt;=$D41),AND($E41="biweekly",9&lt;=$D41,MOD(9-$C41,2)=0))),Flows!$C42,0))</f>
        <v/>
      </c>
      <c r="O41" s="13">
        <f>IF(OR($A41="",Flows!$C42=""),0,IF(AND(10&lt;=Setup!$B$5,10&gt;=$C41,OR(AND($E41="once",10=$C41),AND($E41="weekly",10&lt;=$D41),AND($E41="biweekly",10&lt;=$D41,MOD(10-$C41,2)=0))),Flows!$C42,0))</f>
        <v/>
      </c>
      <c r="P41" s="13">
        <f>IF(OR($A41="",Flows!$C42=""),0,IF(AND(11&lt;=Setup!$B$5,11&gt;=$C41,OR(AND($E41="once",11=$C41),AND($E41="weekly",11&lt;=$D41),AND($E41="biweekly",11&lt;=$D41,MOD(11-$C41,2)=0))),Flows!$C42,0))</f>
        <v/>
      </c>
      <c r="Q41" s="13">
        <f>IF(OR($A41="",Flows!$C42=""),0,IF(AND(12&lt;=Setup!$B$5,12&gt;=$C41,OR(AND($E41="once",12=$C41),AND($E41="weekly",12&lt;=$D41),AND($E41="biweekly",12&lt;=$D41,MOD(12-$C41,2)=0))),Flows!$C42,0))</f>
        <v/>
      </c>
      <c r="R41" s="13">
        <f>IF(OR($A41="",Flows!$C42=""),0,IF(AND(13&lt;=Setup!$B$5,13&gt;=$C41,OR(AND($E41="once",13=$C41),AND($E41="weekly",13&lt;=$D41),AND($E41="biweekly",13&lt;=$D41,MOD(13-$C41,2)=0))),Flows!$C42,0))</f>
        <v/>
      </c>
      <c r="S41" s="13">
        <f>IF(OR($A41="",Flows!$C42=""),0,IF(AND(14&lt;=Setup!$B$5,14&gt;=$C41,OR(AND($E41="once",14=$C41),AND($E41="weekly",14&lt;=$D41),AND($E41="biweekly",14&lt;=$D41,MOD(14-$C41,2)=0))),Flows!$C42,0))</f>
        <v/>
      </c>
      <c r="T41" s="13">
        <f>IF(OR($A41="",Flows!$C42=""),0,IF(AND(15&lt;=Setup!$B$5,15&gt;=$C41,OR(AND($E41="once",15=$C41),AND($E41="weekly",15&lt;=$D41),AND($E41="biweekly",15&lt;=$D41,MOD(15-$C41,2)=0))),Flows!$C42,0))</f>
        <v/>
      </c>
      <c r="U41" s="13">
        <f>IF(OR($A41="",Flows!$C42=""),0,IF(AND(16&lt;=Setup!$B$5,16&gt;=$C41,OR(AND($E41="once",16=$C41),AND($E41="weekly",16&lt;=$D41),AND($E41="biweekly",16&lt;=$D41,MOD(16-$C41,2)=0))),Flows!$C42,0))</f>
        <v/>
      </c>
      <c r="V41" s="13">
        <f>IF(OR($A41="",Flows!$C42=""),0,IF(AND(17&lt;=Setup!$B$5,17&gt;=$C41,OR(AND($E41="once",17=$C41),AND($E41="weekly",17&lt;=$D41),AND($E41="biweekly",17&lt;=$D41,MOD(17-$C41,2)=0))),Flows!$C42,0))</f>
        <v/>
      </c>
      <c r="W41" s="13">
        <f>IF(OR($A41="",Flows!$C42=""),0,IF(AND(18&lt;=Setup!$B$5,18&gt;=$C41,OR(AND($E41="once",18=$C41),AND($E41="weekly",18&lt;=$D41),AND($E41="biweekly",18&lt;=$D41,MOD(18-$C41,2)=0))),Flows!$C42,0))</f>
        <v/>
      </c>
      <c r="X41" s="13">
        <f>IF(OR($A41="",Flows!$C42=""),0,IF(AND(19&lt;=Setup!$B$5,19&gt;=$C41,OR(AND($E41="once",19=$C41),AND($E41="weekly",19&lt;=$D41),AND($E41="biweekly",19&lt;=$D41,MOD(19-$C41,2)=0))),Flows!$C42,0))</f>
        <v/>
      </c>
      <c r="Y41" s="13">
        <f>IF(OR($A41="",Flows!$C42=""),0,IF(AND(20&lt;=Setup!$B$5,20&gt;=$C41,OR(AND($E41="once",20=$C41),AND($E41="weekly",20&lt;=$D41),AND($E41="biweekly",20&lt;=$D41,MOD(20-$C41,2)=0))),Flows!$C42,0))</f>
        <v/>
      </c>
      <c r="Z41" s="13">
        <f>IF(OR($A41="",Flows!$C42=""),0,IF(AND(21&lt;=Setup!$B$5,21&gt;=$C41,OR(AND($E41="once",21=$C41),AND($E41="weekly",21&lt;=$D41),AND($E41="biweekly",21&lt;=$D41,MOD(21-$C41,2)=0))),Flows!$C42,0))</f>
        <v/>
      </c>
      <c r="AA41" s="13">
        <f>IF(OR($A41="",Flows!$C42=""),0,IF(AND(22&lt;=Setup!$B$5,22&gt;=$C41,OR(AND($E41="once",22=$C41),AND($E41="weekly",22&lt;=$D41),AND($E41="biweekly",22&lt;=$D41,MOD(22-$C41,2)=0))),Flows!$C42,0))</f>
        <v/>
      </c>
      <c r="AB41" s="13">
        <f>IF(OR($A41="",Flows!$C42=""),0,IF(AND(23&lt;=Setup!$B$5,23&gt;=$C41,OR(AND($E41="once",23=$C41),AND($E41="weekly",23&lt;=$D41),AND($E41="biweekly",23&lt;=$D41,MOD(23-$C41,2)=0))),Flows!$C42,0))</f>
        <v/>
      </c>
      <c r="AC41" s="13">
        <f>IF(OR($A41="",Flows!$C42=""),0,IF(AND(24&lt;=Setup!$B$5,24&gt;=$C41,OR(AND($E41="once",24=$C41),AND($E41="weekly",24&lt;=$D41),AND($E41="biweekly",24&lt;=$D41,MOD(24-$C41,2)=0))),Flows!$C42,0))</f>
        <v/>
      </c>
      <c r="AD41" s="13">
        <f>IF(OR($A41="",Flows!$C42=""),0,IF(AND(25&lt;=Setup!$B$5,25&gt;=$C41,OR(AND($E41="once",25=$C41),AND($E41="weekly",25&lt;=$D41),AND($E41="biweekly",25&lt;=$D41,MOD(25-$C41,2)=0))),Flows!$C42,0))</f>
        <v/>
      </c>
      <c r="AE41" s="13">
        <f>IF(OR($A41="",Flows!$C42=""),0,IF(AND(26&lt;=Setup!$B$5,26&gt;=$C41,OR(AND($E41="once",26=$C41),AND($E41="weekly",26&lt;=$D41),AND($E41="biweekly",26&lt;=$D41,MOD(26-$C41,2)=0))),Flows!$C42,0))</f>
        <v/>
      </c>
      <c r="AF41" s="13">
        <f>IF(OR($A41="",Flows!$C42=""),0,IF(AND(27&lt;=Setup!$B$5,27&gt;=$C41,OR(AND($E41="once",27=$C41),AND($E41="weekly",27&lt;=$D41),AND($E41="biweekly",27&lt;=$D41,MOD(27-$C41,2)=0))),Flows!$C42,0))</f>
        <v/>
      </c>
      <c r="AG41" s="13">
        <f>IF(OR($A41="",Flows!$C42=""),0,IF(AND(28&lt;=Setup!$B$5,28&gt;=$C41,OR(AND($E41="once",28=$C41),AND($E41="weekly",28&lt;=$D41),AND($E41="biweekly",28&lt;=$D41,MOD(28-$C41,2)=0))),Flows!$C42,0))</f>
        <v/>
      </c>
      <c r="AH41" s="13">
        <f>IF(OR($A41="",Flows!$C42=""),0,IF(AND(29&lt;=Setup!$B$5,29&gt;=$C41,OR(AND($E41="once",29=$C41),AND($E41="weekly",29&lt;=$D41),AND($E41="biweekly",29&lt;=$D41,MOD(29-$C41,2)=0))),Flows!$C42,0))</f>
        <v/>
      </c>
      <c r="AI41" s="13">
        <f>IF(OR($A41="",Flows!$C42=""),0,IF(AND(30&lt;=Setup!$B$5,30&gt;=$C41,OR(AND($E41="once",30=$C41),AND($E41="weekly",30&lt;=$D41),AND($E41="biweekly",30&lt;=$D41,MOD(30-$C41,2)=0))),Flows!$C42,0))</f>
        <v/>
      </c>
      <c r="AJ41" s="13">
        <f>IF(OR($A41="",Flows!$C42=""),0,IF(AND(31&lt;=Setup!$B$5,31&gt;=$C41,OR(AND($E41="once",31=$C41),AND($E41="weekly",31&lt;=$D41),AND($E41="biweekly",31&lt;=$D41,MOD(31-$C41,2)=0))),Flows!$C42,0))</f>
        <v/>
      </c>
      <c r="AK41" s="13">
        <f>IF(OR($A41="",Flows!$C42=""),0,IF(AND(32&lt;=Setup!$B$5,32&gt;=$C41,OR(AND($E41="once",32=$C41),AND($E41="weekly",32&lt;=$D41),AND($E41="biweekly",32&lt;=$D41,MOD(32-$C41,2)=0))),Flows!$C42,0))</f>
        <v/>
      </c>
      <c r="AL41" s="13">
        <f>IF(OR($A41="",Flows!$C42=""),0,IF(AND(33&lt;=Setup!$B$5,33&gt;=$C41,OR(AND($E41="once",33=$C41),AND($E41="weekly",33&lt;=$D41),AND($E41="biweekly",33&lt;=$D41,MOD(33-$C41,2)=0))),Flows!$C42,0))</f>
        <v/>
      </c>
      <c r="AM41" s="13">
        <f>IF(OR($A41="",Flows!$C42=""),0,IF(AND(34&lt;=Setup!$B$5,34&gt;=$C41,OR(AND($E41="once",34=$C41),AND($E41="weekly",34&lt;=$D41),AND($E41="biweekly",34&lt;=$D41,MOD(34-$C41,2)=0))),Flows!$C42,0))</f>
        <v/>
      </c>
      <c r="AN41" s="13">
        <f>IF(OR($A41="",Flows!$C42=""),0,IF(AND(35&lt;=Setup!$B$5,35&gt;=$C41,OR(AND($E41="once",35=$C41),AND($E41="weekly",35&lt;=$D41),AND($E41="biweekly",35&lt;=$D41,MOD(35-$C41,2)=0))),Flows!$C42,0))</f>
        <v/>
      </c>
      <c r="AO41" s="13">
        <f>IF(OR($A41="",Flows!$C42=""),0,IF(AND(36&lt;=Setup!$B$5,36&gt;=$C41,OR(AND($E41="once",36=$C41),AND($E41="weekly",36&lt;=$D41),AND($E41="biweekly",36&lt;=$D41,MOD(36-$C41,2)=0))),Flows!$C42,0))</f>
        <v/>
      </c>
      <c r="AP41" s="13">
        <f>IF(OR($A41="",Flows!$C42=""),0,IF(AND(37&lt;=Setup!$B$5,37&gt;=$C41,OR(AND($E41="once",37=$C41),AND($E41="weekly",37&lt;=$D41),AND($E41="biweekly",37&lt;=$D41,MOD(37-$C41,2)=0))),Flows!$C42,0))</f>
        <v/>
      </c>
      <c r="AQ41" s="13">
        <f>IF(OR($A41="",Flows!$C42=""),0,IF(AND(38&lt;=Setup!$B$5,38&gt;=$C41,OR(AND($E41="once",38=$C41),AND($E41="weekly",38&lt;=$D41),AND($E41="biweekly",38&lt;=$D41,MOD(38-$C41,2)=0))),Flows!$C42,0))</f>
        <v/>
      </c>
      <c r="AR41" s="13">
        <f>IF(OR($A41="",Flows!$C42=""),0,IF(AND(39&lt;=Setup!$B$5,39&gt;=$C41,OR(AND($E41="once",39=$C41),AND($E41="weekly",39&lt;=$D41),AND($E41="biweekly",39&lt;=$D41,MOD(39-$C41,2)=0))),Flows!$C42,0))</f>
        <v/>
      </c>
      <c r="AS41" s="13">
        <f>IF(OR($A41="",Flows!$C42=""),0,IF(AND(40&lt;=Setup!$B$5,40&gt;=$C41,OR(AND($E41="once",40=$C41),AND($E41="weekly",40&lt;=$D41),AND($E41="biweekly",40&lt;=$D41,MOD(40-$C41,2)=0))),Flows!$C42,0))</f>
        <v/>
      </c>
      <c r="AT41" s="13">
        <f>IF(OR($A41="",Flows!$C42=""),0,IF(AND(41&lt;=Setup!$B$5,41&gt;=$C41,OR(AND($E41="once",41=$C41),AND($E41="weekly",41&lt;=$D41),AND($E41="biweekly",41&lt;=$D41,MOD(41-$C41,2)=0))),Flows!$C42,0))</f>
        <v/>
      </c>
      <c r="AU41" s="13">
        <f>IF(OR($A41="",Flows!$C42=""),0,IF(AND(42&lt;=Setup!$B$5,42&gt;=$C41,OR(AND($E41="once",42=$C41),AND($E41="weekly",42&lt;=$D41),AND($E41="biweekly",42&lt;=$D41,MOD(42-$C41,2)=0))),Flows!$C42,0))</f>
        <v/>
      </c>
      <c r="AV41" s="13">
        <f>IF(OR($A41="",Flows!$C42=""),0,IF(AND(43&lt;=Setup!$B$5,43&gt;=$C41,OR(AND($E41="once",43=$C41),AND($E41="weekly",43&lt;=$D41),AND($E41="biweekly",43&lt;=$D41,MOD(43-$C41,2)=0))),Flows!$C42,0))</f>
        <v/>
      </c>
      <c r="AW41" s="13">
        <f>IF(OR($A41="",Flows!$C42=""),0,IF(AND(44&lt;=Setup!$B$5,44&gt;=$C41,OR(AND($E41="once",44=$C41),AND($E41="weekly",44&lt;=$D41),AND($E41="biweekly",44&lt;=$D41,MOD(44-$C41,2)=0))),Flows!$C42,0))</f>
        <v/>
      </c>
      <c r="AX41" s="13">
        <f>IF(OR($A41="",Flows!$C42=""),0,IF(AND(45&lt;=Setup!$B$5,45&gt;=$C41,OR(AND($E41="once",45=$C41),AND($E41="weekly",45&lt;=$D41),AND($E41="biweekly",45&lt;=$D41,MOD(45-$C41,2)=0))),Flows!$C42,0))</f>
        <v/>
      </c>
      <c r="AY41" s="13">
        <f>IF(OR($A41="",Flows!$C42=""),0,IF(AND(46&lt;=Setup!$B$5,46&gt;=$C41,OR(AND($E41="once",46=$C41),AND($E41="weekly",46&lt;=$D41),AND($E41="biweekly",46&lt;=$D41,MOD(46-$C41,2)=0))),Flows!$C42,0))</f>
        <v/>
      </c>
      <c r="AZ41" s="13">
        <f>IF(OR($A41="",Flows!$C42=""),0,IF(AND(47&lt;=Setup!$B$5,47&gt;=$C41,OR(AND($E41="once",47=$C41),AND($E41="weekly",47&lt;=$D41),AND($E41="biweekly",47&lt;=$D41,MOD(47-$C41,2)=0))),Flows!$C42,0))</f>
        <v/>
      </c>
      <c r="BA41" s="13">
        <f>IF(OR($A41="",Flows!$C42=""),0,IF(AND(48&lt;=Setup!$B$5,48&gt;=$C41,OR(AND($E41="once",48=$C41),AND($E41="weekly",48&lt;=$D41),AND($E41="biweekly",48&lt;=$D41,MOD(48-$C41,2)=0))),Flows!$C42,0))</f>
        <v/>
      </c>
      <c r="BB41" s="13">
        <f>IF(OR($A41="",Flows!$C42=""),0,IF(AND(49&lt;=Setup!$B$5,49&gt;=$C41,OR(AND($E41="once",49=$C41),AND($E41="weekly",49&lt;=$D41),AND($E41="biweekly",49&lt;=$D41,MOD(49-$C41,2)=0))),Flows!$C42,0))</f>
        <v/>
      </c>
      <c r="BC41" s="13">
        <f>IF(OR($A41="",Flows!$C42=""),0,IF(AND(50&lt;=Setup!$B$5,50&gt;=$C41,OR(AND($E41="once",50=$C41),AND($E41="weekly",50&lt;=$D41),AND($E41="biweekly",50&lt;=$D41,MOD(50-$C41,2)=0))),Flows!$C42,0))</f>
        <v/>
      </c>
      <c r="BD41" s="13">
        <f>IF(OR($A41="",Flows!$C42=""),0,IF(AND(51&lt;=Setup!$B$5,51&gt;=$C41,OR(AND($E41="once",51=$C41),AND($E41="weekly",51&lt;=$D41),AND($E41="biweekly",51&lt;=$D41,MOD(51-$C41,2)=0))),Flows!$C42,0))</f>
        <v/>
      </c>
      <c r="BE41" s="13">
        <f>IF(OR($A41="",Flows!$C42=""),0,IF(AND(52&lt;=Setup!$B$5,52&gt;=$C41,OR(AND($E41="once",52=$C41),AND($E41="weekly",52&lt;=$D41),AND($E41="biweekly",52&lt;=$D41,MOD(52-$C41,2)=0))),Flows!$C42,0))</f>
        <v/>
      </c>
    </row>
    <row r="42">
      <c r="A42" s="7">
        <f>IF(Flows!A43="","",LOWER(Flows!A43))</f>
        <v/>
      </c>
      <c r="B42" s="7">
        <f>IF(Flows!B43="","",Flows!B43)</f>
        <v/>
      </c>
      <c r="C42" s="7">
        <f>N(Flows!D43)</f>
        <v/>
      </c>
      <c r="D42" s="7">
        <f>IF(Flows!F43="",Setup!$B$5,Flows!F43)</f>
        <v/>
      </c>
      <c r="E42" s="7">
        <f>IF(Flows!E43="","once",LOWER(Flows!E43))</f>
        <v/>
      </c>
      <c r="F42" s="13">
        <f>IF(OR($A42="",Flows!$C43=""),0,IF(AND(1&lt;=Setup!$B$5,1&gt;=$C42,OR(AND($E42="once",1=$C42),AND($E42="weekly",1&lt;=$D42),AND($E42="biweekly",1&lt;=$D42,MOD(1-$C42,2)=0))),Flows!$C43,0))</f>
        <v/>
      </c>
      <c r="G42" s="13">
        <f>IF(OR($A42="",Flows!$C43=""),0,IF(AND(2&lt;=Setup!$B$5,2&gt;=$C42,OR(AND($E42="once",2=$C42),AND($E42="weekly",2&lt;=$D42),AND($E42="biweekly",2&lt;=$D42,MOD(2-$C42,2)=0))),Flows!$C43,0))</f>
        <v/>
      </c>
      <c r="H42" s="13">
        <f>IF(OR($A42="",Flows!$C43=""),0,IF(AND(3&lt;=Setup!$B$5,3&gt;=$C42,OR(AND($E42="once",3=$C42),AND($E42="weekly",3&lt;=$D42),AND($E42="biweekly",3&lt;=$D42,MOD(3-$C42,2)=0))),Flows!$C43,0))</f>
        <v/>
      </c>
      <c r="I42" s="13">
        <f>IF(OR($A42="",Flows!$C43=""),0,IF(AND(4&lt;=Setup!$B$5,4&gt;=$C42,OR(AND($E42="once",4=$C42),AND($E42="weekly",4&lt;=$D42),AND($E42="biweekly",4&lt;=$D42,MOD(4-$C42,2)=0))),Flows!$C43,0))</f>
        <v/>
      </c>
      <c r="J42" s="13">
        <f>IF(OR($A42="",Flows!$C43=""),0,IF(AND(5&lt;=Setup!$B$5,5&gt;=$C42,OR(AND($E42="once",5=$C42),AND($E42="weekly",5&lt;=$D42),AND($E42="biweekly",5&lt;=$D42,MOD(5-$C42,2)=0))),Flows!$C43,0))</f>
        <v/>
      </c>
      <c r="K42" s="13">
        <f>IF(OR($A42="",Flows!$C43=""),0,IF(AND(6&lt;=Setup!$B$5,6&gt;=$C42,OR(AND($E42="once",6=$C42),AND($E42="weekly",6&lt;=$D42),AND($E42="biweekly",6&lt;=$D42,MOD(6-$C42,2)=0))),Flows!$C43,0))</f>
        <v/>
      </c>
      <c r="L42" s="13">
        <f>IF(OR($A42="",Flows!$C43=""),0,IF(AND(7&lt;=Setup!$B$5,7&gt;=$C42,OR(AND($E42="once",7=$C42),AND($E42="weekly",7&lt;=$D42),AND($E42="biweekly",7&lt;=$D42,MOD(7-$C42,2)=0))),Flows!$C43,0))</f>
        <v/>
      </c>
      <c r="M42" s="13">
        <f>IF(OR($A42="",Flows!$C43=""),0,IF(AND(8&lt;=Setup!$B$5,8&gt;=$C42,OR(AND($E42="once",8=$C42),AND($E42="weekly",8&lt;=$D42),AND($E42="biweekly",8&lt;=$D42,MOD(8-$C42,2)=0))),Flows!$C43,0))</f>
        <v/>
      </c>
      <c r="N42" s="13">
        <f>IF(OR($A42="",Flows!$C43=""),0,IF(AND(9&lt;=Setup!$B$5,9&gt;=$C42,OR(AND($E42="once",9=$C42),AND($E42="weekly",9&lt;=$D42),AND($E42="biweekly",9&lt;=$D42,MOD(9-$C42,2)=0))),Flows!$C43,0))</f>
        <v/>
      </c>
      <c r="O42" s="13">
        <f>IF(OR($A42="",Flows!$C43=""),0,IF(AND(10&lt;=Setup!$B$5,10&gt;=$C42,OR(AND($E42="once",10=$C42),AND($E42="weekly",10&lt;=$D42),AND($E42="biweekly",10&lt;=$D42,MOD(10-$C42,2)=0))),Flows!$C43,0))</f>
        <v/>
      </c>
      <c r="P42" s="13">
        <f>IF(OR($A42="",Flows!$C43=""),0,IF(AND(11&lt;=Setup!$B$5,11&gt;=$C42,OR(AND($E42="once",11=$C42),AND($E42="weekly",11&lt;=$D42),AND($E42="biweekly",11&lt;=$D42,MOD(11-$C42,2)=0))),Flows!$C43,0))</f>
        <v/>
      </c>
      <c r="Q42" s="13">
        <f>IF(OR($A42="",Flows!$C43=""),0,IF(AND(12&lt;=Setup!$B$5,12&gt;=$C42,OR(AND($E42="once",12=$C42),AND($E42="weekly",12&lt;=$D42),AND($E42="biweekly",12&lt;=$D42,MOD(12-$C42,2)=0))),Flows!$C43,0))</f>
        <v/>
      </c>
      <c r="R42" s="13">
        <f>IF(OR($A42="",Flows!$C43=""),0,IF(AND(13&lt;=Setup!$B$5,13&gt;=$C42,OR(AND($E42="once",13=$C42),AND($E42="weekly",13&lt;=$D42),AND($E42="biweekly",13&lt;=$D42,MOD(13-$C42,2)=0))),Flows!$C43,0))</f>
        <v/>
      </c>
      <c r="S42" s="13">
        <f>IF(OR($A42="",Flows!$C43=""),0,IF(AND(14&lt;=Setup!$B$5,14&gt;=$C42,OR(AND($E42="once",14=$C42),AND($E42="weekly",14&lt;=$D42),AND($E42="biweekly",14&lt;=$D42,MOD(14-$C42,2)=0))),Flows!$C43,0))</f>
        <v/>
      </c>
      <c r="T42" s="13">
        <f>IF(OR($A42="",Flows!$C43=""),0,IF(AND(15&lt;=Setup!$B$5,15&gt;=$C42,OR(AND($E42="once",15=$C42),AND($E42="weekly",15&lt;=$D42),AND($E42="biweekly",15&lt;=$D42,MOD(15-$C42,2)=0))),Flows!$C43,0))</f>
        <v/>
      </c>
      <c r="U42" s="13">
        <f>IF(OR($A42="",Flows!$C43=""),0,IF(AND(16&lt;=Setup!$B$5,16&gt;=$C42,OR(AND($E42="once",16=$C42),AND($E42="weekly",16&lt;=$D42),AND($E42="biweekly",16&lt;=$D42,MOD(16-$C42,2)=0))),Flows!$C43,0))</f>
        <v/>
      </c>
      <c r="V42" s="13">
        <f>IF(OR($A42="",Flows!$C43=""),0,IF(AND(17&lt;=Setup!$B$5,17&gt;=$C42,OR(AND($E42="once",17=$C42),AND($E42="weekly",17&lt;=$D42),AND($E42="biweekly",17&lt;=$D42,MOD(17-$C42,2)=0))),Flows!$C43,0))</f>
        <v/>
      </c>
      <c r="W42" s="13">
        <f>IF(OR($A42="",Flows!$C43=""),0,IF(AND(18&lt;=Setup!$B$5,18&gt;=$C42,OR(AND($E42="once",18=$C42),AND($E42="weekly",18&lt;=$D42),AND($E42="biweekly",18&lt;=$D42,MOD(18-$C42,2)=0))),Flows!$C43,0))</f>
        <v/>
      </c>
      <c r="X42" s="13">
        <f>IF(OR($A42="",Flows!$C43=""),0,IF(AND(19&lt;=Setup!$B$5,19&gt;=$C42,OR(AND($E42="once",19=$C42),AND($E42="weekly",19&lt;=$D42),AND($E42="biweekly",19&lt;=$D42,MOD(19-$C42,2)=0))),Flows!$C43,0))</f>
        <v/>
      </c>
      <c r="Y42" s="13">
        <f>IF(OR($A42="",Flows!$C43=""),0,IF(AND(20&lt;=Setup!$B$5,20&gt;=$C42,OR(AND($E42="once",20=$C42),AND($E42="weekly",20&lt;=$D42),AND($E42="biweekly",20&lt;=$D42,MOD(20-$C42,2)=0))),Flows!$C43,0))</f>
        <v/>
      </c>
      <c r="Z42" s="13">
        <f>IF(OR($A42="",Flows!$C43=""),0,IF(AND(21&lt;=Setup!$B$5,21&gt;=$C42,OR(AND($E42="once",21=$C42),AND($E42="weekly",21&lt;=$D42),AND($E42="biweekly",21&lt;=$D42,MOD(21-$C42,2)=0))),Flows!$C43,0))</f>
        <v/>
      </c>
      <c r="AA42" s="13">
        <f>IF(OR($A42="",Flows!$C43=""),0,IF(AND(22&lt;=Setup!$B$5,22&gt;=$C42,OR(AND($E42="once",22=$C42),AND($E42="weekly",22&lt;=$D42),AND($E42="biweekly",22&lt;=$D42,MOD(22-$C42,2)=0))),Flows!$C43,0))</f>
        <v/>
      </c>
      <c r="AB42" s="13">
        <f>IF(OR($A42="",Flows!$C43=""),0,IF(AND(23&lt;=Setup!$B$5,23&gt;=$C42,OR(AND($E42="once",23=$C42),AND($E42="weekly",23&lt;=$D42),AND($E42="biweekly",23&lt;=$D42,MOD(23-$C42,2)=0))),Flows!$C43,0))</f>
        <v/>
      </c>
      <c r="AC42" s="13">
        <f>IF(OR($A42="",Flows!$C43=""),0,IF(AND(24&lt;=Setup!$B$5,24&gt;=$C42,OR(AND($E42="once",24=$C42),AND($E42="weekly",24&lt;=$D42),AND($E42="biweekly",24&lt;=$D42,MOD(24-$C42,2)=0))),Flows!$C43,0))</f>
        <v/>
      </c>
      <c r="AD42" s="13">
        <f>IF(OR($A42="",Flows!$C43=""),0,IF(AND(25&lt;=Setup!$B$5,25&gt;=$C42,OR(AND($E42="once",25=$C42),AND($E42="weekly",25&lt;=$D42),AND($E42="biweekly",25&lt;=$D42,MOD(25-$C42,2)=0))),Flows!$C43,0))</f>
        <v/>
      </c>
      <c r="AE42" s="13">
        <f>IF(OR($A42="",Flows!$C43=""),0,IF(AND(26&lt;=Setup!$B$5,26&gt;=$C42,OR(AND($E42="once",26=$C42),AND($E42="weekly",26&lt;=$D42),AND($E42="biweekly",26&lt;=$D42,MOD(26-$C42,2)=0))),Flows!$C43,0))</f>
        <v/>
      </c>
      <c r="AF42" s="13">
        <f>IF(OR($A42="",Flows!$C43=""),0,IF(AND(27&lt;=Setup!$B$5,27&gt;=$C42,OR(AND($E42="once",27=$C42),AND($E42="weekly",27&lt;=$D42),AND($E42="biweekly",27&lt;=$D42,MOD(27-$C42,2)=0))),Flows!$C43,0))</f>
        <v/>
      </c>
      <c r="AG42" s="13">
        <f>IF(OR($A42="",Flows!$C43=""),0,IF(AND(28&lt;=Setup!$B$5,28&gt;=$C42,OR(AND($E42="once",28=$C42),AND($E42="weekly",28&lt;=$D42),AND($E42="biweekly",28&lt;=$D42,MOD(28-$C42,2)=0))),Flows!$C43,0))</f>
        <v/>
      </c>
      <c r="AH42" s="13">
        <f>IF(OR($A42="",Flows!$C43=""),0,IF(AND(29&lt;=Setup!$B$5,29&gt;=$C42,OR(AND($E42="once",29=$C42),AND($E42="weekly",29&lt;=$D42),AND($E42="biweekly",29&lt;=$D42,MOD(29-$C42,2)=0))),Flows!$C43,0))</f>
        <v/>
      </c>
      <c r="AI42" s="13">
        <f>IF(OR($A42="",Flows!$C43=""),0,IF(AND(30&lt;=Setup!$B$5,30&gt;=$C42,OR(AND($E42="once",30=$C42),AND($E42="weekly",30&lt;=$D42),AND($E42="biweekly",30&lt;=$D42,MOD(30-$C42,2)=0))),Flows!$C43,0))</f>
        <v/>
      </c>
      <c r="AJ42" s="13">
        <f>IF(OR($A42="",Flows!$C43=""),0,IF(AND(31&lt;=Setup!$B$5,31&gt;=$C42,OR(AND($E42="once",31=$C42),AND($E42="weekly",31&lt;=$D42),AND($E42="biweekly",31&lt;=$D42,MOD(31-$C42,2)=0))),Flows!$C43,0))</f>
        <v/>
      </c>
      <c r="AK42" s="13">
        <f>IF(OR($A42="",Flows!$C43=""),0,IF(AND(32&lt;=Setup!$B$5,32&gt;=$C42,OR(AND($E42="once",32=$C42),AND($E42="weekly",32&lt;=$D42),AND($E42="biweekly",32&lt;=$D42,MOD(32-$C42,2)=0))),Flows!$C43,0))</f>
        <v/>
      </c>
      <c r="AL42" s="13">
        <f>IF(OR($A42="",Flows!$C43=""),0,IF(AND(33&lt;=Setup!$B$5,33&gt;=$C42,OR(AND($E42="once",33=$C42),AND($E42="weekly",33&lt;=$D42),AND($E42="biweekly",33&lt;=$D42,MOD(33-$C42,2)=0))),Flows!$C43,0))</f>
        <v/>
      </c>
      <c r="AM42" s="13">
        <f>IF(OR($A42="",Flows!$C43=""),0,IF(AND(34&lt;=Setup!$B$5,34&gt;=$C42,OR(AND($E42="once",34=$C42),AND($E42="weekly",34&lt;=$D42),AND($E42="biweekly",34&lt;=$D42,MOD(34-$C42,2)=0))),Flows!$C43,0))</f>
        <v/>
      </c>
      <c r="AN42" s="13">
        <f>IF(OR($A42="",Flows!$C43=""),0,IF(AND(35&lt;=Setup!$B$5,35&gt;=$C42,OR(AND($E42="once",35=$C42),AND($E42="weekly",35&lt;=$D42),AND($E42="biweekly",35&lt;=$D42,MOD(35-$C42,2)=0))),Flows!$C43,0))</f>
        <v/>
      </c>
      <c r="AO42" s="13">
        <f>IF(OR($A42="",Flows!$C43=""),0,IF(AND(36&lt;=Setup!$B$5,36&gt;=$C42,OR(AND($E42="once",36=$C42),AND($E42="weekly",36&lt;=$D42),AND($E42="biweekly",36&lt;=$D42,MOD(36-$C42,2)=0))),Flows!$C43,0))</f>
        <v/>
      </c>
      <c r="AP42" s="13">
        <f>IF(OR($A42="",Flows!$C43=""),0,IF(AND(37&lt;=Setup!$B$5,37&gt;=$C42,OR(AND($E42="once",37=$C42),AND($E42="weekly",37&lt;=$D42),AND($E42="biweekly",37&lt;=$D42,MOD(37-$C42,2)=0))),Flows!$C43,0))</f>
        <v/>
      </c>
      <c r="AQ42" s="13">
        <f>IF(OR($A42="",Flows!$C43=""),0,IF(AND(38&lt;=Setup!$B$5,38&gt;=$C42,OR(AND($E42="once",38=$C42),AND($E42="weekly",38&lt;=$D42),AND($E42="biweekly",38&lt;=$D42,MOD(38-$C42,2)=0))),Flows!$C43,0))</f>
        <v/>
      </c>
      <c r="AR42" s="13">
        <f>IF(OR($A42="",Flows!$C43=""),0,IF(AND(39&lt;=Setup!$B$5,39&gt;=$C42,OR(AND($E42="once",39=$C42),AND($E42="weekly",39&lt;=$D42),AND($E42="biweekly",39&lt;=$D42,MOD(39-$C42,2)=0))),Flows!$C43,0))</f>
        <v/>
      </c>
      <c r="AS42" s="13">
        <f>IF(OR($A42="",Flows!$C43=""),0,IF(AND(40&lt;=Setup!$B$5,40&gt;=$C42,OR(AND($E42="once",40=$C42),AND($E42="weekly",40&lt;=$D42),AND($E42="biweekly",40&lt;=$D42,MOD(40-$C42,2)=0))),Flows!$C43,0))</f>
        <v/>
      </c>
      <c r="AT42" s="13">
        <f>IF(OR($A42="",Flows!$C43=""),0,IF(AND(41&lt;=Setup!$B$5,41&gt;=$C42,OR(AND($E42="once",41=$C42),AND($E42="weekly",41&lt;=$D42),AND($E42="biweekly",41&lt;=$D42,MOD(41-$C42,2)=0))),Flows!$C43,0))</f>
        <v/>
      </c>
      <c r="AU42" s="13">
        <f>IF(OR($A42="",Flows!$C43=""),0,IF(AND(42&lt;=Setup!$B$5,42&gt;=$C42,OR(AND($E42="once",42=$C42),AND($E42="weekly",42&lt;=$D42),AND($E42="biweekly",42&lt;=$D42,MOD(42-$C42,2)=0))),Flows!$C43,0))</f>
        <v/>
      </c>
      <c r="AV42" s="13">
        <f>IF(OR($A42="",Flows!$C43=""),0,IF(AND(43&lt;=Setup!$B$5,43&gt;=$C42,OR(AND($E42="once",43=$C42),AND($E42="weekly",43&lt;=$D42),AND($E42="biweekly",43&lt;=$D42,MOD(43-$C42,2)=0))),Flows!$C43,0))</f>
        <v/>
      </c>
      <c r="AW42" s="13">
        <f>IF(OR($A42="",Flows!$C43=""),0,IF(AND(44&lt;=Setup!$B$5,44&gt;=$C42,OR(AND($E42="once",44=$C42),AND($E42="weekly",44&lt;=$D42),AND($E42="biweekly",44&lt;=$D42,MOD(44-$C42,2)=0))),Flows!$C43,0))</f>
        <v/>
      </c>
      <c r="AX42" s="13">
        <f>IF(OR($A42="",Flows!$C43=""),0,IF(AND(45&lt;=Setup!$B$5,45&gt;=$C42,OR(AND($E42="once",45=$C42),AND($E42="weekly",45&lt;=$D42),AND($E42="biweekly",45&lt;=$D42,MOD(45-$C42,2)=0))),Flows!$C43,0))</f>
        <v/>
      </c>
      <c r="AY42" s="13">
        <f>IF(OR($A42="",Flows!$C43=""),0,IF(AND(46&lt;=Setup!$B$5,46&gt;=$C42,OR(AND($E42="once",46=$C42),AND($E42="weekly",46&lt;=$D42),AND($E42="biweekly",46&lt;=$D42,MOD(46-$C42,2)=0))),Flows!$C43,0))</f>
        <v/>
      </c>
      <c r="AZ42" s="13">
        <f>IF(OR($A42="",Flows!$C43=""),0,IF(AND(47&lt;=Setup!$B$5,47&gt;=$C42,OR(AND($E42="once",47=$C42),AND($E42="weekly",47&lt;=$D42),AND($E42="biweekly",47&lt;=$D42,MOD(47-$C42,2)=0))),Flows!$C43,0))</f>
        <v/>
      </c>
      <c r="BA42" s="13">
        <f>IF(OR($A42="",Flows!$C43=""),0,IF(AND(48&lt;=Setup!$B$5,48&gt;=$C42,OR(AND($E42="once",48=$C42),AND($E42="weekly",48&lt;=$D42),AND($E42="biweekly",48&lt;=$D42,MOD(48-$C42,2)=0))),Flows!$C43,0))</f>
        <v/>
      </c>
      <c r="BB42" s="13">
        <f>IF(OR($A42="",Flows!$C43=""),0,IF(AND(49&lt;=Setup!$B$5,49&gt;=$C42,OR(AND($E42="once",49=$C42),AND($E42="weekly",49&lt;=$D42),AND($E42="biweekly",49&lt;=$D42,MOD(49-$C42,2)=0))),Flows!$C43,0))</f>
        <v/>
      </c>
      <c r="BC42" s="13">
        <f>IF(OR($A42="",Flows!$C43=""),0,IF(AND(50&lt;=Setup!$B$5,50&gt;=$C42,OR(AND($E42="once",50=$C42),AND($E42="weekly",50&lt;=$D42),AND($E42="biweekly",50&lt;=$D42,MOD(50-$C42,2)=0))),Flows!$C43,0))</f>
        <v/>
      </c>
      <c r="BD42" s="13">
        <f>IF(OR($A42="",Flows!$C43=""),0,IF(AND(51&lt;=Setup!$B$5,51&gt;=$C42,OR(AND($E42="once",51=$C42),AND($E42="weekly",51&lt;=$D42),AND($E42="biweekly",51&lt;=$D42,MOD(51-$C42,2)=0))),Flows!$C43,0))</f>
        <v/>
      </c>
      <c r="BE42" s="13">
        <f>IF(OR($A42="",Flows!$C43=""),0,IF(AND(52&lt;=Setup!$B$5,52&gt;=$C42,OR(AND($E42="once",52=$C42),AND($E42="weekly",52&lt;=$D42),AND($E42="biweekly",52&lt;=$D42,MOD(52-$C42,2)=0))),Flows!$C43,0))</f>
        <v/>
      </c>
    </row>
    <row r="43">
      <c r="A43" s="7">
        <f>IF(Flows!A44="","",LOWER(Flows!A44))</f>
        <v/>
      </c>
      <c r="B43" s="7">
        <f>IF(Flows!B44="","",Flows!B44)</f>
        <v/>
      </c>
      <c r="C43" s="7">
        <f>N(Flows!D44)</f>
        <v/>
      </c>
      <c r="D43" s="7">
        <f>IF(Flows!F44="",Setup!$B$5,Flows!F44)</f>
        <v/>
      </c>
      <c r="E43" s="7">
        <f>IF(Flows!E44="","once",LOWER(Flows!E44))</f>
        <v/>
      </c>
      <c r="F43" s="13">
        <f>IF(OR($A43="",Flows!$C44=""),0,IF(AND(1&lt;=Setup!$B$5,1&gt;=$C43,OR(AND($E43="once",1=$C43),AND($E43="weekly",1&lt;=$D43),AND($E43="biweekly",1&lt;=$D43,MOD(1-$C43,2)=0))),Flows!$C44,0))</f>
        <v/>
      </c>
      <c r="G43" s="13">
        <f>IF(OR($A43="",Flows!$C44=""),0,IF(AND(2&lt;=Setup!$B$5,2&gt;=$C43,OR(AND($E43="once",2=$C43),AND($E43="weekly",2&lt;=$D43),AND($E43="biweekly",2&lt;=$D43,MOD(2-$C43,2)=0))),Flows!$C44,0))</f>
        <v/>
      </c>
      <c r="H43" s="13">
        <f>IF(OR($A43="",Flows!$C44=""),0,IF(AND(3&lt;=Setup!$B$5,3&gt;=$C43,OR(AND($E43="once",3=$C43),AND($E43="weekly",3&lt;=$D43),AND($E43="biweekly",3&lt;=$D43,MOD(3-$C43,2)=0))),Flows!$C44,0))</f>
        <v/>
      </c>
      <c r="I43" s="13">
        <f>IF(OR($A43="",Flows!$C44=""),0,IF(AND(4&lt;=Setup!$B$5,4&gt;=$C43,OR(AND($E43="once",4=$C43),AND($E43="weekly",4&lt;=$D43),AND($E43="biweekly",4&lt;=$D43,MOD(4-$C43,2)=0))),Flows!$C44,0))</f>
        <v/>
      </c>
      <c r="J43" s="13">
        <f>IF(OR($A43="",Flows!$C44=""),0,IF(AND(5&lt;=Setup!$B$5,5&gt;=$C43,OR(AND($E43="once",5=$C43),AND($E43="weekly",5&lt;=$D43),AND($E43="biweekly",5&lt;=$D43,MOD(5-$C43,2)=0))),Flows!$C44,0))</f>
        <v/>
      </c>
      <c r="K43" s="13">
        <f>IF(OR($A43="",Flows!$C44=""),0,IF(AND(6&lt;=Setup!$B$5,6&gt;=$C43,OR(AND($E43="once",6=$C43),AND($E43="weekly",6&lt;=$D43),AND($E43="biweekly",6&lt;=$D43,MOD(6-$C43,2)=0))),Flows!$C44,0))</f>
        <v/>
      </c>
      <c r="L43" s="13">
        <f>IF(OR($A43="",Flows!$C44=""),0,IF(AND(7&lt;=Setup!$B$5,7&gt;=$C43,OR(AND($E43="once",7=$C43),AND($E43="weekly",7&lt;=$D43),AND($E43="biweekly",7&lt;=$D43,MOD(7-$C43,2)=0))),Flows!$C44,0))</f>
        <v/>
      </c>
      <c r="M43" s="13">
        <f>IF(OR($A43="",Flows!$C44=""),0,IF(AND(8&lt;=Setup!$B$5,8&gt;=$C43,OR(AND($E43="once",8=$C43),AND($E43="weekly",8&lt;=$D43),AND($E43="biweekly",8&lt;=$D43,MOD(8-$C43,2)=0))),Flows!$C44,0))</f>
        <v/>
      </c>
      <c r="N43" s="13">
        <f>IF(OR($A43="",Flows!$C44=""),0,IF(AND(9&lt;=Setup!$B$5,9&gt;=$C43,OR(AND($E43="once",9=$C43),AND($E43="weekly",9&lt;=$D43),AND($E43="biweekly",9&lt;=$D43,MOD(9-$C43,2)=0))),Flows!$C44,0))</f>
        <v/>
      </c>
      <c r="O43" s="13">
        <f>IF(OR($A43="",Flows!$C44=""),0,IF(AND(10&lt;=Setup!$B$5,10&gt;=$C43,OR(AND($E43="once",10=$C43),AND($E43="weekly",10&lt;=$D43),AND($E43="biweekly",10&lt;=$D43,MOD(10-$C43,2)=0))),Flows!$C44,0))</f>
        <v/>
      </c>
      <c r="P43" s="13">
        <f>IF(OR($A43="",Flows!$C44=""),0,IF(AND(11&lt;=Setup!$B$5,11&gt;=$C43,OR(AND($E43="once",11=$C43),AND($E43="weekly",11&lt;=$D43),AND($E43="biweekly",11&lt;=$D43,MOD(11-$C43,2)=0))),Flows!$C44,0))</f>
        <v/>
      </c>
      <c r="Q43" s="13">
        <f>IF(OR($A43="",Flows!$C44=""),0,IF(AND(12&lt;=Setup!$B$5,12&gt;=$C43,OR(AND($E43="once",12=$C43),AND($E43="weekly",12&lt;=$D43),AND($E43="biweekly",12&lt;=$D43,MOD(12-$C43,2)=0))),Flows!$C44,0))</f>
        <v/>
      </c>
      <c r="R43" s="13">
        <f>IF(OR($A43="",Flows!$C44=""),0,IF(AND(13&lt;=Setup!$B$5,13&gt;=$C43,OR(AND($E43="once",13=$C43),AND($E43="weekly",13&lt;=$D43),AND($E43="biweekly",13&lt;=$D43,MOD(13-$C43,2)=0))),Flows!$C44,0))</f>
        <v/>
      </c>
      <c r="S43" s="13">
        <f>IF(OR($A43="",Flows!$C44=""),0,IF(AND(14&lt;=Setup!$B$5,14&gt;=$C43,OR(AND($E43="once",14=$C43),AND($E43="weekly",14&lt;=$D43),AND($E43="biweekly",14&lt;=$D43,MOD(14-$C43,2)=0))),Flows!$C44,0))</f>
        <v/>
      </c>
      <c r="T43" s="13">
        <f>IF(OR($A43="",Flows!$C44=""),0,IF(AND(15&lt;=Setup!$B$5,15&gt;=$C43,OR(AND($E43="once",15=$C43),AND($E43="weekly",15&lt;=$D43),AND($E43="biweekly",15&lt;=$D43,MOD(15-$C43,2)=0))),Flows!$C44,0))</f>
        <v/>
      </c>
      <c r="U43" s="13">
        <f>IF(OR($A43="",Flows!$C44=""),0,IF(AND(16&lt;=Setup!$B$5,16&gt;=$C43,OR(AND($E43="once",16=$C43),AND($E43="weekly",16&lt;=$D43),AND($E43="biweekly",16&lt;=$D43,MOD(16-$C43,2)=0))),Flows!$C44,0))</f>
        <v/>
      </c>
      <c r="V43" s="13">
        <f>IF(OR($A43="",Flows!$C44=""),0,IF(AND(17&lt;=Setup!$B$5,17&gt;=$C43,OR(AND($E43="once",17=$C43),AND($E43="weekly",17&lt;=$D43),AND($E43="biweekly",17&lt;=$D43,MOD(17-$C43,2)=0))),Flows!$C44,0))</f>
        <v/>
      </c>
      <c r="W43" s="13">
        <f>IF(OR($A43="",Flows!$C44=""),0,IF(AND(18&lt;=Setup!$B$5,18&gt;=$C43,OR(AND($E43="once",18=$C43),AND($E43="weekly",18&lt;=$D43),AND($E43="biweekly",18&lt;=$D43,MOD(18-$C43,2)=0))),Flows!$C44,0))</f>
        <v/>
      </c>
      <c r="X43" s="13">
        <f>IF(OR($A43="",Flows!$C44=""),0,IF(AND(19&lt;=Setup!$B$5,19&gt;=$C43,OR(AND($E43="once",19=$C43),AND($E43="weekly",19&lt;=$D43),AND($E43="biweekly",19&lt;=$D43,MOD(19-$C43,2)=0))),Flows!$C44,0))</f>
        <v/>
      </c>
      <c r="Y43" s="13">
        <f>IF(OR($A43="",Flows!$C44=""),0,IF(AND(20&lt;=Setup!$B$5,20&gt;=$C43,OR(AND($E43="once",20=$C43),AND($E43="weekly",20&lt;=$D43),AND($E43="biweekly",20&lt;=$D43,MOD(20-$C43,2)=0))),Flows!$C44,0))</f>
        <v/>
      </c>
      <c r="Z43" s="13">
        <f>IF(OR($A43="",Flows!$C44=""),0,IF(AND(21&lt;=Setup!$B$5,21&gt;=$C43,OR(AND($E43="once",21=$C43),AND($E43="weekly",21&lt;=$D43),AND($E43="biweekly",21&lt;=$D43,MOD(21-$C43,2)=0))),Flows!$C44,0))</f>
        <v/>
      </c>
      <c r="AA43" s="13">
        <f>IF(OR($A43="",Flows!$C44=""),0,IF(AND(22&lt;=Setup!$B$5,22&gt;=$C43,OR(AND($E43="once",22=$C43),AND($E43="weekly",22&lt;=$D43),AND($E43="biweekly",22&lt;=$D43,MOD(22-$C43,2)=0))),Flows!$C44,0))</f>
        <v/>
      </c>
      <c r="AB43" s="13">
        <f>IF(OR($A43="",Flows!$C44=""),0,IF(AND(23&lt;=Setup!$B$5,23&gt;=$C43,OR(AND($E43="once",23=$C43),AND($E43="weekly",23&lt;=$D43),AND($E43="biweekly",23&lt;=$D43,MOD(23-$C43,2)=0))),Flows!$C44,0))</f>
        <v/>
      </c>
      <c r="AC43" s="13">
        <f>IF(OR($A43="",Flows!$C44=""),0,IF(AND(24&lt;=Setup!$B$5,24&gt;=$C43,OR(AND($E43="once",24=$C43),AND($E43="weekly",24&lt;=$D43),AND($E43="biweekly",24&lt;=$D43,MOD(24-$C43,2)=0))),Flows!$C44,0))</f>
        <v/>
      </c>
      <c r="AD43" s="13">
        <f>IF(OR($A43="",Flows!$C44=""),0,IF(AND(25&lt;=Setup!$B$5,25&gt;=$C43,OR(AND($E43="once",25=$C43),AND($E43="weekly",25&lt;=$D43),AND($E43="biweekly",25&lt;=$D43,MOD(25-$C43,2)=0))),Flows!$C44,0))</f>
        <v/>
      </c>
      <c r="AE43" s="13">
        <f>IF(OR($A43="",Flows!$C44=""),0,IF(AND(26&lt;=Setup!$B$5,26&gt;=$C43,OR(AND($E43="once",26=$C43),AND($E43="weekly",26&lt;=$D43),AND($E43="biweekly",26&lt;=$D43,MOD(26-$C43,2)=0))),Flows!$C44,0))</f>
        <v/>
      </c>
      <c r="AF43" s="13">
        <f>IF(OR($A43="",Flows!$C44=""),0,IF(AND(27&lt;=Setup!$B$5,27&gt;=$C43,OR(AND($E43="once",27=$C43),AND($E43="weekly",27&lt;=$D43),AND($E43="biweekly",27&lt;=$D43,MOD(27-$C43,2)=0))),Flows!$C44,0))</f>
        <v/>
      </c>
      <c r="AG43" s="13">
        <f>IF(OR($A43="",Flows!$C44=""),0,IF(AND(28&lt;=Setup!$B$5,28&gt;=$C43,OR(AND($E43="once",28=$C43),AND($E43="weekly",28&lt;=$D43),AND($E43="biweekly",28&lt;=$D43,MOD(28-$C43,2)=0))),Flows!$C44,0))</f>
        <v/>
      </c>
      <c r="AH43" s="13">
        <f>IF(OR($A43="",Flows!$C44=""),0,IF(AND(29&lt;=Setup!$B$5,29&gt;=$C43,OR(AND($E43="once",29=$C43),AND($E43="weekly",29&lt;=$D43),AND($E43="biweekly",29&lt;=$D43,MOD(29-$C43,2)=0))),Flows!$C44,0))</f>
        <v/>
      </c>
      <c r="AI43" s="13">
        <f>IF(OR($A43="",Flows!$C44=""),0,IF(AND(30&lt;=Setup!$B$5,30&gt;=$C43,OR(AND($E43="once",30=$C43),AND($E43="weekly",30&lt;=$D43),AND($E43="biweekly",30&lt;=$D43,MOD(30-$C43,2)=0))),Flows!$C44,0))</f>
        <v/>
      </c>
      <c r="AJ43" s="13">
        <f>IF(OR($A43="",Flows!$C44=""),0,IF(AND(31&lt;=Setup!$B$5,31&gt;=$C43,OR(AND($E43="once",31=$C43),AND($E43="weekly",31&lt;=$D43),AND($E43="biweekly",31&lt;=$D43,MOD(31-$C43,2)=0))),Flows!$C44,0))</f>
        <v/>
      </c>
      <c r="AK43" s="13">
        <f>IF(OR($A43="",Flows!$C44=""),0,IF(AND(32&lt;=Setup!$B$5,32&gt;=$C43,OR(AND($E43="once",32=$C43),AND($E43="weekly",32&lt;=$D43),AND($E43="biweekly",32&lt;=$D43,MOD(32-$C43,2)=0))),Flows!$C44,0))</f>
        <v/>
      </c>
      <c r="AL43" s="13">
        <f>IF(OR($A43="",Flows!$C44=""),0,IF(AND(33&lt;=Setup!$B$5,33&gt;=$C43,OR(AND($E43="once",33=$C43),AND($E43="weekly",33&lt;=$D43),AND($E43="biweekly",33&lt;=$D43,MOD(33-$C43,2)=0))),Flows!$C44,0))</f>
        <v/>
      </c>
      <c r="AM43" s="13">
        <f>IF(OR($A43="",Flows!$C44=""),0,IF(AND(34&lt;=Setup!$B$5,34&gt;=$C43,OR(AND($E43="once",34=$C43),AND($E43="weekly",34&lt;=$D43),AND($E43="biweekly",34&lt;=$D43,MOD(34-$C43,2)=0))),Flows!$C44,0))</f>
        <v/>
      </c>
      <c r="AN43" s="13">
        <f>IF(OR($A43="",Flows!$C44=""),0,IF(AND(35&lt;=Setup!$B$5,35&gt;=$C43,OR(AND($E43="once",35=$C43),AND($E43="weekly",35&lt;=$D43),AND($E43="biweekly",35&lt;=$D43,MOD(35-$C43,2)=0))),Flows!$C44,0))</f>
        <v/>
      </c>
      <c r="AO43" s="13">
        <f>IF(OR($A43="",Flows!$C44=""),0,IF(AND(36&lt;=Setup!$B$5,36&gt;=$C43,OR(AND($E43="once",36=$C43),AND($E43="weekly",36&lt;=$D43),AND($E43="biweekly",36&lt;=$D43,MOD(36-$C43,2)=0))),Flows!$C44,0))</f>
        <v/>
      </c>
      <c r="AP43" s="13">
        <f>IF(OR($A43="",Flows!$C44=""),0,IF(AND(37&lt;=Setup!$B$5,37&gt;=$C43,OR(AND($E43="once",37=$C43),AND($E43="weekly",37&lt;=$D43),AND($E43="biweekly",37&lt;=$D43,MOD(37-$C43,2)=0))),Flows!$C44,0))</f>
        <v/>
      </c>
      <c r="AQ43" s="13">
        <f>IF(OR($A43="",Flows!$C44=""),0,IF(AND(38&lt;=Setup!$B$5,38&gt;=$C43,OR(AND($E43="once",38=$C43),AND($E43="weekly",38&lt;=$D43),AND($E43="biweekly",38&lt;=$D43,MOD(38-$C43,2)=0))),Flows!$C44,0))</f>
        <v/>
      </c>
      <c r="AR43" s="13">
        <f>IF(OR($A43="",Flows!$C44=""),0,IF(AND(39&lt;=Setup!$B$5,39&gt;=$C43,OR(AND($E43="once",39=$C43),AND($E43="weekly",39&lt;=$D43),AND($E43="biweekly",39&lt;=$D43,MOD(39-$C43,2)=0))),Flows!$C44,0))</f>
        <v/>
      </c>
      <c r="AS43" s="13">
        <f>IF(OR($A43="",Flows!$C44=""),0,IF(AND(40&lt;=Setup!$B$5,40&gt;=$C43,OR(AND($E43="once",40=$C43),AND($E43="weekly",40&lt;=$D43),AND($E43="biweekly",40&lt;=$D43,MOD(40-$C43,2)=0))),Flows!$C44,0))</f>
        <v/>
      </c>
      <c r="AT43" s="13">
        <f>IF(OR($A43="",Flows!$C44=""),0,IF(AND(41&lt;=Setup!$B$5,41&gt;=$C43,OR(AND($E43="once",41=$C43),AND($E43="weekly",41&lt;=$D43),AND($E43="biweekly",41&lt;=$D43,MOD(41-$C43,2)=0))),Flows!$C44,0))</f>
        <v/>
      </c>
      <c r="AU43" s="13">
        <f>IF(OR($A43="",Flows!$C44=""),0,IF(AND(42&lt;=Setup!$B$5,42&gt;=$C43,OR(AND($E43="once",42=$C43),AND($E43="weekly",42&lt;=$D43),AND($E43="biweekly",42&lt;=$D43,MOD(42-$C43,2)=0))),Flows!$C44,0))</f>
        <v/>
      </c>
      <c r="AV43" s="13">
        <f>IF(OR($A43="",Flows!$C44=""),0,IF(AND(43&lt;=Setup!$B$5,43&gt;=$C43,OR(AND($E43="once",43=$C43),AND($E43="weekly",43&lt;=$D43),AND($E43="biweekly",43&lt;=$D43,MOD(43-$C43,2)=0))),Flows!$C44,0))</f>
        <v/>
      </c>
      <c r="AW43" s="13">
        <f>IF(OR($A43="",Flows!$C44=""),0,IF(AND(44&lt;=Setup!$B$5,44&gt;=$C43,OR(AND($E43="once",44=$C43),AND($E43="weekly",44&lt;=$D43),AND($E43="biweekly",44&lt;=$D43,MOD(44-$C43,2)=0))),Flows!$C44,0))</f>
        <v/>
      </c>
      <c r="AX43" s="13">
        <f>IF(OR($A43="",Flows!$C44=""),0,IF(AND(45&lt;=Setup!$B$5,45&gt;=$C43,OR(AND($E43="once",45=$C43),AND($E43="weekly",45&lt;=$D43),AND($E43="biweekly",45&lt;=$D43,MOD(45-$C43,2)=0))),Flows!$C44,0))</f>
        <v/>
      </c>
      <c r="AY43" s="13">
        <f>IF(OR($A43="",Flows!$C44=""),0,IF(AND(46&lt;=Setup!$B$5,46&gt;=$C43,OR(AND($E43="once",46=$C43),AND($E43="weekly",46&lt;=$D43),AND($E43="biweekly",46&lt;=$D43,MOD(46-$C43,2)=0))),Flows!$C44,0))</f>
        <v/>
      </c>
      <c r="AZ43" s="13">
        <f>IF(OR($A43="",Flows!$C44=""),0,IF(AND(47&lt;=Setup!$B$5,47&gt;=$C43,OR(AND($E43="once",47=$C43),AND($E43="weekly",47&lt;=$D43),AND($E43="biweekly",47&lt;=$D43,MOD(47-$C43,2)=0))),Flows!$C44,0))</f>
        <v/>
      </c>
      <c r="BA43" s="13">
        <f>IF(OR($A43="",Flows!$C44=""),0,IF(AND(48&lt;=Setup!$B$5,48&gt;=$C43,OR(AND($E43="once",48=$C43),AND($E43="weekly",48&lt;=$D43),AND($E43="biweekly",48&lt;=$D43,MOD(48-$C43,2)=0))),Flows!$C44,0))</f>
        <v/>
      </c>
      <c r="BB43" s="13">
        <f>IF(OR($A43="",Flows!$C44=""),0,IF(AND(49&lt;=Setup!$B$5,49&gt;=$C43,OR(AND($E43="once",49=$C43),AND($E43="weekly",49&lt;=$D43),AND($E43="biweekly",49&lt;=$D43,MOD(49-$C43,2)=0))),Flows!$C44,0))</f>
        <v/>
      </c>
      <c r="BC43" s="13">
        <f>IF(OR($A43="",Flows!$C44=""),0,IF(AND(50&lt;=Setup!$B$5,50&gt;=$C43,OR(AND($E43="once",50=$C43),AND($E43="weekly",50&lt;=$D43),AND($E43="biweekly",50&lt;=$D43,MOD(50-$C43,2)=0))),Flows!$C44,0))</f>
        <v/>
      </c>
      <c r="BD43" s="13">
        <f>IF(OR($A43="",Flows!$C44=""),0,IF(AND(51&lt;=Setup!$B$5,51&gt;=$C43,OR(AND($E43="once",51=$C43),AND($E43="weekly",51&lt;=$D43),AND($E43="biweekly",51&lt;=$D43,MOD(51-$C43,2)=0))),Flows!$C44,0))</f>
        <v/>
      </c>
      <c r="BE43" s="13">
        <f>IF(OR($A43="",Flows!$C44=""),0,IF(AND(52&lt;=Setup!$B$5,52&gt;=$C43,OR(AND($E43="once",52=$C43),AND($E43="weekly",52&lt;=$D43),AND($E43="biweekly",52&lt;=$D43,MOD(52-$C43,2)=0))),Flows!$C44,0))</f>
        <v/>
      </c>
    </row>
    <row r="44">
      <c r="A44" s="7">
        <f>IF(Flows!A45="","",LOWER(Flows!A45))</f>
        <v/>
      </c>
      <c r="B44" s="7">
        <f>IF(Flows!B45="","",Flows!B45)</f>
        <v/>
      </c>
      <c r="C44" s="7">
        <f>N(Flows!D45)</f>
        <v/>
      </c>
      <c r="D44" s="7">
        <f>IF(Flows!F45="",Setup!$B$5,Flows!F45)</f>
        <v/>
      </c>
      <c r="E44" s="7">
        <f>IF(Flows!E45="","once",LOWER(Flows!E45))</f>
        <v/>
      </c>
      <c r="F44" s="13">
        <f>IF(OR($A44="",Flows!$C45=""),0,IF(AND(1&lt;=Setup!$B$5,1&gt;=$C44,OR(AND($E44="once",1=$C44),AND($E44="weekly",1&lt;=$D44),AND($E44="biweekly",1&lt;=$D44,MOD(1-$C44,2)=0))),Flows!$C45,0))</f>
        <v/>
      </c>
      <c r="G44" s="13">
        <f>IF(OR($A44="",Flows!$C45=""),0,IF(AND(2&lt;=Setup!$B$5,2&gt;=$C44,OR(AND($E44="once",2=$C44),AND($E44="weekly",2&lt;=$D44),AND($E44="biweekly",2&lt;=$D44,MOD(2-$C44,2)=0))),Flows!$C45,0))</f>
        <v/>
      </c>
      <c r="H44" s="13">
        <f>IF(OR($A44="",Flows!$C45=""),0,IF(AND(3&lt;=Setup!$B$5,3&gt;=$C44,OR(AND($E44="once",3=$C44),AND($E44="weekly",3&lt;=$D44),AND($E44="biweekly",3&lt;=$D44,MOD(3-$C44,2)=0))),Flows!$C45,0))</f>
        <v/>
      </c>
      <c r="I44" s="13">
        <f>IF(OR($A44="",Flows!$C45=""),0,IF(AND(4&lt;=Setup!$B$5,4&gt;=$C44,OR(AND($E44="once",4=$C44),AND($E44="weekly",4&lt;=$D44),AND($E44="biweekly",4&lt;=$D44,MOD(4-$C44,2)=0))),Flows!$C45,0))</f>
        <v/>
      </c>
      <c r="J44" s="13">
        <f>IF(OR($A44="",Flows!$C45=""),0,IF(AND(5&lt;=Setup!$B$5,5&gt;=$C44,OR(AND($E44="once",5=$C44),AND($E44="weekly",5&lt;=$D44),AND($E44="biweekly",5&lt;=$D44,MOD(5-$C44,2)=0))),Flows!$C45,0))</f>
        <v/>
      </c>
      <c r="K44" s="13">
        <f>IF(OR($A44="",Flows!$C45=""),0,IF(AND(6&lt;=Setup!$B$5,6&gt;=$C44,OR(AND($E44="once",6=$C44),AND($E44="weekly",6&lt;=$D44),AND($E44="biweekly",6&lt;=$D44,MOD(6-$C44,2)=0))),Flows!$C45,0))</f>
        <v/>
      </c>
      <c r="L44" s="13">
        <f>IF(OR($A44="",Flows!$C45=""),0,IF(AND(7&lt;=Setup!$B$5,7&gt;=$C44,OR(AND($E44="once",7=$C44),AND($E44="weekly",7&lt;=$D44),AND($E44="biweekly",7&lt;=$D44,MOD(7-$C44,2)=0))),Flows!$C45,0))</f>
        <v/>
      </c>
      <c r="M44" s="13">
        <f>IF(OR($A44="",Flows!$C45=""),0,IF(AND(8&lt;=Setup!$B$5,8&gt;=$C44,OR(AND($E44="once",8=$C44),AND($E44="weekly",8&lt;=$D44),AND($E44="biweekly",8&lt;=$D44,MOD(8-$C44,2)=0))),Flows!$C45,0))</f>
        <v/>
      </c>
      <c r="N44" s="13">
        <f>IF(OR($A44="",Flows!$C45=""),0,IF(AND(9&lt;=Setup!$B$5,9&gt;=$C44,OR(AND($E44="once",9=$C44),AND($E44="weekly",9&lt;=$D44),AND($E44="biweekly",9&lt;=$D44,MOD(9-$C44,2)=0))),Flows!$C45,0))</f>
        <v/>
      </c>
      <c r="O44" s="13">
        <f>IF(OR($A44="",Flows!$C45=""),0,IF(AND(10&lt;=Setup!$B$5,10&gt;=$C44,OR(AND($E44="once",10=$C44),AND($E44="weekly",10&lt;=$D44),AND($E44="biweekly",10&lt;=$D44,MOD(10-$C44,2)=0))),Flows!$C45,0))</f>
        <v/>
      </c>
      <c r="P44" s="13">
        <f>IF(OR($A44="",Flows!$C45=""),0,IF(AND(11&lt;=Setup!$B$5,11&gt;=$C44,OR(AND($E44="once",11=$C44),AND($E44="weekly",11&lt;=$D44),AND($E44="biweekly",11&lt;=$D44,MOD(11-$C44,2)=0))),Flows!$C45,0))</f>
        <v/>
      </c>
      <c r="Q44" s="13">
        <f>IF(OR($A44="",Flows!$C45=""),0,IF(AND(12&lt;=Setup!$B$5,12&gt;=$C44,OR(AND($E44="once",12=$C44),AND($E44="weekly",12&lt;=$D44),AND($E44="biweekly",12&lt;=$D44,MOD(12-$C44,2)=0))),Flows!$C45,0))</f>
        <v/>
      </c>
      <c r="R44" s="13">
        <f>IF(OR($A44="",Flows!$C45=""),0,IF(AND(13&lt;=Setup!$B$5,13&gt;=$C44,OR(AND($E44="once",13=$C44),AND($E44="weekly",13&lt;=$D44),AND($E44="biweekly",13&lt;=$D44,MOD(13-$C44,2)=0))),Flows!$C45,0))</f>
        <v/>
      </c>
      <c r="S44" s="13">
        <f>IF(OR($A44="",Flows!$C45=""),0,IF(AND(14&lt;=Setup!$B$5,14&gt;=$C44,OR(AND($E44="once",14=$C44),AND($E44="weekly",14&lt;=$D44),AND($E44="biweekly",14&lt;=$D44,MOD(14-$C44,2)=0))),Flows!$C45,0))</f>
        <v/>
      </c>
      <c r="T44" s="13">
        <f>IF(OR($A44="",Flows!$C45=""),0,IF(AND(15&lt;=Setup!$B$5,15&gt;=$C44,OR(AND($E44="once",15=$C44),AND($E44="weekly",15&lt;=$D44),AND($E44="biweekly",15&lt;=$D44,MOD(15-$C44,2)=0))),Flows!$C45,0))</f>
        <v/>
      </c>
      <c r="U44" s="13">
        <f>IF(OR($A44="",Flows!$C45=""),0,IF(AND(16&lt;=Setup!$B$5,16&gt;=$C44,OR(AND($E44="once",16=$C44),AND($E44="weekly",16&lt;=$D44),AND($E44="biweekly",16&lt;=$D44,MOD(16-$C44,2)=0))),Flows!$C45,0))</f>
        <v/>
      </c>
      <c r="V44" s="13">
        <f>IF(OR($A44="",Flows!$C45=""),0,IF(AND(17&lt;=Setup!$B$5,17&gt;=$C44,OR(AND($E44="once",17=$C44),AND($E44="weekly",17&lt;=$D44),AND($E44="biweekly",17&lt;=$D44,MOD(17-$C44,2)=0))),Flows!$C45,0))</f>
        <v/>
      </c>
      <c r="W44" s="13">
        <f>IF(OR($A44="",Flows!$C45=""),0,IF(AND(18&lt;=Setup!$B$5,18&gt;=$C44,OR(AND($E44="once",18=$C44),AND($E44="weekly",18&lt;=$D44),AND($E44="biweekly",18&lt;=$D44,MOD(18-$C44,2)=0))),Flows!$C45,0))</f>
        <v/>
      </c>
      <c r="X44" s="13">
        <f>IF(OR($A44="",Flows!$C45=""),0,IF(AND(19&lt;=Setup!$B$5,19&gt;=$C44,OR(AND($E44="once",19=$C44),AND($E44="weekly",19&lt;=$D44),AND($E44="biweekly",19&lt;=$D44,MOD(19-$C44,2)=0))),Flows!$C45,0))</f>
        <v/>
      </c>
      <c r="Y44" s="13">
        <f>IF(OR($A44="",Flows!$C45=""),0,IF(AND(20&lt;=Setup!$B$5,20&gt;=$C44,OR(AND($E44="once",20=$C44),AND($E44="weekly",20&lt;=$D44),AND($E44="biweekly",20&lt;=$D44,MOD(20-$C44,2)=0))),Flows!$C45,0))</f>
        <v/>
      </c>
      <c r="Z44" s="13">
        <f>IF(OR($A44="",Flows!$C45=""),0,IF(AND(21&lt;=Setup!$B$5,21&gt;=$C44,OR(AND($E44="once",21=$C44),AND($E44="weekly",21&lt;=$D44),AND($E44="biweekly",21&lt;=$D44,MOD(21-$C44,2)=0))),Flows!$C45,0))</f>
        <v/>
      </c>
      <c r="AA44" s="13">
        <f>IF(OR($A44="",Flows!$C45=""),0,IF(AND(22&lt;=Setup!$B$5,22&gt;=$C44,OR(AND($E44="once",22=$C44),AND($E44="weekly",22&lt;=$D44),AND($E44="biweekly",22&lt;=$D44,MOD(22-$C44,2)=0))),Flows!$C45,0))</f>
        <v/>
      </c>
      <c r="AB44" s="13">
        <f>IF(OR($A44="",Flows!$C45=""),0,IF(AND(23&lt;=Setup!$B$5,23&gt;=$C44,OR(AND($E44="once",23=$C44),AND($E44="weekly",23&lt;=$D44),AND($E44="biweekly",23&lt;=$D44,MOD(23-$C44,2)=0))),Flows!$C45,0))</f>
        <v/>
      </c>
      <c r="AC44" s="13">
        <f>IF(OR($A44="",Flows!$C45=""),0,IF(AND(24&lt;=Setup!$B$5,24&gt;=$C44,OR(AND($E44="once",24=$C44),AND($E44="weekly",24&lt;=$D44),AND($E44="biweekly",24&lt;=$D44,MOD(24-$C44,2)=0))),Flows!$C45,0))</f>
        <v/>
      </c>
      <c r="AD44" s="13">
        <f>IF(OR($A44="",Flows!$C45=""),0,IF(AND(25&lt;=Setup!$B$5,25&gt;=$C44,OR(AND($E44="once",25=$C44),AND($E44="weekly",25&lt;=$D44),AND($E44="biweekly",25&lt;=$D44,MOD(25-$C44,2)=0))),Flows!$C45,0))</f>
        <v/>
      </c>
      <c r="AE44" s="13">
        <f>IF(OR($A44="",Flows!$C45=""),0,IF(AND(26&lt;=Setup!$B$5,26&gt;=$C44,OR(AND($E44="once",26=$C44),AND($E44="weekly",26&lt;=$D44),AND($E44="biweekly",26&lt;=$D44,MOD(26-$C44,2)=0))),Flows!$C45,0))</f>
        <v/>
      </c>
      <c r="AF44" s="13">
        <f>IF(OR($A44="",Flows!$C45=""),0,IF(AND(27&lt;=Setup!$B$5,27&gt;=$C44,OR(AND($E44="once",27=$C44),AND($E44="weekly",27&lt;=$D44),AND($E44="biweekly",27&lt;=$D44,MOD(27-$C44,2)=0))),Flows!$C45,0))</f>
        <v/>
      </c>
      <c r="AG44" s="13">
        <f>IF(OR($A44="",Flows!$C45=""),0,IF(AND(28&lt;=Setup!$B$5,28&gt;=$C44,OR(AND($E44="once",28=$C44),AND($E44="weekly",28&lt;=$D44),AND($E44="biweekly",28&lt;=$D44,MOD(28-$C44,2)=0))),Flows!$C45,0))</f>
        <v/>
      </c>
      <c r="AH44" s="13">
        <f>IF(OR($A44="",Flows!$C45=""),0,IF(AND(29&lt;=Setup!$B$5,29&gt;=$C44,OR(AND($E44="once",29=$C44),AND($E44="weekly",29&lt;=$D44),AND($E44="biweekly",29&lt;=$D44,MOD(29-$C44,2)=0))),Flows!$C45,0))</f>
        <v/>
      </c>
      <c r="AI44" s="13">
        <f>IF(OR($A44="",Flows!$C45=""),0,IF(AND(30&lt;=Setup!$B$5,30&gt;=$C44,OR(AND($E44="once",30=$C44),AND($E44="weekly",30&lt;=$D44),AND($E44="biweekly",30&lt;=$D44,MOD(30-$C44,2)=0))),Flows!$C45,0))</f>
        <v/>
      </c>
      <c r="AJ44" s="13">
        <f>IF(OR($A44="",Flows!$C45=""),0,IF(AND(31&lt;=Setup!$B$5,31&gt;=$C44,OR(AND($E44="once",31=$C44),AND($E44="weekly",31&lt;=$D44),AND($E44="biweekly",31&lt;=$D44,MOD(31-$C44,2)=0))),Flows!$C45,0))</f>
        <v/>
      </c>
      <c r="AK44" s="13">
        <f>IF(OR($A44="",Flows!$C45=""),0,IF(AND(32&lt;=Setup!$B$5,32&gt;=$C44,OR(AND($E44="once",32=$C44),AND($E44="weekly",32&lt;=$D44),AND($E44="biweekly",32&lt;=$D44,MOD(32-$C44,2)=0))),Flows!$C45,0))</f>
        <v/>
      </c>
      <c r="AL44" s="13">
        <f>IF(OR($A44="",Flows!$C45=""),0,IF(AND(33&lt;=Setup!$B$5,33&gt;=$C44,OR(AND($E44="once",33=$C44),AND($E44="weekly",33&lt;=$D44),AND($E44="biweekly",33&lt;=$D44,MOD(33-$C44,2)=0))),Flows!$C45,0))</f>
        <v/>
      </c>
      <c r="AM44" s="13">
        <f>IF(OR($A44="",Flows!$C45=""),0,IF(AND(34&lt;=Setup!$B$5,34&gt;=$C44,OR(AND($E44="once",34=$C44),AND($E44="weekly",34&lt;=$D44),AND($E44="biweekly",34&lt;=$D44,MOD(34-$C44,2)=0))),Flows!$C45,0))</f>
        <v/>
      </c>
      <c r="AN44" s="13">
        <f>IF(OR($A44="",Flows!$C45=""),0,IF(AND(35&lt;=Setup!$B$5,35&gt;=$C44,OR(AND($E44="once",35=$C44),AND($E44="weekly",35&lt;=$D44),AND($E44="biweekly",35&lt;=$D44,MOD(35-$C44,2)=0))),Flows!$C45,0))</f>
        <v/>
      </c>
      <c r="AO44" s="13">
        <f>IF(OR($A44="",Flows!$C45=""),0,IF(AND(36&lt;=Setup!$B$5,36&gt;=$C44,OR(AND($E44="once",36=$C44),AND($E44="weekly",36&lt;=$D44),AND($E44="biweekly",36&lt;=$D44,MOD(36-$C44,2)=0))),Flows!$C45,0))</f>
        <v/>
      </c>
      <c r="AP44" s="13">
        <f>IF(OR($A44="",Flows!$C45=""),0,IF(AND(37&lt;=Setup!$B$5,37&gt;=$C44,OR(AND($E44="once",37=$C44),AND($E44="weekly",37&lt;=$D44),AND($E44="biweekly",37&lt;=$D44,MOD(37-$C44,2)=0))),Flows!$C45,0))</f>
        <v/>
      </c>
      <c r="AQ44" s="13">
        <f>IF(OR($A44="",Flows!$C45=""),0,IF(AND(38&lt;=Setup!$B$5,38&gt;=$C44,OR(AND($E44="once",38=$C44),AND($E44="weekly",38&lt;=$D44),AND($E44="biweekly",38&lt;=$D44,MOD(38-$C44,2)=0))),Flows!$C45,0))</f>
        <v/>
      </c>
      <c r="AR44" s="13">
        <f>IF(OR($A44="",Flows!$C45=""),0,IF(AND(39&lt;=Setup!$B$5,39&gt;=$C44,OR(AND($E44="once",39=$C44),AND($E44="weekly",39&lt;=$D44),AND($E44="biweekly",39&lt;=$D44,MOD(39-$C44,2)=0))),Flows!$C45,0))</f>
        <v/>
      </c>
      <c r="AS44" s="13">
        <f>IF(OR($A44="",Flows!$C45=""),0,IF(AND(40&lt;=Setup!$B$5,40&gt;=$C44,OR(AND($E44="once",40=$C44),AND($E44="weekly",40&lt;=$D44),AND($E44="biweekly",40&lt;=$D44,MOD(40-$C44,2)=0))),Flows!$C45,0))</f>
        <v/>
      </c>
      <c r="AT44" s="13">
        <f>IF(OR($A44="",Flows!$C45=""),0,IF(AND(41&lt;=Setup!$B$5,41&gt;=$C44,OR(AND($E44="once",41=$C44),AND($E44="weekly",41&lt;=$D44),AND($E44="biweekly",41&lt;=$D44,MOD(41-$C44,2)=0))),Flows!$C45,0))</f>
        <v/>
      </c>
      <c r="AU44" s="13">
        <f>IF(OR($A44="",Flows!$C45=""),0,IF(AND(42&lt;=Setup!$B$5,42&gt;=$C44,OR(AND($E44="once",42=$C44),AND($E44="weekly",42&lt;=$D44),AND($E44="biweekly",42&lt;=$D44,MOD(42-$C44,2)=0))),Flows!$C45,0))</f>
        <v/>
      </c>
      <c r="AV44" s="13">
        <f>IF(OR($A44="",Flows!$C45=""),0,IF(AND(43&lt;=Setup!$B$5,43&gt;=$C44,OR(AND($E44="once",43=$C44),AND($E44="weekly",43&lt;=$D44),AND($E44="biweekly",43&lt;=$D44,MOD(43-$C44,2)=0))),Flows!$C45,0))</f>
        <v/>
      </c>
      <c r="AW44" s="13">
        <f>IF(OR($A44="",Flows!$C45=""),0,IF(AND(44&lt;=Setup!$B$5,44&gt;=$C44,OR(AND($E44="once",44=$C44),AND($E44="weekly",44&lt;=$D44),AND($E44="biweekly",44&lt;=$D44,MOD(44-$C44,2)=0))),Flows!$C45,0))</f>
        <v/>
      </c>
      <c r="AX44" s="13">
        <f>IF(OR($A44="",Flows!$C45=""),0,IF(AND(45&lt;=Setup!$B$5,45&gt;=$C44,OR(AND($E44="once",45=$C44),AND($E44="weekly",45&lt;=$D44),AND($E44="biweekly",45&lt;=$D44,MOD(45-$C44,2)=0))),Flows!$C45,0))</f>
        <v/>
      </c>
      <c r="AY44" s="13">
        <f>IF(OR($A44="",Flows!$C45=""),0,IF(AND(46&lt;=Setup!$B$5,46&gt;=$C44,OR(AND($E44="once",46=$C44),AND($E44="weekly",46&lt;=$D44),AND($E44="biweekly",46&lt;=$D44,MOD(46-$C44,2)=0))),Flows!$C45,0))</f>
        <v/>
      </c>
      <c r="AZ44" s="13">
        <f>IF(OR($A44="",Flows!$C45=""),0,IF(AND(47&lt;=Setup!$B$5,47&gt;=$C44,OR(AND($E44="once",47=$C44),AND($E44="weekly",47&lt;=$D44),AND($E44="biweekly",47&lt;=$D44,MOD(47-$C44,2)=0))),Flows!$C45,0))</f>
        <v/>
      </c>
      <c r="BA44" s="13">
        <f>IF(OR($A44="",Flows!$C45=""),0,IF(AND(48&lt;=Setup!$B$5,48&gt;=$C44,OR(AND($E44="once",48=$C44),AND($E44="weekly",48&lt;=$D44),AND($E44="biweekly",48&lt;=$D44,MOD(48-$C44,2)=0))),Flows!$C45,0))</f>
        <v/>
      </c>
      <c r="BB44" s="13">
        <f>IF(OR($A44="",Flows!$C45=""),0,IF(AND(49&lt;=Setup!$B$5,49&gt;=$C44,OR(AND($E44="once",49=$C44),AND($E44="weekly",49&lt;=$D44),AND($E44="biweekly",49&lt;=$D44,MOD(49-$C44,2)=0))),Flows!$C45,0))</f>
        <v/>
      </c>
      <c r="BC44" s="13">
        <f>IF(OR($A44="",Flows!$C45=""),0,IF(AND(50&lt;=Setup!$B$5,50&gt;=$C44,OR(AND($E44="once",50=$C44),AND($E44="weekly",50&lt;=$D44),AND($E44="biweekly",50&lt;=$D44,MOD(50-$C44,2)=0))),Flows!$C45,0))</f>
        <v/>
      </c>
      <c r="BD44" s="13">
        <f>IF(OR($A44="",Flows!$C45=""),0,IF(AND(51&lt;=Setup!$B$5,51&gt;=$C44,OR(AND($E44="once",51=$C44),AND($E44="weekly",51&lt;=$D44),AND($E44="biweekly",51&lt;=$D44,MOD(51-$C44,2)=0))),Flows!$C45,0))</f>
        <v/>
      </c>
      <c r="BE44" s="13">
        <f>IF(OR($A44="",Flows!$C45=""),0,IF(AND(52&lt;=Setup!$B$5,52&gt;=$C44,OR(AND($E44="once",52=$C44),AND($E44="weekly",52&lt;=$D44),AND($E44="biweekly",52&lt;=$D44,MOD(52-$C44,2)=0))),Flows!$C45,0))</f>
        <v/>
      </c>
    </row>
    <row r="45">
      <c r="A45" s="7">
        <f>IF(Flows!A46="","",LOWER(Flows!A46))</f>
        <v/>
      </c>
      <c r="B45" s="7">
        <f>IF(Flows!B46="","",Flows!B46)</f>
        <v/>
      </c>
      <c r="C45" s="7">
        <f>N(Flows!D46)</f>
        <v/>
      </c>
      <c r="D45" s="7">
        <f>IF(Flows!F46="",Setup!$B$5,Flows!F46)</f>
        <v/>
      </c>
      <c r="E45" s="7">
        <f>IF(Flows!E46="","once",LOWER(Flows!E46))</f>
        <v/>
      </c>
      <c r="F45" s="13">
        <f>IF(OR($A45="",Flows!$C46=""),0,IF(AND(1&lt;=Setup!$B$5,1&gt;=$C45,OR(AND($E45="once",1=$C45),AND($E45="weekly",1&lt;=$D45),AND($E45="biweekly",1&lt;=$D45,MOD(1-$C45,2)=0))),Flows!$C46,0))</f>
        <v/>
      </c>
      <c r="G45" s="13">
        <f>IF(OR($A45="",Flows!$C46=""),0,IF(AND(2&lt;=Setup!$B$5,2&gt;=$C45,OR(AND($E45="once",2=$C45),AND($E45="weekly",2&lt;=$D45),AND($E45="biweekly",2&lt;=$D45,MOD(2-$C45,2)=0))),Flows!$C46,0))</f>
        <v/>
      </c>
      <c r="H45" s="13">
        <f>IF(OR($A45="",Flows!$C46=""),0,IF(AND(3&lt;=Setup!$B$5,3&gt;=$C45,OR(AND($E45="once",3=$C45),AND($E45="weekly",3&lt;=$D45),AND($E45="biweekly",3&lt;=$D45,MOD(3-$C45,2)=0))),Flows!$C46,0))</f>
        <v/>
      </c>
      <c r="I45" s="13">
        <f>IF(OR($A45="",Flows!$C46=""),0,IF(AND(4&lt;=Setup!$B$5,4&gt;=$C45,OR(AND($E45="once",4=$C45),AND($E45="weekly",4&lt;=$D45),AND($E45="biweekly",4&lt;=$D45,MOD(4-$C45,2)=0))),Flows!$C46,0))</f>
        <v/>
      </c>
      <c r="J45" s="13">
        <f>IF(OR($A45="",Flows!$C46=""),0,IF(AND(5&lt;=Setup!$B$5,5&gt;=$C45,OR(AND($E45="once",5=$C45),AND($E45="weekly",5&lt;=$D45),AND($E45="biweekly",5&lt;=$D45,MOD(5-$C45,2)=0))),Flows!$C46,0))</f>
        <v/>
      </c>
      <c r="K45" s="13">
        <f>IF(OR($A45="",Flows!$C46=""),0,IF(AND(6&lt;=Setup!$B$5,6&gt;=$C45,OR(AND($E45="once",6=$C45),AND($E45="weekly",6&lt;=$D45),AND($E45="biweekly",6&lt;=$D45,MOD(6-$C45,2)=0))),Flows!$C46,0))</f>
        <v/>
      </c>
      <c r="L45" s="13">
        <f>IF(OR($A45="",Flows!$C46=""),0,IF(AND(7&lt;=Setup!$B$5,7&gt;=$C45,OR(AND($E45="once",7=$C45),AND($E45="weekly",7&lt;=$D45),AND($E45="biweekly",7&lt;=$D45,MOD(7-$C45,2)=0))),Flows!$C46,0))</f>
        <v/>
      </c>
      <c r="M45" s="13">
        <f>IF(OR($A45="",Flows!$C46=""),0,IF(AND(8&lt;=Setup!$B$5,8&gt;=$C45,OR(AND($E45="once",8=$C45),AND($E45="weekly",8&lt;=$D45),AND($E45="biweekly",8&lt;=$D45,MOD(8-$C45,2)=0))),Flows!$C46,0))</f>
        <v/>
      </c>
      <c r="N45" s="13">
        <f>IF(OR($A45="",Flows!$C46=""),0,IF(AND(9&lt;=Setup!$B$5,9&gt;=$C45,OR(AND($E45="once",9=$C45),AND($E45="weekly",9&lt;=$D45),AND($E45="biweekly",9&lt;=$D45,MOD(9-$C45,2)=0))),Flows!$C46,0))</f>
        <v/>
      </c>
      <c r="O45" s="13">
        <f>IF(OR($A45="",Flows!$C46=""),0,IF(AND(10&lt;=Setup!$B$5,10&gt;=$C45,OR(AND($E45="once",10=$C45),AND($E45="weekly",10&lt;=$D45),AND($E45="biweekly",10&lt;=$D45,MOD(10-$C45,2)=0))),Flows!$C46,0))</f>
        <v/>
      </c>
      <c r="P45" s="13">
        <f>IF(OR($A45="",Flows!$C46=""),0,IF(AND(11&lt;=Setup!$B$5,11&gt;=$C45,OR(AND($E45="once",11=$C45),AND($E45="weekly",11&lt;=$D45),AND($E45="biweekly",11&lt;=$D45,MOD(11-$C45,2)=0))),Flows!$C46,0))</f>
        <v/>
      </c>
      <c r="Q45" s="13">
        <f>IF(OR($A45="",Flows!$C46=""),0,IF(AND(12&lt;=Setup!$B$5,12&gt;=$C45,OR(AND($E45="once",12=$C45),AND($E45="weekly",12&lt;=$D45),AND($E45="biweekly",12&lt;=$D45,MOD(12-$C45,2)=0))),Flows!$C46,0))</f>
        <v/>
      </c>
      <c r="R45" s="13">
        <f>IF(OR($A45="",Flows!$C46=""),0,IF(AND(13&lt;=Setup!$B$5,13&gt;=$C45,OR(AND($E45="once",13=$C45),AND($E45="weekly",13&lt;=$D45),AND($E45="biweekly",13&lt;=$D45,MOD(13-$C45,2)=0))),Flows!$C46,0))</f>
        <v/>
      </c>
      <c r="S45" s="13">
        <f>IF(OR($A45="",Flows!$C46=""),0,IF(AND(14&lt;=Setup!$B$5,14&gt;=$C45,OR(AND($E45="once",14=$C45),AND($E45="weekly",14&lt;=$D45),AND($E45="biweekly",14&lt;=$D45,MOD(14-$C45,2)=0))),Flows!$C46,0))</f>
        <v/>
      </c>
      <c r="T45" s="13">
        <f>IF(OR($A45="",Flows!$C46=""),0,IF(AND(15&lt;=Setup!$B$5,15&gt;=$C45,OR(AND($E45="once",15=$C45),AND($E45="weekly",15&lt;=$D45),AND($E45="biweekly",15&lt;=$D45,MOD(15-$C45,2)=0))),Flows!$C46,0))</f>
        <v/>
      </c>
      <c r="U45" s="13">
        <f>IF(OR($A45="",Flows!$C46=""),0,IF(AND(16&lt;=Setup!$B$5,16&gt;=$C45,OR(AND($E45="once",16=$C45),AND($E45="weekly",16&lt;=$D45),AND($E45="biweekly",16&lt;=$D45,MOD(16-$C45,2)=0))),Flows!$C46,0))</f>
        <v/>
      </c>
      <c r="V45" s="13">
        <f>IF(OR($A45="",Flows!$C46=""),0,IF(AND(17&lt;=Setup!$B$5,17&gt;=$C45,OR(AND($E45="once",17=$C45),AND($E45="weekly",17&lt;=$D45),AND($E45="biweekly",17&lt;=$D45,MOD(17-$C45,2)=0))),Flows!$C46,0))</f>
        <v/>
      </c>
      <c r="W45" s="13">
        <f>IF(OR($A45="",Flows!$C46=""),0,IF(AND(18&lt;=Setup!$B$5,18&gt;=$C45,OR(AND($E45="once",18=$C45),AND($E45="weekly",18&lt;=$D45),AND($E45="biweekly",18&lt;=$D45,MOD(18-$C45,2)=0))),Flows!$C46,0))</f>
        <v/>
      </c>
      <c r="X45" s="13">
        <f>IF(OR($A45="",Flows!$C46=""),0,IF(AND(19&lt;=Setup!$B$5,19&gt;=$C45,OR(AND($E45="once",19=$C45),AND($E45="weekly",19&lt;=$D45),AND($E45="biweekly",19&lt;=$D45,MOD(19-$C45,2)=0))),Flows!$C46,0))</f>
        <v/>
      </c>
      <c r="Y45" s="13">
        <f>IF(OR($A45="",Flows!$C46=""),0,IF(AND(20&lt;=Setup!$B$5,20&gt;=$C45,OR(AND($E45="once",20=$C45),AND($E45="weekly",20&lt;=$D45),AND($E45="biweekly",20&lt;=$D45,MOD(20-$C45,2)=0))),Flows!$C46,0))</f>
        <v/>
      </c>
      <c r="Z45" s="13">
        <f>IF(OR($A45="",Flows!$C46=""),0,IF(AND(21&lt;=Setup!$B$5,21&gt;=$C45,OR(AND($E45="once",21=$C45),AND($E45="weekly",21&lt;=$D45),AND($E45="biweekly",21&lt;=$D45,MOD(21-$C45,2)=0))),Flows!$C46,0))</f>
        <v/>
      </c>
      <c r="AA45" s="13">
        <f>IF(OR($A45="",Flows!$C46=""),0,IF(AND(22&lt;=Setup!$B$5,22&gt;=$C45,OR(AND($E45="once",22=$C45),AND($E45="weekly",22&lt;=$D45),AND($E45="biweekly",22&lt;=$D45,MOD(22-$C45,2)=0))),Flows!$C46,0))</f>
        <v/>
      </c>
      <c r="AB45" s="13">
        <f>IF(OR($A45="",Flows!$C46=""),0,IF(AND(23&lt;=Setup!$B$5,23&gt;=$C45,OR(AND($E45="once",23=$C45),AND($E45="weekly",23&lt;=$D45),AND($E45="biweekly",23&lt;=$D45,MOD(23-$C45,2)=0))),Flows!$C46,0))</f>
        <v/>
      </c>
      <c r="AC45" s="13">
        <f>IF(OR($A45="",Flows!$C46=""),0,IF(AND(24&lt;=Setup!$B$5,24&gt;=$C45,OR(AND($E45="once",24=$C45),AND($E45="weekly",24&lt;=$D45),AND($E45="biweekly",24&lt;=$D45,MOD(24-$C45,2)=0))),Flows!$C46,0))</f>
        <v/>
      </c>
      <c r="AD45" s="13">
        <f>IF(OR($A45="",Flows!$C46=""),0,IF(AND(25&lt;=Setup!$B$5,25&gt;=$C45,OR(AND($E45="once",25=$C45),AND($E45="weekly",25&lt;=$D45),AND($E45="biweekly",25&lt;=$D45,MOD(25-$C45,2)=0))),Flows!$C46,0))</f>
        <v/>
      </c>
      <c r="AE45" s="13">
        <f>IF(OR($A45="",Flows!$C46=""),0,IF(AND(26&lt;=Setup!$B$5,26&gt;=$C45,OR(AND($E45="once",26=$C45),AND($E45="weekly",26&lt;=$D45),AND($E45="biweekly",26&lt;=$D45,MOD(26-$C45,2)=0))),Flows!$C46,0))</f>
        <v/>
      </c>
      <c r="AF45" s="13">
        <f>IF(OR($A45="",Flows!$C46=""),0,IF(AND(27&lt;=Setup!$B$5,27&gt;=$C45,OR(AND($E45="once",27=$C45),AND($E45="weekly",27&lt;=$D45),AND($E45="biweekly",27&lt;=$D45,MOD(27-$C45,2)=0))),Flows!$C46,0))</f>
        <v/>
      </c>
      <c r="AG45" s="13">
        <f>IF(OR($A45="",Flows!$C46=""),0,IF(AND(28&lt;=Setup!$B$5,28&gt;=$C45,OR(AND($E45="once",28=$C45),AND($E45="weekly",28&lt;=$D45),AND($E45="biweekly",28&lt;=$D45,MOD(28-$C45,2)=0))),Flows!$C46,0))</f>
        <v/>
      </c>
      <c r="AH45" s="13">
        <f>IF(OR($A45="",Flows!$C46=""),0,IF(AND(29&lt;=Setup!$B$5,29&gt;=$C45,OR(AND($E45="once",29=$C45),AND($E45="weekly",29&lt;=$D45),AND($E45="biweekly",29&lt;=$D45,MOD(29-$C45,2)=0))),Flows!$C46,0))</f>
        <v/>
      </c>
      <c r="AI45" s="13">
        <f>IF(OR($A45="",Flows!$C46=""),0,IF(AND(30&lt;=Setup!$B$5,30&gt;=$C45,OR(AND($E45="once",30=$C45),AND($E45="weekly",30&lt;=$D45),AND($E45="biweekly",30&lt;=$D45,MOD(30-$C45,2)=0))),Flows!$C46,0))</f>
        <v/>
      </c>
      <c r="AJ45" s="13">
        <f>IF(OR($A45="",Flows!$C46=""),0,IF(AND(31&lt;=Setup!$B$5,31&gt;=$C45,OR(AND($E45="once",31=$C45),AND($E45="weekly",31&lt;=$D45),AND($E45="biweekly",31&lt;=$D45,MOD(31-$C45,2)=0))),Flows!$C46,0))</f>
        <v/>
      </c>
      <c r="AK45" s="13">
        <f>IF(OR($A45="",Flows!$C46=""),0,IF(AND(32&lt;=Setup!$B$5,32&gt;=$C45,OR(AND($E45="once",32=$C45),AND($E45="weekly",32&lt;=$D45),AND($E45="biweekly",32&lt;=$D45,MOD(32-$C45,2)=0))),Flows!$C46,0))</f>
        <v/>
      </c>
      <c r="AL45" s="13">
        <f>IF(OR($A45="",Flows!$C46=""),0,IF(AND(33&lt;=Setup!$B$5,33&gt;=$C45,OR(AND($E45="once",33=$C45),AND($E45="weekly",33&lt;=$D45),AND($E45="biweekly",33&lt;=$D45,MOD(33-$C45,2)=0))),Flows!$C46,0))</f>
        <v/>
      </c>
      <c r="AM45" s="13">
        <f>IF(OR($A45="",Flows!$C46=""),0,IF(AND(34&lt;=Setup!$B$5,34&gt;=$C45,OR(AND($E45="once",34=$C45),AND($E45="weekly",34&lt;=$D45),AND($E45="biweekly",34&lt;=$D45,MOD(34-$C45,2)=0))),Flows!$C46,0))</f>
        <v/>
      </c>
      <c r="AN45" s="13">
        <f>IF(OR($A45="",Flows!$C46=""),0,IF(AND(35&lt;=Setup!$B$5,35&gt;=$C45,OR(AND($E45="once",35=$C45),AND($E45="weekly",35&lt;=$D45),AND($E45="biweekly",35&lt;=$D45,MOD(35-$C45,2)=0))),Flows!$C46,0))</f>
        <v/>
      </c>
      <c r="AO45" s="13">
        <f>IF(OR($A45="",Flows!$C46=""),0,IF(AND(36&lt;=Setup!$B$5,36&gt;=$C45,OR(AND($E45="once",36=$C45),AND($E45="weekly",36&lt;=$D45),AND($E45="biweekly",36&lt;=$D45,MOD(36-$C45,2)=0))),Flows!$C46,0))</f>
        <v/>
      </c>
      <c r="AP45" s="13">
        <f>IF(OR($A45="",Flows!$C46=""),0,IF(AND(37&lt;=Setup!$B$5,37&gt;=$C45,OR(AND($E45="once",37=$C45),AND($E45="weekly",37&lt;=$D45),AND($E45="biweekly",37&lt;=$D45,MOD(37-$C45,2)=0))),Flows!$C46,0))</f>
        <v/>
      </c>
      <c r="AQ45" s="13">
        <f>IF(OR($A45="",Flows!$C46=""),0,IF(AND(38&lt;=Setup!$B$5,38&gt;=$C45,OR(AND($E45="once",38=$C45),AND($E45="weekly",38&lt;=$D45),AND($E45="biweekly",38&lt;=$D45,MOD(38-$C45,2)=0))),Flows!$C46,0))</f>
        <v/>
      </c>
      <c r="AR45" s="13">
        <f>IF(OR($A45="",Flows!$C46=""),0,IF(AND(39&lt;=Setup!$B$5,39&gt;=$C45,OR(AND($E45="once",39=$C45),AND($E45="weekly",39&lt;=$D45),AND($E45="biweekly",39&lt;=$D45,MOD(39-$C45,2)=0))),Flows!$C46,0))</f>
        <v/>
      </c>
      <c r="AS45" s="13">
        <f>IF(OR($A45="",Flows!$C46=""),0,IF(AND(40&lt;=Setup!$B$5,40&gt;=$C45,OR(AND($E45="once",40=$C45),AND($E45="weekly",40&lt;=$D45),AND($E45="biweekly",40&lt;=$D45,MOD(40-$C45,2)=0))),Flows!$C46,0))</f>
        <v/>
      </c>
      <c r="AT45" s="13">
        <f>IF(OR($A45="",Flows!$C46=""),0,IF(AND(41&lt;=Setup!$B$5,41&gt;=$C45,OR(AND($E45="once",41=$C45),AND($E45="weekly",41&lt;=$D45),AND($E45="biweekly",41&lt;=$D45,MOD(41-$C45,2)=0))),Flows!$C46,0))</f>
        <v/>
      </c>
      <c r="AU45" s="13">
        <f>IF(OR($A45="",Flows!$C46=""),0,IF(AND(42&lt;=Setup!$B$5,42&gt;=$C45,OR(AND($E45="once",42=$C45),AND($E45="weekly",42&lt;=$D45),AND($E45="biweekly",42&lt;=$D45,MOD(42-$C45,2)=0))),Flows!$C46,0))</f>
        <v/>
      </c>
      <c r="AV45" s="13">
        <f>IF(OR($A45="",Flows!$C46=""),0,IF(AND(43&lt;=Setup!$B$5,43&gt;=$C45,OR(AND($E45="once",43=$C45),AND($E45="weekly",43&lt;=$D45),AND($E45="biweekly",43&lt;=$D45,MOD(43-$C45,2)=0))),Flows!$C46,0))</f>
        <v/>
      </c>
      <c r="AW45" s="13">
        <f>IF(OR($A45="",Flows!$C46=""),0,IF(AND(44&lt;=Setup!$B$5,44&gt;=$C45,OR(AND($E45="once",44=$C45),AND($E45="weekly",44&lt;=$D45),AND($E45="biweekly",44&lt;=$D45,MOD(44-$C45,2)=0))),Flows!$C46,0))</f>
        <v/>
      </c>
      <c r="AX45" s="13">
        <f>IF(OR($A45="",Flows!$C46=""),0,IF(AND(45&lt;=Setup!$B$5,45&gt;=$C45,OR(AND($E45="once",45=$C45),AND($E45="weekly",45&lt;=$D45),AND($E45="biweekly",45&lt;=$D45,MOD(45-$C45,2)=0))),Flows!$C46,0))</f>
        <v/>
      </c>
      <c r="AY45" s="13">
        <f>IF(OR($A45="",Flows!$C46=""),0,IF(AND(46&lt;=Setup!$B$5,46&gt;=$C45,OR(AND($E45="once",46=$C45),AND($E45="weekly",46&lt;=$D45),AND($E45="biweekly",46&lt;=$D45,MOD(46-$C45,2)=0))),Flows!$C46,0))</f>
        <v/>
      </c>
      <c r="AZ45" s="13">
        <f>IF(OR($A45="",Flows!$C46=""),0,IF(AND(47&lt;=Setup!$B$5,47&gt;=$C45,OR(AND($E45="once",47=$C45),AND($E45="weekly",47&lt;=$D45),AND($E45="biweekly",47&lt;=$D45,MOD(47-$C45,2)=0))),Flows!$C46,0))</f>
        <v/>
      </c>
      <c r="BA45" s="13">
        <f>IF(OR($A45="",Flows!$C46=""),0,IF(AND(48&lt;=Setup!$B$5,48&gt;=$C45,OR(AND($E45="once",48=$C45),AND($E45="weekly",48&lt;=$D45),AND($E45="biweekly",48&lt;=$D45,MOD(48-$C45,2)=0))),Flows!$C46,0))</f>
        <v/>
      </c>
      <c r="BB45" s="13">
        <f>IF(OR($A45="",Flows!$C46=""),0,IF(AND(49&lt;=Setup!$B$5,49&gt;=$C45,OR(AND($E45="once",49=$C45),AND($E45="weekly",49&lt;=$D45),AND($E45="biweekly",49&lt;=$D45,MOD(49-$C45,2)=0))),Flows!$C46,0))</f>
        <v/>
      </c>
      <c r="BC45" s="13">
        <f>IF(OR($A45="",Flows!$C46=""),0,IF(AND(50&lt;=Setup!$B$5,50&gt;=$C45,OR(AND($E45="once",50=$C45),AND($E45="weekly",50&lt;=$D45),AND($E45="biweekly",50&lt;=$D45,MOD(50-$C45,2)=0))),Flows!$C46,0))</f>
        <v/>
      </c>
      <c r="BD45" s="13">
        <f>IF(OR($A45="",Flows!$C46=""),0,IF(AND(51&lt;=Setup!$B$5,51&gt;=$C45,OR(AND($E45="once",51=$C45),AND($E45="weekly",51&lt;=$D45),AND($E45="biweekly",51&lt;=$D45,MOD(51-$C45,2)=0))),Flows!$C46,0))</f>
        <v/>
      </c>
      <c r="BE45" s="13">
        <f>IF(OR($A45="",Flows!$C46=""),0,IF(AND(52&lt;=Setup!$B$5,52&gt;=$C45,OR(AND($E45="once",52=$C45),AND($E45="weekly",52&lt;=$D45),AND($E45="biweekly",52&lt;=$D45,MOD(52-$C45,2)=0))),Flows!$C46,0))</f>
        <v/>
      </c>
    </row>
    <row r="46">
      <c r="A46" s="7">
        <f>IF(Flows!A47="","",LOWER(Flows!A47))</f>
        <v/>
      </c>
      <c r="B46" s="7">
        <f>IF(Flows!B47="","",Flows!B47)</f>
        <v/>
      </c>
      <c r="C46" s="7">
        <f>N(Flows!D47)</f>
        <v/>
      </c>
      <c r="D46" s="7">
        <f>IF(Flows!F47="",Setup!$B$5,Flows!F47)</f>
        <v/>
      </c>
      <c r="E46" s="7">
        <f>IF(Flows!E47="","once",LOWER(Flows!E47))</f>
        <v/>
      </c>
      <c r="F46" s="13">
        <f>IF(OR($A46="",Flows!$C47=""),0,IF(AND(1&lt;=Setup!$B$5,1&gt;=$C46,OR(AND($E46="once",1=$C46),AND($E46="weekly",1&lt;=$D46),AND($E46="biweekly",1&lt;=$D46,MOD(1-$C46,2)=0))),Flows!$C47,0))</f>
        <v/>
      </c>
      <c r="G46" s="13">
        <f>IF(OR($A46="",Flows!$C47=""),0,IF(AND(2&lt;=Setup!$B$5,2&gt;=$C46,OR(AND($E46="once",2=$C46),AND($E46="weekly",2&lt;=$D46),AND($E46="biweekly",2&lt;=$D46,MOD(2-$C46,2)=0))),Flows!$C47,0))</f>
        <v/>
      </c>
      <c r="H46" s="13">
        <f>IF(OR($A46="",Flows!$C47=""),0,IF(AND(3&lt;=Setup!$B$5,3&gt;=$C46,OR(AND($E46="once",3=$C46),AND($E46="weekly",3&lt;=$D46),AND($E46="biweekly",3&lt;=$D46,MOD(3-$C46,2)=0))),Flows!$C47,0))</f>
        <v/>
      </c>
      <c r="I46" s="13">
        <f>IF(OR($A46="",Flows!$C47=""),0,IF(AND(4&lt;=Setup!$B$5,4&gt;=$C46,OR(AND($E46="once",4=$C46),AND($E46="weekly",4&lt;=$D46),AND($E46="biweekly",4&lt;=$D46,MOD(4-$C46,2)=0))),Flows!$C47,0))</f>
        <v/>
      </c>
      <c r="J46" s="13">
        <f>IF(OR($A46="",Flows!$C47=""),0,IF(AND(5&lt;=Setup!$B$5,5&gt;=$C46,OR(AND($E46="once",5=$C46),AND($E46="weekly",5&lt;=$D46),AND($E46="biweekly",5&lt;=$D46,MOD(5-$C46,2)=0))),Flows!$C47,0))</f>
        <v/>
      </c>
      <c r="K46" s="13">
        <f>IF(OR($A46="",Flows!$C47=""),0,IF(AND(6&lt;=Setup!$B$5,6&gt;=$C46,OR(AND($E46="once",6=$C46),AND($E46="weekly",6&lt;=$D46),AND($E46="biweekly",6&lt;=$D46,MOD(6-$C46,2)=0))),Flows!$C47,0))</f>
        <v/>
      </c>
      <c r="L46" s="13">
        <f>IF(OR($A46="",Flows!$C47=""),0,IF(AND(7&lt;=Setup!$B$5,7&gt;=$C46,OR(AND($E46="once",7=$C46),AND($E46="weekly",7&lt;=$D46),AND($E46="biweekly",7&lt;=$D46,MOD(7-$C46,2)=0))),Flows!$C47,0))</f>
        <v/>
      </c>
      <c r="M46" s="13">
        <f>IF(OR($A46="",Flows!$C47=""),0,IF(AND(8&lt;=Setup!$B$5,8&gt;=$C46,OR(AND($E46="once",8=$C46),AND($E46="weekly",8&lt;=$D46),AND($E46="biweekly",8&lt;=$D46,MOD(8-$C46,2)=0))),Flows!$C47,0))</f>
        <v/>
      </c>
      <c r="N46" s="13">
        <f>IF(OR($A46="",Flows!$C47=""),0,IF(AND(9&lt;=Setup!$B$5,9&gt;=$C46,OR(AND($E46="once",9=$C46),AND($E46="weekly",9&lt;=$D46),AND($E46="biweekly",9&lt;=$D46,MOD(9-$C46,2)=0))),Flows!$C47,0))</f>
        <v/>
      </c>
      <c r="O46" s="13">
        <f>IF(OR($A46="",Flows!$C47=""),0,IF(AND(10&lt;=Setup!$B$5,10&gt;=$C46,OR(AND($E46="once",10=$C46),AND($E46="weekly",10&lt;=$D46),AND($E46="biweekly",10&lt;=$D46,MOD(10-$C46,2)=0))),Flows!$C47,0))</f>
        <v/>
      </c>
      <c r="P46" s="13">
        <f>IF(OR($A46="",Flows!$C47=""),0,IF(AND(11&lt;=Setup!$B$5,11&gt;=$C46,OR(AND($E46="once",11=$C46),AND($E46="weekly",11&lt;=$D46),AND($E46="biweekly",11&lt;=$D46,MOD(11-$C46,2)=0))),Flows!$C47,0))</f>
        <v/>
      </c>
      <c r="Q46" s="13">
        <f>IF(OR($A46="",Flows!$C47=""),0,IF(AND(12&lt;=Setup!$B$5,12&gt;=$C46,OR(AND($E46="once",12=$C46),AND($E46="weekly",12&lt;=$D46),AND($E46="biweekly",12&lt;=$D46,MOD(12-$C46,2)=0))),Flows!$C47,0))</f>
        <v/>
      </c>
      <c r="R46" s="13">
        <f>IF(OR($A46="",Flows!$C47=""),0,IF(AND(13&lt;=Setup!$B$5,13&gt;=$C46,OR(AND($E46="once",13=$C46),AND($E46="weekly",13&lt;=$D46),AND($E46="biweekly",13&lt;=$D46,MOD(13-$C46,2)=0))),Flows!$C47,0))</f>
        <v/>
      </c>
      <c r="S46" s="13">
        <f>IF(OR($A46="",Flows!$C47=""),0,IF(AND(14&lt;=Setup!$B$5,14&gt;=$C46,OR(AND($E46="once",14=$C46),AND($E46="weekly",14&lt;=$D46),AND($E46="biweekly",14&lt;=$D46,MOD(14-$C46,2)=0))),Flows!$C47,0))</f>
        <v/>
      </c>
      <c r="T46" s="13">
        <f>IF(OR($A46="",Flows!$C47=""),0,IF(AND(15&lt;=Setup!$B$5,15&gt;=$C46,OR(AND($E46="once",15=$C46),AND($E46="weekly",15&lt;=$D46),AND($E46="biweekly",15&lt;=$D46,MOD(15-$C46,2)=0))),Flows!$C47,0))</f>
        <v/>
      </c>
      <c r="U46" s="13">
        <f>IF(OR($A46="",Flows!$C47=""),0,IF(AND(16&lt;=Setup!$B$5,16&gt;=$C46,OR(AND($E46="once",16=$C46),AND($E46="weekly",16&lt;=$D46),AND($E46="biweekly",16&lt;=$D46,MOD(16-$C46,2)=0))),Flows!$C47,0))</f>
        <v/>
      </c>
      <c r="V46" s="13">
        <f>IF(OR($A46="",Flows!$C47=""),0,IF(AND(17&lt;=Setup!$B$5,17&gt;=$C46,OR(AND($E46="once",17=$C46),AND($E46="weekly",17&lt;=$D46),AND($E46="biweekly",17&lt;=$D46,MOD(17-$C46,2)=0))),Flows!$C47,0))</f>
        <v/>
      </c>
      <c r="W46" s="13">
        <f>IF(OR($A46="",Flows!$C47=""),0,IF(AND(18&lt;=Setup!$B$5,18&gt;=$C46,OR(AND($E46="once",18=$C46),AND($E46="weekly",18&lt;=$D46),AND($E46="biweekly",18&lt;=$D46,MOD(18-$C46,2)=0))),Flows!$C47,0))</f>
        <v/>
      </c>
      <c r="X46" s="13">
        <f>IF(OR($A46="",Flows!$C47=""),0,IF(AND(19&lt;=Setup!$B$5,19&gt;=$C46,OR(AND($E46="once",19=$C46),AND($E46="weekly",19&lt;=$D46),AND($E46="biweekly",19&lt;=$D46,MOD(19-$C46,2)=0))),Flows!$C47,0))</f>
        <v/>
      </c>
      <c r="Y46" s="13">
        <f>IF(OR($A46="",Flows!$C47=""),0,IF(AND(20&lt;=Setup!$B$5,20&gt;=$C46,OR(AND($E46="once",20=$C46),AND($E46="weekly",20&lt;=$D46),AND($E46="biweekly",20&lt;=$D46,MOD(20-$C46,2)=0))),Flows!$C47,0))</f>
        <v/>
      </c>
      <c r="Z46" s="13">
        <f>IF(OR($A46="",Flows!$C47=""),0,IF(AND(21&lt;=Setup!$B$5,21&gt;=$C46,OR(AND($E46="once",21=$C46),AND($E46="weekly",21&lt;=$D46),AND($E46="biweekly",21&lt;=$D46,MOD(21-$C46,2)=0))),Flows!$C47,0))</f>
        <v/>
      </c>
      <c r="AA46" s="13">
        <f>IF(OR($A46="",Flows!$C47=""),0,IF(AND(22&lt;=Setup!$B$5,22&gt;=$C46,OR(AND($E46="once",22=$C46),AND($E46="weekly",22&lt;=$D46),AND($E46="biweekly",22&lt;=$D46,MOD(22-$C46,2)=0))),Flows!$C47,0))</f>
        <v/>
      </c>
      <c r="AB46" s="13">
        <f>IF(OR($A46="",Flows!$C47=""),0,IF(AND(23&lt;=Setup!$B$5,23&gt;=$C46,OR(AND($E46="once",23=$C46),AND($E46="weekly",23&lt;=$D46),AND($E46="biweekly",23&lt;=$D46,MOD(23-$C46,2)=0))),Flows!$C47,0))</f>
        <v/>
      </c>
      <c r="AC46" s="13">
        <f>IF(OR($A46="",Flows!$C47=""),0,IF(AND(24&lt;=Setup!$B$5,24&gt;=$C46,OR(AND($E46="once",24=$C46),AND($E46="weekly",24&lt;=$D46),AND($E46="biweekly",24&lt;=$D46,MOD(24-$C46,2)=0))),Flows!$C47,0))</f>
        <v/>
      </c>
      <c r="AD46" s="13">
        <f>IF(OR($A46="",Flows!$C47=""),0,IF(AND(25&lt;=Setup!$B$5,25&gt;=$C46,OR(AND($E46="once",25=$C46),AND($E46="weekly",25&lt;=$D46),AND($E46="biweekly",25&lt;=$D46,MOD(25-$C46,2)=0))),Flows!$C47,0))</f>
        <v/>
      </c>
      <c r="AE46" s="13">
        <f>IF(OR($A46="",Flows!$C47=""),0,IF(AND(26&lt;=Setup!$B$5,26&gt;=$C46,OR(AND($E46="once",26=$C46),AND($E46="weekly",26&lt;=$D46),AND($E46="biweekly",26&lt;=$D46,MOD(26-$C46,2)=0))),Flows!$C47,0))</f>
        <v/>
      </c>
      <c r="AF46" s="13">
        <f>IF(OR($A46="",Flows!$C47=""),0,IF(AND(27&lt;=Setup!$B$5,27&gt;=$C46,OR(AND($E46="once",27=$C46),AND($E46="weekly",27&lt;=$D46),AND($E46="biweekly",27&lt;=$D46,MOD(27-$C46,2)=0))),Flows!$C47,0))</f>
        <v/>
      </c>
      <c r="AG46" s="13">
        <f>IF(OR($A46="",Flows!$C47=""),0,IF(AND(28&lt;=Setup!$B$5,28&gt;=$C46,OR(AND($E46="once",28=$C46),AND($E46="weekly",28&lt;=$D46),AND($E46="biweekly",28&lt;=$D46,MOD(28-$C46,2)=0))),Flows!$C47,0))</f>
        <v/>
      </c>
      <c r="AH46" s="13">
        <f>IF(OR($A46="",Flows!$C47=""),0,IF(AND(29&lt;=Setup!$B$5,29&gt;=$C46,OR(AND($E46="once",29=$C46),AND($E46="weekly",29&lt;=$D46),AND($E46="biweekly",29&lt;=$D46,MOD(29-$C46,2)=0))),Flows!$C47,0))</f>
        <v/>
      </c>
      <c r="AI46" s="13">
        <f>IF(OR($A46="",Flows!$C47=""),0,IF(AND(30&lt;=Setup!$B$5,30&gt;=$C46,OR(AND($E46="once",30=$C46),AND($E46="weekly",30&lt;=$D46),AND($E46="biweekly",30&lt;=$D46,MOD(30-$C46,2)=0))),Flows!$C47,0))</f>
        <v/>
      </c>
      <c r="AJ46" s="13">
        <f>IF(OR($A46="",Flows!$C47=""),0,IF(AND(31&lt;=Setup!$B$5,31&gt;=$C46,OR(AND($E46="once",31=$C46),AND($E46="weekly",31&lt;=$D46),AND($E46="biweekly",31&lt;=$D46,MOD(31-$C46,2)=0))),Flows!$C47,0))</f>
        <v/>
      </c>
      <c r="AK46" s="13">
        <f>IF(OR($A46="",Flows!$C47=""),0,IF(AND(32&lt;=Setup!$B$5,32&gt;=$C46,OR(AND($E46="once",32=$C46),AND($E46="weekly",32&lt;=$D46),AND($E46="biweekly",32&lt;=$D46,MOD(32-$C46,2)=0))),Flows!$C47,0))</f>
        <v/>
      </c>
      <c r="AL46" s="13">
        <f>IF(OR($A46="",Flows!$C47=""),0,IF(AND(33&lt;=Setup!$B$5,33&gt;=$C46,OR(AND($E46="once",33=$C46),AND($E46="weekly",33&lt;=$D46),AND($E46="biweekly",33&lt;=$D46,MOD(33-$C46,2)=0))),Flows!$C47,0))</f>
        <v/>
      </c>
      <c r="AM46" s="13">
        <f>IF(OR($A46="",Flows!$C47=""),0,IF(AND(34&lt;=Setup!$B$5,34&gt;=$C46,OR(AND($E46="once",34=$C46),AND($E46="weekly",34&lt;=$D46),AND($E46="biweekly",34&lt;=$D46,MOD(34-$C46,2)=0))),Flows!$C47,0))</f>
        <v/>
      </c>
      <c r="AN46" s="13">
        <f>IF(OR($A46="",Flows!$C47=""),0,IF(AND(35&lt;=Setup!$B$5,35&gt;=$C46,OR(AND($E46="once",35=$C46),AND($E46="weekly",35&lt;=$D46),AND($E46="biweekly",35&lt;=$D46,MOD(35-$C46,2)=0))),Flows!$C47,0))</f>
        <v/>
      </c>
      <c r="AO46" s="13">
        <f>IF(OR($A46="",Flows!$C47=""),0,IF(AND(36&lt;=Setup!$B$5,36&gt;=$C46,OR(AND($E46="once",36=$C46),AND($E46="weekly",36&lt;=$D46),AND($E46="biweekly",36&lt;=$D46,MOD(36-$C46,2)=0))),Flows!$C47,0))</f>
        <v/>
      </c>
      <c r="AP46" s="13">
        <f>IF(OR($A46="",Flows!$C47=""),0,IF(AND(37&lt;=Setup!$B$5,37&gt;=$C46,OR(AND($E46="once",37=$C46),AND($E46="weekly",37&lt;=$D46),AND($E46="biweekly",37&lt;=$D46,MOD(37-$C46,2)=0))),Flows!$C47,0))</f>
        <v/>
      </c>
      <c r="AQ46" s="13">
        <f>IF(OR($A46="",Flows!$C47=""),0,IF(AND(38&lt;=Setup!$B$5,38&gt;=$C46,OR(AND($E46="once",38=$C46),AND($E46="weekly",38&lt;=$D46),AND($E46="biweekly",38&lt;=$D46,MOD(38-$C46,2)=0))),Flows!$C47,0))</f>
        <v/>
      </c>
      <c r="AR46" s="13">
        <f>IF(OR($A46="",Flows!$C47=""),0,IF(AND(39&lt;=Setup!$B$5,39&gt;=$C46,OR(AND($E46="once",39=$C46),AND($E46="weekly",39&lt;=$D46),AND($E46="biweekly",39&lt;=$D46,MOD(39-$C46,2)=0))),Flows!$C47,0))</f>
        <v/>
      </c>
      <c r="AS46" s="13">
        <f>IF(OR($A46="",Flows!$C47=""),0,IF(AND(40&lt;=Setup!$B$5,40&gt;=$C46,OR(AND($E46="once",40=$C46),AND($E46="weekly",40&lt;=$D46),AND($E46="biweekly",40&lt;=$D46,MOD(40-$C46,2)=0))),Flows!$C47,0))</f>
        <v/>
      </c>
      <c r="AT46" s="13">
        <f>IF(OR($A46="",Flows!$C47=""),0,IF(AND(41&lt;=Setup!$B$5,41&gt;=$C46,OR(AND($E46="once",41=$C46),AND($E46="weekly",41&lt;=$D46),AND($E46="biweekly",41&lt;=$D46,MOD(41-$C46,2)=0))),Flows!$C47,0))</f>
        <v/>
      </c>
      <c r="AU46" s="13">
        <f>IF(OR($A46="",Flows!$C47=""),0,IF(AND(42&lt;=Setup!$B$5,42&gt;=$C46,OR(AND($E46="once",42=$C46),AND($E46="weekly",42&lt;=$D46),AND($E46="biweekly",42&lt;=$D46,MOD(42-$C46,2)=0))),Flows!$C47,0))</f>
        <v/>
      </c>
      <c r="AV46" s="13">
        <f>IF(OR($A46="",Flows!$C47=""),0,IF(AND(43&lt;=Setup!$B$5,43&gt;=$C46,OR(AND($E46="once",43=$C46),AND($E46="weekly",43&lt;=$D46),AND($E46="biweekly",43&lt;=$D46,MOD(43-$C46,2)=0))),Flows!$C47,0))</f>
        <v/>
      </c>
      <c r="AW46" s="13">
        <f>IF(OR($A46="",Flows!$C47=""),0,IF(AND(44&lt;=Setup!$B$5,44&gt;=$C46,OR(AND($E46="once",44=$C46),AND($E46="weekly",44&lt;=$D46),AND($E46="biweekly",44&lt;=$D46,MOD(44-$C46,2)=0))),Flows!$C47,0))</f>
        <v/>
      </c>
      <c r="AX46" s="13">
        <f>IF(OR($A46="",Flows!$C47=""),0,IF(AND(45&lt;=Setup!$B$5,45&gt;=$C46,OR(AND($E46="once",45=$C46),AND($E46="weekly",45&lt;=$D46),AND($E46="biweekly",45&lt;=$D46,MOD(45-$C46,2)=0))),Flows!$C47,0))</f>
        <v/>
      </c>
      <c r="AY46" s="13">
        <f>IF(OR($A46="",Flows!$C47=""),0,IF(AND(46&lt;=Setup!$B$5,46&gt;=$C46,OR(AND($E46="once",46=$C46),AND($E46="weekly",46&lt;=$D46),AND($E46="biweekly",46&lt;=$D46,MOD(46-$C46,2)=0))),Flows!$C47,0))</f>
        <v/>
      </c>
      <c r="AZ46" s="13">
        <f>IF(OR($A46="",Flows!$C47=""),0,IF(AND(47&lt;=Setup!$B$5,47&gt;=$C46,OR(AND($E46="once",47=$C46),AND($E46="weekly",47&lt;=$D46),AND($E46="biweekly",47&lt;=$D46,MOD(47-$C46,2)=0))),Flows!$C47,0))</f>
        <v/>
      </c>
      <c r="BA46" s="13">
        <f>IF(OR($A46="",Flows!$C47=""),0,IF(AND(48&lt;=Setup!$B$5,48&gt;=$C46,OR(AND($E46="once",48=$C46),AND($E46="weekly",48&lt;=$D46),AND($E46="biweekly",48&lt;=$D46,MOD(48-$C46,2)=0))),Flows!$C47,0))</f>
        <v/>
      </c>
      <c r="BB46" s="13">
        <f>IF(OR($A46="",Flows!$C47=""),0,IF(AND(49&lt;=Setup!$B$5,49&gt;=$C46,OR(AND($E46="once",49=$C46),AND($E46="weekly",49&lt;=$D46),AND($E46="biweekly",49&lt;=$D46,MOD(49-$C46,2)=0))),Flows!$C47,0))</f>
        <v/>
      </c>
      <c r="BC46" s="13">
        <f>IF(OR($A46="",Flows!$C47=""),0,IF(AND(50&lt;=Setup!$B$5,50&gt;=$C46,OR(AND($E46="once",50=$C46),AND($E46="weekly",50&lt;=$D46),AND($E46="biweekly",50&lt;=$D46,MOD(50-$C46,2)=0))),Flows!$C47,0))</f>
        <v/>
      </c>
      <c r="BD46" s="13">
        <f>IF(OR($A46="",Flows!$C47=""),0,IF(AND(51&lt;=Setup!$B$5,51&gt;=$C46,OR(AND($E46="once",51=$C46),AND($E46="weekly",51&lt;=$D46),AND($E46="biweekly",51&lt;=$D46,MOD(51-$C46,2)=0))),Flows!$C47,0))</f>
        <v/>
      </c>
      <c r="BE46" s="13">
        <f>IF(OR($A46="",Flows!$C47=""),0,IF(AND(52&lt;=Setup!$B$5,52&gt;=$C46,OR(AND($E46="once",52=$C46),AND($E46="weekly",52&lt;=$D46),AND($E46="biweekly",52&lt;=$D46,MOD(52-$C46,2)=0))),Flows!$C47,0))</f>
        <v/>
      </c>
    </row>
    <row r="47">
      <c r="A47" s="7">
        <f>IF(Flows!A48="","",LOWER(Flows!A48))</f>
        <v/>
      </c>
      <c r="B47" s="7">
        <f>IF(Flows!B48="","",Flows!B48)</f>
        <v/>
      </c>
      <c r="C47" s="7">
        <f>N(Flows!D48)</f>
        <v/>
      </c>
      <c r="D47" s="7">
        <f>IF(Flows!F48="",Setup!$B$5,Flows!F48)</f>
        <v/>
      </c>
      <c r="E47" s="7">
        <f>IF(Flows!E48="","once",LOWER(Flows!E48))</f>
        <v/>
      </c>
      <c r="F47" s="13">
        <f>IF(OR($A47="",Flows!$C48=""),0,IF(AND(1&lt;=Setup!$B$5,1&gt;=$C47,OR(AND($E47="once",1=$C47),AND($E47="weekly",1&lt;=$D47),AND($E47="biweekly",1&lt;=$D47,MOD(1-$C47,2)=0))),Flows!$C48,0))</f>
        <v/>
      </c>
      <c r="G47" s="13">
        <f>IF(OR($A47="",Flows!$C48=""),0,IF(AND(2&lt;=Setup!$B$5,2&gt;=$C47,OR(AND($E47="once",2=$C47),AND($E47="weekly",2&lt;=$D47),AND($E47="biweekly",2&lt;=$D47,MOD(2-$C47,2)=0))),Flows!$C48,0))</f>
        <v/>
      </c>
      <c r="H47" s="13">
        <f>IF(OR($A47="",Flows!$C48=""),0,IF(AND(3&lt;=Setup!$B$5,3&gt;=$C47,OR(AND($E47="once",3=$C47),AND($E47="weekly",3&lt;=$D47),AND($E47="biweekly",3&lt;=$D47,MOD(3-$C47,2)=0))),Flows!$C48,0))</f>
        <v/>
      </c>
      <c r="I47" s="13">
        <f>IF(OR($A47="",Flows!$C48=""),0,IF(AND(4&lt;=Setup!$B$5,4&gt;=$C47,OR(AND($E47="once",4=$C47),AND($E47="weekly",4&lt;=$D47),AND($E47="biweekly",4&lt;=$D47,MOD(4-$C47,2)=0))),Flows!$C48,0))</f>
        <v/>
      </c>
      <c r="J47" s="13">
        <f>IF(OR($A47="",Flows!$C48=""),0,IF(AND(5&lt;=Setup!$B$5,5&gt;=$C47,OR(AND($E47="once",5=$C47),AND($E47="weekly",5&lt;=$D47),AND($E47="biweekly",5&lt;=$D47,MOD(5-$C47,2)=0))),Flows!$C48,0))</f>
        <v/>
      </c>
      <c r="K47" s="13">
        <f>IF(OR($A47="",Flows!$C48=""),0,IF(AND(6&lt;=Setup!$B$5,6&gt;=$C47,OR(AND($E47="once",6=$C47),AND($E47="weekly",6&lt;=$D47),AND($E47="biweekly",6&lt;=$D47,MOD(6-$C47,2)=0))),Flows!$C48,0))</f>
        <v/>
      </c>
      <c r="L47" s="13">
        <f>IF(OR($A47="",Flows!$C48=""),0,IF(AND(7&lt;=Setup!$B$5,7&gt;=$C47,OR(AND($E47="once",7=$C47),AND($E47="weekly",7&lt;=$D47),AND($E47="biweekly",7&lt;=$D47,MOD(7-$C47,2)=0))),Flows!$C48,0))</f>
        <v/>
      </c>
      <c r="M47" s="13">
        <f>IF(OR($A47="",Flows!$C48=""),0,IF(AND(8&lt;=Setup!$B$5,8&gt;=$C47,OR(AND($E47="once",8=$C47),AND($E47="weekly",8&lt;=$D47),AND($E47="biweekly",8&lt;=$D47,MOD(8-$C47,2)=0))),Flows!$C48,0))</f>
        <v/>
      </c>
      <c r="N47" s="13">
        <f>IF(OR($A47="",Flows!$C48=""),0,IF(AND(9&lt;=Setup!$B$5,9&gt;=$C47,OR(AND($E47="once",9=$C47),AND($E47="weekly",9&lt;=$D47),AND($E47="biweekly",9&lt;=$D47,MOD(9-$C47,2)=0))),Flows!$C48,0))</f>
        <v/>
      </c>
      <c r="O47" s="13">
        <f>IF(OR($A47="",Flows!$C48=""),0,IF(AND(10&lt;=Setup!$B$5,10&gt;=$C47,OR(AND($E47="once",10=$C47),AND($E47="weekly",10&lt;=$D47),AND($E47="biweekly",10&lt;=$D47,MOD(10-$C47,2)=0))),Flows!$C48,0))</f>
        <v/>
      </c>
      <c r="P47" s="13">
        <f>IF(OR($A47="",Flows!$C48=""),0,IF(AND(11&lt;=Setup!$B$5,11&gt;=$C47,OR(AND($E47="once",11=$C47),AND($E47="weekly",11&lt;=$D47),AND($E47="biweekly",11&lt;=$D47,MOD(11-$C47,2)=0))),Flows!$C48,0))</f>
        <v/>
      </c>
      <c r="Q47" s="13">
        <f>IF(OR($A47="",Flows!$C48=""),0,IF(AND(12&lt;=Setup!$B$5,12&gt;=$C47,OR(AND($E47="once",12=$C47),AND($E47="weekly",12&lt;=$D47),AND($E47="biweekly",12&lt;=$D47,MOD(12-$C47,2)=0))),Flows!$C48,0))</f>
        <v/>
      </c>
      <c r="R47" s="13">
        <f>IF(OR($A47="",Flows!$C48=""),0,IF(AND(13&lt;=Setup!$B$5,13&gt;=$C47,OR(AND($E47="once",13=$C47),AND($E47="weekly",13&lt;=$D47),AND($E47="biweekly",13&lt;=$D47,MOD(13-$C47,2)=0))),Flows!$C48,0))</f>
        <v/>
      </c>
      <c r="S47" s="13">
        <f>IF(OR($A47="",Flows!$C48=""),0,IF(AND(14&lt;=Setup!$B$5,14&gt;=$C47,OR(AND($E47="once",14=$C47),AND($E47="weekly",14&lt;=$D47),AND($E47="biweekly",14&lt;=$D47,MOD(14-$C47,2)=0))),Flows!$C48,0))</f>
        <v/>
      </c>
      <c r="T47" s="13">
        <f>IF(OR($A47="",Flows!$C48=""),0,IF(AND(15&lt;=Setup!$B$5,15&gt;=$C47,OR(AND($E47="once",15=$C47),AND($E47="weekly",15&lt;=$D47),AND($E47="biweekly",15&lt;=$D47,MOD(15-$C47,2)=0))),Flows!$C48,0))</f>
        <v/>
      </c>
      <c r="U47" s="13">
        <f>IF(OR($A47="",Flows!$C48=""),0,IF(AND(16&lt;=Setup!$B$5,16&gt;=$C47,OR(AND($E47="once",16=$C47),AND($E47="weekly",16&lt;=$D47),AND($E47="biweekly",16&lt;=$D47,MOD(16-$C47,2)=0))),Flows!$C48,0))</f>
        <v/>
      </c>
      <c r="V47" s="13">
        <f>IF(OR($A47="",Flows!$C48=""),0,IF(AND(17&lt;=Setup!$B$5,17&gt;=$C47,OR(AND($E47="once",17=$C47),AND($E47="weekly",17&lt;=$D47),AND($E47="biweekly",17&lt;=$D47,MOD(17-$C47,2)=0))),Flows!$C48,0))</f>
        <v/>
      </c>
      <c r="W47" s="13">
        <f>IF(OR($A47="",Flows!$C48=""),0,IF(AND(18&lt;=Setup!$B$5,18&gt;=$C47,OR(AND($E47="once",18=$C47),AND($E47="weekly",18&lt;=$D47),AND($E47="biweekly",18&lt;=$D47,MOD(18-$C47,2)=0))),Flows!$C48,0))</f>
        <v/>
      </c>
      <c r="X47" s="13">
        <f>IF(OR($A47="",Flows!$C48=""),0,IF(AND(19&lt;=Setup!$B$5,19&gt;=$C47,OR(AND($E47="once",19=$C47),AND($E47="weekly",19&lt;=$D47),AND($E47="biweekly",19&lt;=$D47,MOD(19-$C47,2)=0))),Flows!$C48,0))</f>
        <v/>
      </c>
      <c r="Y47" s="13">
        <f>IF(OR($A47="",Flows!$C48=""),0,IF(AND(20&lt;=Setup!$B$5,20&gt;=$C47,OR(AND($E47="once",20=$C47),AND($E47="weekly",20&lt;=$D47),AND($E47="biweekly",20&lt;=$D47,MOD(20-$C47,2)=0))),Flows!$C48,0))</f>
        <v/>
      </c>
      <c r="Z47" s="13">
        <f>IF(OR($A47="",Flows!$C48=""),0,IF(AND(21&lt;=Setup!$B$5,21&gt;=$C47,OR(AND($E47="once",21=$C47),AND($E47="weekly",21&lt;=$D47),AND($E47="biweekly",21&lt;=$D47,MOD(21-$C47,2)=0))),Flows!$C48,0))</f>
        <v/>
      </c>
      <c r="AA47" s="13">
        <f>IF(OR($A47="",Flows!$C48=""),0,IF(AND(22&lt;=Setup!$B$5,22&gt;=$C47,OR(AND($E47="once",22=$C47),AND($E47="weekly",22&lt;=$D47),AND($E47="biweekly",22&lt;=$D47,MOD(22-$C47,2)=0))),Flows!$C48,0))</f>
        <v/>
      </c>
      <c r="AB47" s="13">
        <f>IF(OR($A47="",Flows!$C48=""),0,IF(AND(23&lt;=Setup!$B$5,23&gt;=$C47,OR(AND($E47="once",23=$C47),AND($E47="weekly",23&lt;=$D47),AND($E47="biweekly",23&lt;=$D47,MOD(23-$C47,2)=0))),Flows!$C48,0))</f>
        <v/>
      </c>
      <c r="AC47" s="13">
        <f>IF(OR($A47="",Flows!$C48=""),0,IF(AND(24&lt;=Setup!$B$5,24&gt;=$C47,OR(AND($E47="once",24=$C47),AND($E47="weekly",24&lt;=$D47),AND($E47="biweekly",24&lt;=$D47,MOD(24-$C47,2)=0))),Flows!$C48,0))</f>
        <v/>
      </c>
      <c r="AD47" s="13">
        <f>IF(OR($A47="",Flows!$C48=""),0,IF(AND(25&lt;=Setup!$B$5,25&gt;=$C47,OR(AND($E47="once",25=$C47),AND($E47="weekly",25&lt;=$D47),AND($E47="biweekly",25&lt;=$D47,MOD(25-$C47,2)=0))),Flows!$C48,0))</f>
        <v/>
      </c>
      <c r="AE47" s="13">
        <f>IF(OR($A47="",Flows!$C48=""),0,IF(AND(26&lt;=Setup!$B$5,26&gt;=$C47,OR(AND($E47="once",26=$C47),AND($E47="weekly",26&lt;=$D47),AND($E47="biweekly",26&lt;=$D47,MOD(26-$C47,2)=0))),Flows!$C48,0))</f>
        <v/>
      </c>
      <c r="AF47" s="13">
        <f>IF(OR($A47="",Flows!$C48=""),0,IF(AND(27&lt;=Setup!$B$5,27&gt;=$C47,OR(AND($E47="once",27=$C47),AND($E47="weekly",27&lt;=$D47),AND($E47="biweekly",27&lt;=$D47,MOD(27-$C47,2)=0))),Flows!$C48,0))</f>
        <v/>
      </c>
      <c r="AG47" s="13">
        <f>IF(OR($A47="",Flows!$C48=""),0,IF(AND(28&lt;=Setup!$B$5,28&gt;=$C47,OR(AND($E47="once",28=$C47),AND($E47="weekly",28&lt;=$D47),AND($E47="biweekly",28&lt;=$D47,MOD(28-$C47,2)=0))),Flows!$C48,0))</f>
        <v/>
      </c>
      <c r="AH47" s="13">
        <f>IF(OR($A47="",Flows!$C48=""),0,IF(AND(29&lt;=Setup!$B$5,29&gt;=$C47,OR(AND($E47="once",29=$C47),AND($E47="weekly",29&lt;=$D47),AND($E47="biweekly",29&lt;=$D47,MOD(29-$C47,2)=0))),Flows!$C48,0))</f>
        <v/>
      </c>
      <c r="AI47" s="13">
        <f>IF(OR($A47="",Flows!$C48=""),0,IF(AND(30&lt;=Setup!$B$5,30&gt;=$C47,OR(AND($E47="once",30=$C47),AND($E47="weekly",30&lt;=$D47),AND($E47="biweekly",30&lt;=$D47,MOD(30-$C47,2)=0))),Flows!$C48,0))</f>
        <v/>
      </c>
      <c r="AJ47" s="13">
        <f>IF(OR($A47="",Flows!$C48=""),0,IF(AND(31&lt;=Setup!$B$5,31&gt;=$C47,OR(AND($E47="once",31=$C47),AND($E47="weekly",31&lt;=$D47),AND($E47="biweekly",31&lt;=$D47,MOD(31-$C47,2)=0))),Flows!$C48,0))</f>
        <v/>
      </c>
      <c r="AK47" s="13">
        <f>IF(OR($A47="",Flows!$C48=""),0,IF(AND(32&lt;=Setup!$B$5,32&gt;=$C47,OR(AND($E47="once",32=$C47),AND($E47="weekly",32&lt;=$D47),AND($E47="biweekly",32&lt;=$D47,MOD(32-$C47,2)=0))),Flows!$C48,0))</f>
        <v/>
      </c>
      <c r="AL47" s="13">
        <f>IF(OR($A47="",Flows!$C48=""),0,IF(AND(33&lt;=Setup!$B$5,33&gt;=$C47,OR(AND($E47="once",33=$C47),AND($E47="weekly",33&lt;=$D47),AND($E47="biweekly",33&lt;=$D47,MOD(33-$C47,2)=0))),Flows!$C48,0))</f>
        <v/>
      </c>
      <c r="AM47" s="13">
        <f>IF(OR($A47="",Flows!$C48=""),0,IF(AND(34&lt;=Setup!$B$5,34&gt;=$C47,OR(AND($E47="once",34=$C47),AND($E47="weekly",34&lt;=$D47),AND($E47="biweekly",34&lt;=$D47,MOD(34-$C47,2)=0))),Flows!$C48,0))</f>
        <v/>
      </c>
      <c r="AN47" s="13">
        <f>IF(OR($A47="",Flows!$C48=""),0,IF(AND(35&lt;=Setup!$B$5,35&gt;=$C47,OR(AND($E47="once",35=$C47),AND($E47="weekly",35&lt;=$D47),AND($E47="biweekly",35&lt;=$D47,MOD(35-$C47,2)=0))),Flows!$C48,0))</f>
        <v/>
      </c>
      <c r="AO47" s="13">
        <f>IF(OR($A47="",Flows!$C48=""),0,IF(AND(36&lt;=Setup!$B$5,36&gt;=$C47,OR(AND($E47="once",36=$C47),AND($E47="weekly",36&lt;=$D47),AND($E47="biweekly",36&lt;=$D47,MOD(36-$C47,2)=0))),Flows!$C48,0))</f>
        <v/>
      </c>
      <c r="AP47" s="13">
        <f>IF(OR($A47="",Flows!$C48=""),0,IF(AND(37&lt;=Setup!$B$5,37&gt;=$C47,OR(AND($E47="once",37=$C47),AND($E47="weekly",37&lt;=$D47),AND($E47="biweekly",37&lt;=$D47,MOD(37-$C47,2)=0))),Flows!$C48,0))</f>
        <v/>
      </c>
      <c r="AQ47" s="13">
        <f>IF(OR($A47="",Flows!$C48=""),0,IF(AND(38&lt;=Setup!$B$5,38&gt;=$C47,OR(AND($E47="once",38=$C47),AND($E47="weekly",38&lt;=$D47),AND($E47="biweekly",38&lt;=$D47,MOD(38-$C47,2)=0))),Flows!$C48,0))</f>
        <v/>
      </c>
      <c r="AR47" s="13">
        <f>IF(OR($A47="",Flows!$C48=""),0,IF(AND(39&lt;=Setup!$B$5,39&gt;=$C47,OR(AND($E47="once",39=$C47),AND($E47="weekly",39&lt;=$D47),AND($E47="biweekly",39&lt;=$D47,MOD(39-$C47,2)=0))),Flows!$C48,0))</f>
        <v/>
      </c>
      <c r="AS47" s="13">
        <f>IF(OR($A47="",Flows!$C48=""),0,IF(AND(40&lt;=Setup!$B$5,40&gt;=$C47,OR(AND($E47="once",40=$C47),AND($E47="weekly",40&lt;=$D47),AND($E47="biweekly",40&lt;=$D47,MOD(40-$C47,2)=0))),Flows!$C48,0))</f>
        <v/>
      </c>
      <c r="AT47" s="13">
        <f>IF(OR($A47="",Flows!$C48=""),0,IF(AND(41&lt;=Setup!$B$5,41&gt;=$C47,OR(AND($E47="once",41=$C47),AND($E47="weekly",41&lt;=$D47),AND($E47="biweekly",41&lt;=$D47,MOD(41-$C47,2)=0))),Flows!$C48,0))</f>
        <v/>
      </c>
      <c r="AU47" s="13">
        <f>IF(OR($A47="",Flows!$C48=""),0,IF(AND(42&lt;=Setup!$B$5,42&gt;=$C47,OR(AND($E47="once",42=$C47),AND($E47="weekly",42&lt;=$D47),AND($E47="biweekly",42&lt;=$D47,MOD(42-$C47,2)=0))),Flows!$C48,0))</f>
        <v/>
      </c>
      <c r="AV47" s="13">
        <f>IF(OR($A47="",Flows!$C48=""),0,IF(AND(43&lt;=Setup!$B$5,43&gt;=$C47,OR(AND($E47="once",43=$C47),AND($E47="weekly",43&lt;=$D47),AND($E47="biweekly",43&lt;=$D47,MOD(43-$C47,2)=0))),Flows!$C48,0))</f>
        <v/>
      </c>
      <c r="AW47" s="13">
        <f>IF(OR($A47="",Flows!$C48=""),0,IF(AND(44&lt;=Setup!$B$5,44&gt;=$C47,OR(AND($E47="once",44=$C47),AND($E47="weekly",44&lt;=$D47),AND($E47="biweekly",44&lt;=$D47,MOD(44-$C47,2)=0))),Flows!$C48,0))</f>
        <v/>
      </c>
      <c r="AX47" s="13">
        <f>IF(OR($A47="",Flows!$C48=""),0,IF(AND(45&lt;=Setup!$B$5,45&gt;=$C47,OR(AND($E47="once",45=$C47),AND($E47="weekly",45&lt;=$D47),AND($E47="biweekly",45&lt;=$D47,MOD(45-$C47,2)=0))),Flows!$C48,0))</f>
        <v/>
      </c>
      <c r="AY47" s="13">
        <f>IF(OR($A47="",Flows!$C48=""),0,IF(AND(46&lt;=Setup!$B$5,46&gt;=$C47,OR(AND($E47="once",46=$C47),AND($E47="weekly",46&lt;=$D47),AND($E47="biweekly",46&lt;=$D47,MOD(46-$C47,2)=0))),Flows!$C48,0))</f>
        <v/>
      </c>
      <c r="AZ47" s="13">
        <f>IF(OR($A47="",Flows!$C48=""),0,IF(AND(47&lt;=Setup!$B$5,47&gt;=$C47,OR(AND($E47="once",47=$C47),AND($E47="weekly",47&lt;=$D47),AND($E47="biweekly",47&lt;=$D47,MOD(47-$C47,2)=0))),Flows!$C48,0))</f>
        <v/>
      </c>
      <c r="BA47" s="13">
        <f>IF(OR($A47="",Flows!$C48=""),0,IF(AND(48&lt;=Setup!$B$5,48&gt;=$C47,OR(AND($E47="once",48=$C47),AND($E47="weekly",48&lt;=$D47),AND($E47="biweekly",48&lt;=$D47,MOD(48-$C47,2)=0))),Flows!$C48,0))</f>
        <v/>
      </c>
      <c r="BB47" s="13">
        <f>IF(OR($A47="",Flows!$C48=""),0,IF(AND(49&lt;=Setup!$B$5,49&gt;=$C47,OR(AND($E47="once",49=$C47),AND($E47="weekly",49&lt;=$D47),AND($E47="biweekly",49&lt;=$D47,MOD(49-$C47,2)=0))),Flows!$C48,0))</f>
        <v/>
      </c>
      <c r="BC47" s="13">
        <f>IF(OR($A47="",Flows!$C48=""),0,IF(AND(50&lt;=Setup!$B$5,50&gt;=$C47,OR(AND($E47="once",50=$C47),AND($E47="weekly",50&lt;=$D47),AND($E47="biweekly",50&lt;=$D47,MOD(50-$C47,2)=0))),Flows!$C48,0))</f>
        <v/>
      </c>
      <c r="BD47" s="13">
        <f>IF(OR($A47="",Flows!$C48=""),0,IF(AND(51&lt;=Setup!$B$5,51&gt;=$C47,OR(AND($E47="once",51=$C47),AND($E47="weekly",51&lt;=$D47),AND($E47="biweekly",51&lt;=$D47,MOD(51-$C47,2)=0))),Flows!$C48,0))</f>
        <v/>
      </c>
      <c r="BE47" s="13">
        <f>IF(OR($A47="",Flows!$C48=""),0,IF(AND(52&lt;=Setup!$B$5,52&gt;=$C47,OR(AND($E47="once",52=$C47),AND($E47="weekly",52&lt;=$D47),AND($E47="biweekly",52&lt;=$D47,MOD(52-$C47,2)=0))),Flows!$C48,0))</f>
        <v/>
      </c>
    </row>
    <row r="48">
      <c r="A48" s="7">
        <f>IF(Flows!A49="","",LOWER(Flows!A49))</f>
        <v/>
      </c>
      <c r="B48" s="7">
        <f>IF(Flows!B49="","",Flows!B49)</f>
        <v/>
      </c>
      <c r="C48" s="7">
        <f>N(Flows!D49)</f>
        <v/>
      </c>
      <c r="D48" s="7">
        <f>IF(Flows!F49="",Setup!$B$5,Flows!F49)</f>
        <v/>
      </c>
      <c r="E48" s="7">
        <f>IF(Flows!E49="","once",LOWER(Flows!E49))</f>
        <v/>
      </c>
      <c r="F48" s="13">
        <f>IF(OR($A48="",Flows!$C49=""),0,IF(AND(1&lt;=Setup!$B$5,1&gt;=$C48,OR(AND($E48="once",1=$C48),AND($E48="weekly",1&lt;=$D48),AND($E48="biweekly",1&lt;=$D48,MOD(1-$C48,2)=0))),Flows!$C49,0))</f>
        <v/>
      </c>
      <c r="G48" s="13">
        <f>IF(OR($A48="",Flows!$C49=""),0,IF(AND(2&lt;=Setup!$B$5,2&gt;=$C48,OR(AND($E48="once",2=$C48),AND($E48="weekly",2&lt;=$D48),AND($E48="biweekly",2&lt;=$D48,MOD(2-$C48,2)=0))),Flows!$C49,0))</f>
        <v/>
      </c>
      <c r="H48" s="13">
        <f>IF(OR($A48="",Flows!$C49=""),0,IF(AND(3&lt;=Setup!$B$5,3&gt;=$C48,OR(AND($E48="once",3=$C48),AND($E48="weekly",3&lt;=$D48),AND($E48="biweekly",3&lt;=$D48,MOD(3-$C48,2)=0))),Flows!$C49,0))</f>
        <v/>
      </c>
      <c r="I48" s="13">
        <f>IF(OR($A48="",Flows!$C49=""),0,IF(AND(4&lt;=Setup!$B$5,4&gt;=$C48,OR(AND($E48="once",4=$C48),AND($E48="weekly",4&lt;=$D48),AND($E48="biweekly",4&lt;=$D48,MOD(4-$C48,2)=0))),Flows!$C49,0))</f>
        <v/>
      </c>
      <c r="J48" s="13">
        <f>IF(OR($A48="",Flows!$C49=""),0,IF(AND(5&lt;=Setup!$B$5,5&gt;=$C48,OR(AND($E48="once",5=$C48),AND($E48="weekly",5&lt;=$D48),AND($E48="biweekly",5&lt;=$D48,MOD(5-$C48,2)=0))),Flows!$C49,0))</f>
        <v/>
      </c>
      <c r="K48" s="13">
        <f>IF(OR($A48="",Flows!$C49=""),0,IF(AND(6&lt;=Setup!$B$5,6&gt;=$C48,OR(AND($E48="once",6=$C48),AND($E48="weekly",6&lt;=$D48),AND($E48="biweekly",6&lt;=$D48,MOD(6-$C48,2)=0))),Flows!$C49,0))</f>
        <v/>
      </c>
      <c r="L48" s="13">
        <f>IF(OR($A48="",Flows!$C49=""),0,IF(AND(7&lt;=Setup!$B$5,7&gt;=$C48,OR(AND($E48="once",7=$C48),AND($E48="weekly",7&lt;=$D48),AND($E48="biweekly",7&lt;=$D48,MOD(7-$C48,2)=0))),Flows!$C49,0))</f>
        <v/>
      </c>
      <c r="M48" s="13">
        <f>IF(OR($A48="",Flows!$C49=""),0,IF(AND(8&lt;=Setup!$B$5,8&gt;=$C48,OR(AND($E48="once",8=$C48),AND($E48="weekly",8&lt;=$D48),AND($E48="biweekly",8&lt;=$D48,MOD(8-$C48,2)=0))),Flows!$C49,0))</f>
        <v/>
      </c>
      <c r="N48" s="13">
        <f>IF(OR($A48="",Flows!$C49=""),0,IF(AND(9&lt;=Setup!$B$5,9&gt;=$C48,OR(AND($E48="once",9=$C48),AND($E48="weekly",9&lt;=$D48),AND($E48="biweekly",9&lt;=$D48,MOD(9-$C48,2)=0))),Flows!$C49,0))</f>
        <v/>
      </c>
      <c r="O48" s="13">
        <f>IF(OR($A48="",Flows!$C49=""),0,IF(AND(10&lt;=Setup!$B$5,10&gt;=$C48,OR(AND($E48="once",10=$C48),AND($E48="weekly",10&lt;=$D48),AND($E48="biweekly",10&lt;=$D48,MOD(10-$C48,2)=0))),Flows!$C49,0))</f>
        <v/>
      </c>
      <c r="P48" s="13">
        <f>IF(OR($A48="",Flows!$C49=""),0,IF(AND(11&lt;=Setup!$B$5,11&gt;=$C48,OR(AND($E48="once",11=$C48),AND($E48="weekly",11&lt;=$D48),AND($E48="biweekly",11&lt;=$D48,MOD(11-$C48,2)=0))),Flows!$C49,0))</f>
        <v/>
      </c>
      <c r="Q48" s="13">
        <f>IF(OR($A48="",Flows!$C49=""),0,IF(AND(12&lt;=Setup!$B$5,12&gt;=$C48,OR(AND($E48="once",12=$C48),AND($E48="weekly",12&lt;=$D48),AND($E48="biweekly",12&lt;=$D48,MOD(12-$C48,2)=0))),Flows!$C49,0))</f>
        <v/>
      </c>
      <c r="R48" s="13">
        <f>IF(OR($A48="",Flows!$C49=""),0,IF(AND(13&lt;=Setup!$B$5,13&gt;=$C48,OR(AND($E48="once",13=$C48),AND($E48="weekly",13&lt;=$D48),AND($E48="biweekly",13&lt;=$D48,MOD(13-$C48,2)=0))),Flows!$C49,0))</f>
        <v/>
      </c>
      <c r="S48" s="13">
        <f>IF(OR($A48="",Flows!$C49=""),0,IF(AND(14&lt;=Setup!$B$5,14&gt;=$C48,OR(AND($E48="once",14=$C48),AND($E48="weekly",14&lt;=$D48),AND($E48="biweekly",14&lt;=$D48,MOD(14-$C48,2)=0))),Flows!$C49,0))</f>
        <v/>
      </c>
      <c r="T48" s="13">
        <f>IF(OR($A48="",Flows!$C49=""),0,IF(AND(15&lt;=Setup!$B$5,15&gt;=$C48,OR(AND($E48="once",15=$C48),AND($E48="weekly",15&lt;=$D48),AND($E48="biweekly",15&lt;=$D48,MOD(15-$C48,2)=0))),Flows!$C49,0))</f>
        <v/>
      </c>
      <c r="U48" s="13">
        <f>IF(OR($A48="",Flows!$C49=""),0,IF(AND(16&lt;=Setup!$B$5,16&gt;=$C48,OR(AND($E48="once",16=$C48),AND($E48="weekly",16&lt;=$D48),AND($E48="biweekly",16&lt;=$D48,MOD(16-$C48,2)=0))),Flows!$C49,0))</f>
        <v/>
      </c>
      <c r="V48" s="13">
        <f>IF(OR($A48="",Flows!$C49=""),0,IF(AND(17&lt;=Setup!$B$5,17&gt;=$C48,OR(AND($E48="once",17=$C48),AND($E48="weekly",17&lt;=$D48),AND($E48="biweekly",17&lt;=$D48,MOD(17-$C48,2)=0))),Flows!$C49,0))</f>
        <v/>
      </c>
      <c r="W48" s="13">
        <f>IF(OR($A48="",Flows!$C49=""),0,IF(AND(18&lt;=Setup!$B$5,18&gt;=$C48,OR(AND($E48="once",18=$C48),AND($E48="weekly",18&lt;=$D48),AND($E48="biweekly",18&lt;=$D48,MOD(18-$C48,2)=0))),Flows!$C49,0))</f>
        <v/>
      </c>
      <c r="X48" s="13">
        <f>IF(OR($A48="",Flows!$C49=""),0,IF(AND(19&lt;=Setup!$B$5,19&gt;=$C48,OR(AND($E48="once",19=$C48),AND($E48="weekly",19&lt;=$D48),AND($E48="biweekly",19&lt;=$D48,MOD(19-$C48,2)=0))),Flows!$C49,0))</f>
        <v/>
      </c>
      <c r="Y48" s="13">
        <f>IF(OR($A48="",Flows!$C49=""),0,IF(AND(20&lt;=Setup!$B$5,20&gt;=$C48,OR(AND($E48="once",20=$C48),AND($E48="weekly",20&lt;=$D48),AND($E48="biweekly",20&lt;=$D48,MOD(20-$C48,2)=0))),Flows!$C49,0))</f>
        <v/>
      </c>
      <c r="Z48" s="13">
        <f>IF(OR($A48="",Flows!$C49=""),0,IF(AND(21&lt;=Setup!$B$5,21&gt;=$C48,OR(AND($E48="once",21=$C48),AND($E48="weekly",21&lt;=$D48),AND($E48="biweekly",21&lt;=$D48,MOD(21-$C48,2)=0))),Flows!$C49,0))</f>
        <v/>
      </c>
      <c r="AA48" s="13">
        <f>IF(OR($A48="",Flows!$C49=""),0,IF(AND(22&lt;=Setup!$B$5,22&gt;=$C48,OR(AND($E48="once",22=$C48),AND($E48="weekly",22&lt;=$D48),AND($E48="biweekly",22&lt;=$D48,MOD(22-$C48,2)=0))),Flows!$C49,0))</f>
        <v/>
      </c>
      <c r="AB48" s="13">
        <f>IF(OR($A48="",Flows!$C49=""),0,IF(AND(23&lt;=Setup!$B$5,23&gt;=$C48,OR(AND($E48="once",23=$C48),AND($E48="weekly",23&lt;=$D48),AND($E48="biweekly",23&lt;=$D48,MOD(23-$C48,2)=0))),Flows!$C49,0))</f>
        <v/>
      </c>
      <c r="AC48" s="13">
        <f>IF(OR($A48="",Flows!$C49=""),0,IF(AND(24&lt;=Setup!$B$5,24&gt;=$C48,OR(AND($E48="once",24=$C48),AND($E48="weekly",24&lt;=$D48),AND($E48="biweekly",24&lt;=$D48,MOD(24-$C48,2)=0))),Flows!$C49,0))</f>
        <v/>
      </c>
      <c r="AD48" s="13">
        <f>IF(OR($A48="",Flows!$C49=""),0,IF(AND(25&lt;=Setup!$B$5,25&gt;=$C48,OR(AND($E48="once",25=$C48),AND($E48="weekly",25&lt;=$D48),AND($E48="biweekly",25&lt;=$D48,MOD(25-$C48,2)=0))),Flows!$C49,0))</f>
        <v/>
      </c>
      <c r="AE48" s="13">
        <f>IF(OR($A48="",Flows!$C49=""),0,IF(AND(26&lt;=Setup!$B$5,26&gt;=$C48,OR(AND($E48="once",26=$C48),AND($E48="weekly",26&lt;=$D48),AND($E48="biweekly",26&lt;=$D48,MOD(26-$C48,2)=0))),Flows!$C49,0))</f>
        <v/>
      </c>
      <c r="AF48" s="13">
        <f>IF(OR($A48="",Flows!$C49=""),0,IF(AND(27&lt;=Setup!$B$5,27&gt;=$C48,OR(AND($E48="once",27=$C48),AND($E48="weekly",27&lt;=$D48),AND($E48="biweekly",27&lt;=$D48,MOD(27-$C48,2)=0))),Flows!$C49,0))</f>
        <v/>
      </c>
      <c r="AG48" s="13">
        <f>IF(OR($A48="",Flows!$C49=""),0,IF(AND(28&lt;=Setup!$B$5,28&gt;=$C48,OR(AND($E48="once",28=$C48),AND($E48="weekly",28&lt;=$D48),AND($E48="biweekly",28&lt;=$D48,MOD(28-$C48,2)=0))),Flows!$C49,0))</f>
        <v/>
      </c>
      <c r="AH48" s="13">
        <f>IF(OR($A48="",Flows!$C49=""),0,IF(AND(29&lt;=Setup!$B$5,29&gt;=$C48,OR(AND($E48="once",29=$C48),AND($E48="weekly",29&lt;=$D48),AND($E48="biweekly",29&lt;=$D48,MOD(29-$C48,2)=0))),Flows!$C49,0))</f>
        <v/>
      </c>
      <c r="AI48" s="13">
        <f>IF(OR($A48="",Flows!$C49=""),0,IF(AND(30&lt;=Setup!$B$5,30&gt;=$C48,OR(AND($E48="once",30=$C48),AND($E48="weekly",30&lt;=$D48),AND($E48="biweekly",30&lt;=$D48,MOD(30-$C48,2)=0))),Flows!$C49,0))</f>
        <v/>
      </c>
      <c r="AJ48" s="13">
        <f>IF(OR($A48="",Flows!$C49=""),0,IF(AND(31&lt;=Setup!$B$5,31&gt;=$C48,OR(AND($E48="once",31=$C48),AND($E48="weekly",31&lt;=$D48),AND($E48="biweekly",31&lt;=$D48,MOD(31-$C48,2)=0))),Flows!$C49,0))</f>
        <v/>
      </c>
      <c r="AK48" s="13">
        <f>IF(OR($A48="",Flows!$C49=""),0,IF(AND(32&lt;=Setup!$B$5,32&gt;=$C48,OR(AND($E48="once",32=$C48),AND($E48="weekly",32&lt;=$D48),AND($E48="biweekly",32&lt;=$D48,MOD(32-$C48,2)=0))),Flows!$C49,0))</f>
        <v/>
      </c>
      <c r="AL48" s="13">
        <f>IF(OR($A48="",Flows!$C49=""),0,IF(AND(33&lt;=Setup!$B$5,33&gt;=$C48,OR(AND($E48="once",33=$C48),AND($E48="weekly",33&lt;=$D48),AND($E48="biweekly",33&lt;=$D48,MOD(33-$C48,2)=0))),Flows!$C49,0))</f>
        <v/>
      </c>
      <c r="AM48" s="13">
        <f>IF(OR($A48="",Flows!$C49=""),0,IF(AND(34&lt;=Setup!$B$5,34&gt;=$C48,OR(AND($E48="once",34=$C48),AND($E48="weekly",34&lt;=$D48),AND($E48="biweekly",34&lt;=$D48,MOD(34-$C48,2)=0))),Flows!$C49,0))</f>
        <v/>
      </c>
      <c r="AN48" s="13">
        <f>IF(OR($A48="",Flows!$C49=""),0,IF(AND(35&lt;=Setup!$B$5,35&gt;=$C48,OR(AND($E48="once",35=$C48),AND($E48="weekly",35&lt;=$D48),AND($E48="biweekly",35&lt;=$D48,MOD(35-$C48,2)=0))),Flows!$C49,0))</f>
        <v/>
      </c>
      <c r="AO48" s="13">
        <f>IF(OR($A48="",Flows!$C49=""),0,IF(AND(36&lt;=Setup!$B$5,36&gt;=$C48,OR(AND($E48="once",36=$C48),AND($E48="weekly",36&lt;=$D48),AND($E48="biweekly",36&lt;=$D48,MOD(36-$C48,2)=0))),Flows!$C49,0))</f>
        <v/>
      </c>
      <c r="AP48" s="13">
        <f>IF(OR($A48="",Flows!$C49=""),0,IF(AND(37&lt;=Setup!$B$5,37&gt;=$C48,OR(AND($E48="once",37=$C48),AND($E48="weekly",37&lt;=$D48),AND($E48="biweekly",37&lt;=$D48,MOD(37-$C48,2)=0))),Flows!$C49,0))</f>
        <v/>
      </c>
      <c r="AQ48" s="13">
        <f>IF(OR($A48="",Flows!$C49=""),0,IF(AND(38&lt;=Setup!$B$5,38&gt;=$C48,OR(AND($E48="once",38=$C48),AND($E48="weekly",38&lt;=$D48),AND($E48="biweekly",38&lt;=$D48,MOD(38-$C48,2)=0))),Flows!$C49,0))</f>
        <v/>
      </c>
      <c r="AR48" s="13">
        <f>IF(OR($A48="",Flows!$C49=""),0,IF(AND(39&lt;=Setup!$B$5,39&gt;=$C48,OR(AND($E48="once",39=$C48),AND($E48="weekly",39&lt;=$D48),AND($E48="biweekly",39&lt;=$D48,MOD(39-$C48,2)=0))),Flows!$C49,0))</f>
        <v/>
      </c>
      <c r="AS48" s="13">
        <f>IF(OR($A48="",Flows!$C49=""),0,IF(AND(40&lt;=Setup!$B$5,40&gt;=$C48,OR(AND($E48="once",40=$C48),AND($E48="weekly",40&lt;=$D48),AND($E48="biweekly",40&lt;=$D48,MOD(40-$C48,2)=0))),Flows!$C49,0))</f>
        <v/>
      </c>
      <c r="AT48" s="13">
        <f>IF(OR($A48="",Flows!$C49=""),0,IF(AND(41&lt;=Setup!$B$5,41&gt;=$C48,OR(AND($E48="once",41=$C48),AND($E48="weekly",41&lt;=$D48),AND($E48="biweekly",41&lt;=$D48,MOD(41-$C48,2)=0))),Flows!$C49,0))</f>
        <v/>
      </c>
      <c r="AU48" s="13">
        <f>IF(OR($A48="",Flows!$C49=""),0,IF(AND(42&lt;=Setup!$B$5,42&gt;=$C48,OR(AND($E48="once",42=$C48),AND($E48="weekly",42&lt;=$D48),AND($E48="biweekly",42&lt;=$D48,MOD(42-$C48,2)=0))),Flows!$C49,0))</f>
        <v/>
      </c>
      <c r="AV48" s="13">
        <f>IF(OR($A48="",Flows!$C49=""),0,IF(AND(43&lt;=Setup!$B$5,43&gt;=$C48,OR(AND($E48="once",43=$C48),AND($E48="weekly",43&lt;=$D48),AND($E48="biweekly",43&lt;=$D48,MOD(43-$C48,2)=0))),Flows!$C49,0))</f>
        <v/>
      </c>
      <c r="AW48" s="13">
        <f>IF(OR($A48="",Flows!$C49=""),0,IF(AND(44&lt;=Setup!$B$5,44&gt;=$C48,OR(AND($E48="once",44=$C48),AND($E48="weekly",44&lt;=$D48),AND($E48="biweekly",44&lt;=$D48,MOD(44-$C48,2)=0))),Flows!$C49,0))</f>
        <v/>
      </c>
      <c r="AX48" s="13">
        <f>IF(OR($A48="",Flows!$C49=""),0,IF(AND(45&lt;=Setup!$B$5,45&gt;=$C48,OR(AND($E48="once",45=$C48),AND($E48="weekly",45&lt;=$D48),AND($E48="biweekly",45&lt;=$D48,MOD(45-$C48,2)=0))),Flows!$C49,0))</f>
        <v/>
      </c>
      <c r="AY48" s="13">
        <f>IF(OR($A48="",Flows!$C49=""),0,IF(AND(46&lt;=Setup!$B$5,46&gt;=$C48,OR(AND($E48="once",46=$C48),AND($E48="weekly",46&lt;=$D48),AND($E48="biweekly",46&lt;=$D48,MOD(46-$C48,2)=0))),Flows!$C49,0))</f>
        <v/>
      </c>
      <c r="AZ48" s="13">
        <f>IF(OR($A48="",Flows!$C49=""),0,IF(AND(47&lt;=Setup!$B$5,47&gt;=$C48,OR(AND($E48="once",47=$C48),AND($E48="weekly",47&lt;=$D48),AND($E48="biweekly",47&lt;=$D48,MOD(47-$C48,2)=0))),Flows!$C49,0))</f>
        <v/>
      </c>
      <c r="BA48" s="13">
        <f>IF(OR($A48="",Flows!$C49=""),0,IF(AND(48&lt;=Setup!$B$5,48&gt;=$C48,OR(AND($E48="once",48=$C48),AND($E48="weekly",48&lt;=$D48),AND($E48="biweekly",48&lt;=$D48,MOD(48-$C48,2)=0))),Flows!$C49,0))</f>
        <v/>
      </c>
      <c r="BB48" s="13">
        <f>IF(OR($A48="",Flows!$C49=""),0,IF(AND(49&lt;=Setup!$B$5,49&gt;=$C48,OR(AND($E48="once",49=$C48),AND($E48="weekly",49&lt;=$D48),AND($E48="biweekly",49&lt;=$D48,MOD(49-$C48,2)=0))),Flows!$C49,0))</f>
        <v/>
      </c>
      <c r="BC48" s="13">
        <f>IF(OR($A48="",Flows!$C49=""),0,IF(AND(50&lt;=Setup!$B$5,50&gt;=$C48,OR(AND($E48="once",50=$C48),AND($E48="weekly",50&lt;=$D48),AND($E48="biweekly",50&lt;=$D48,MOD(50-$C48,2)=0))),Flows!$C49,0))</f>
        <v/>
      </c>
      <c r="BD48" s="13">
        <f>IF(OR($A48="",Flows!$C49=""),0,IF(AND(51&lt;=Setup!$B$5,51&gt;=$C48,OR(AND($E48="once",51=$C48),AND($E48="weekly",51&lt;=$D48),AND($E48="biweekly",51&lt;=$D48,MOD(51-$C48,2)=0))),Flows!$C49,0))</f>
        <v/>
      </c>
      <c r="BE48" s="13">
        <f>IF(OR($A48="",Flows!$C49=""),0,IF(AND(52&lt;=Setup!$B$5,52&gt;=$C48,OR(AND($E48="once",52=$C48),AND($E48="weekly",52&lt;=$D48),AND($E48="biweekly",52&lt;=$D48,MOD(52-$C48,2)=0))),Flows!$C49,0))</f>
        <v/>
      </c>
    </row>
    <row r="49">
      <c r="A49" s="7">
        <f>IF(Flows!A50="","",LOWER(Flows!A50))</f>
        <v/>
      </c>
      <c r="B49" s="7">
        <f>IF(Flows!B50="","",Flows!B50)</f>
        <v/>
      </c>
      <c r="C49" s="7">
        <f>N(Flows!D50)</f>
        <v/>
      </c>
      <c r="D49" s="7">
        <f>IF(Flows!F50="",Setup!$B$5,Flows!F50)</f>
        <v/>
      </c>
      <c r="E49" s="7">
        <f>IF(Flows!E50="","once",LOWER(Flows!E50))</f>
        <v/>
      </c>
      <c r="F49" s="13">
        <f>IF(OR($A49="",Flows!$C50=""),0,IF(AND(1&lt;=Setup!$B$5,1&gt;=$C49,OR(AND($E49="once",1=$C49),AND($E49="weekly",1&lt;=$D49),AND($E49="biweekly",1&lt;=$D49,MOD(1-$C49,2)=0))),Flows!$C50,0))</f>
        <v/>
      </c>
      <c r="G49" s="13">
        <f>IF(OR($A49="",Flows!$C50=""),0,IF(AND(2&lt;=Setup!$B$5,2&gt;=$C49,OR(AND($E49="once",2=$C49),AND($E49="weekly",2&lt;=$D49),AND($E49="biweekly",2&lt;=$D49,MOD(2-$C49,2)=0))),Flows!$C50,0))</f>
        <v/>
      </c>
      <c r="H49" s="13">
        <f>IF(OR($A49="",Flows!$C50=""),0,IF(AND(3&lt;=Setup!$B$5,3&gt;=$C49,OR(AND($E49="once",3=$C49),AND($E49="weekly",3&lt;=$D49),AND($E49="biweekly",3&lt;=$D49,MOD(3-$C49,2)=0))),Flows!$C50,0))</f>
        <v/>
      </c>
      <c r="I49" s="13">
        <f>IF(OR($A49="",Flows!$C50=""),0,IF(AND(4&lt;=Setup!$B$5,4&gt;=$C49,OR(AND($E49="once",4=$C49),AND($E49="weekly",4&lt;=$D49),AND($E49="biweekly",4&lt;=$D49,MOD(4-$C49,2)=0))),Flows!$C50,0))</f>
        <v/>
      </c>
      <c r="J49" s="13">
        <f>IF(OR($A49="",Flows!$C50=""),0,IF(AND(5&lt;=Setup!$B$5,5&gt;=$C49,OR(AND($E49="once",5=$C49),AND($E49="weekly",5&lt;=$D49),AND($E49="biweekly",5&lt;=$D49,MOD(5-$C49,2)=0))),Flows!$C50,0))</f>
        <v/>
      </c>
      <c r="K49" s="13">
        <f>IF(OR($A49="",Flows!$C50=""),0,IF(AND(6&lt;=Setup!$B$5,6&gt;=$C49,OR(AND($E49="once",6=$C49),AND($E49="weekly",6&lt;=$D49),AND($E49="biweekly",6&lt;=$D49,MOD(6-$C49,2)=0))),Flows!$C50,0))</f>
        <v/>
      </c>
      <c r="L49" s="13">
        <f>IF(OR($A49="",Flows!$C50=""),0,IF(AND(7&lt;=Setup!$B$5,7&gt;=$C49,OR(AND($E49="once",7=$C49),AND($E49="weekly",7&lt;=$D49),AND($E49="biweekly",7&lt;=$D49,MOD(7-$C49,2)=0))),Flows!$C50,0))</f>
        <v/>
      </c>
      <c r="M49" s="13">
        <f>IF(OR($A49="",Flows!$C50=""),0,IF(AND(8&lt;=Setup!$B$5,8&gt;=$C49,OR(AND($E49="once",8=$C49),AND($E49="weekly",8&lt;=$D49),AND($E49="biweekly",8&lt;=$D49,MOD(8-$C49,2)=0))),Flows!$C50,0))</f>
        <v/>
      </c>
      <c r="N49" s="13">
        <f>IF(OR($A49="",Flows!$C50=""),0,IF(AND(9&lt;=Setup!$B$5,9&gt;=$C49,OR(AND($E49="once",9=$C49),AND($E49="weekly",9&lt;=$D49),AND($E49="biweekly",9&lt;=$D49,MOD(9-$C49,2)=0))),Flows!$C50,0))</f>
        <v/>
      </c>
      <c r="O49" s="13">
        <f>IF(OR($A49="",Flows!$C50=""),0,IF(AND(10&lt;=Setup!$B$5,10&gt;=$C49,OR(AND($E49="once",10=$C49),AND($E49="weekly",10&lt;=$D49),AND($E49="biweekly",10&lt;=$D49,MOD(10-$C49,2)=0))),Flows!$C50,0))</f>
        <v/>
      </c>
      <c r="P49" s="13">
        <f>IF(OR($A49="",Flows!$C50=""),0,IF(AND(11&lt;=Setup!$B$5,11&gt;=$C49,OR(AND($E49="once",11=$C49),AND($E49="weekly",11&lt;=$D49),AND($E49="biweekly",11&lt;=$D49,MOD(11-$C49,2)=0))),Flows!$C50,0))</f>
        <v/>
      </c>
      <c r="Q49" s="13">
        <f>IF(OR($A49="",Flows!$C50=""),0,IF(AND(12&lt;=Setup!$B$5,12&gt;=$C49,OR(AND($E49="once",12=$C49),AND($E49="weekly",12&lt;=$D49),AND($E49="biweekly",12&lt;=$D49,MOD(12-$C49,2)=0))),Flows!$C50,0))</f>
        <v/>
      </c>
      <c r="R49" s="13">
        <f>IF(OR($A49="",Flows!$C50=""),0,IF(AND(13&lt;=Setup!$B$5,13&gt;=$C49,OR(AND($E49="once",13=$C49),AND($E49="weekly",13&lt;=$D49),AND($E49="biweekly",13&lt;=$D49,MOD(13-$C49,2)=0))),Flows!$C50,0))</f>
        <v/>
      </c>
      <c r="S49" s="13">
        <f>IF(OR($A49="",Flows!$C50=""),0,IF(AND(14&lt;=Setup!$B$5,14&gt;=$C49,OR(AND($E49="once",14=$C49),AND($E49="weekly",14&lt;=$D49),AND($E49="biweekly",14&lt;=$D49,MOD(14-$C49,2)=0))),Flows!$C50,0))</f>
        <v/>
      </c>
      <c r="T49" s="13">
        <f>IF(OR($A49="",Flows!$C50=""),0,IF(AND(15&lt;=Setup!$B$5,15&gt;=$C49,OR(AND($E49="once",15=$C49),AND($E49="weekly",15&lt;=$D49),AND($E49="biweekly",15&lt;=$D49,MOD(15-$C49,2)=0))),Flows!$C50,0))</f>
        <v/>
      </c>
      <c r="U49" s="13">
        <f>IF(OR($A49="",Flows!$C50=""),0,IF(AND(16&lt;=Setup!$B$5,16&gt;=$C49,OR(AND($E49="once",16=$C49),AND($E49="weekly",16&lt;=$D49),AND($E49="biweekly",16&lt;=$D49,MOD(16-$C49,2)=0))),Flows!$C50,0))</f>
        <v/>
      </c>
      <c r="V49" s="13">
        <f>IF(OR($A49="",Flows!$C50=""),0,IF(AND(17&lt;=Setup!$B$5,17&gt;=$C49,OR(AND($E49="once",17=$C49),AND($E49="weekly",17&lt;=$D49),AND($E49="biweekly",17&lt;=$D49,MOD(17-$C49,2)=0))),Flows!$C50,0))</f>
        <v/>
      </c>
      <c r="W49" s="13">
        <f>IF(OR($A49="",Flows!$C50=""),0,IF(AND(18&lt;=Setup!$B$5,18&gt;=$C49,OR(AND($E49="once",18=$C49),AND($E49="weekly",18&lt;=$D49),AND($E49="biweekly",18&lt;=$D49,MOD(18-$C49,2)=0))),Flows!$C50,0))</f>
        <v/>
      </c>
      <c r="X49" s="13">
        <f>IF(OR($A49="",Flows!$C50=""),0,IF(AND(19&lt;=Setup!$B$5,19&gt;=$C49,OR(AND($E49="once",19=$C49),AND($E49="weekly",19&lt;=$D49),AND($E49="biweekly",19&lt;=$D49,MOD(19-$C49,2)=0))),Flows!$C50,0))</f>
        <v/>
      </c>
      <c r="Y49" s="13">
        <f>IF(OR($A49="",Flows!$C50=""),0,IF(AND(20&lt;=Setup!$B$5,20&gt;=$C49,OR(AND($E49="once",20=$C49),AND($E49="weekly",20&lt;=$D49),AND($E49="biweekly",20&lt;=$D49,MOD(20-$C49,2)=0))),Flows!$C50,0))</f>
        <v/>
      </c>
      <c r="Z49" s="13">
        <f>IF(OR($A49="",Flows!$C50=""),0,IF(AND(21&lt;=Setup!$B$5,21&gt;=$C49,OR(AND($E49="once",21=$C49),AND($E49="weekly",21&lt;=$D49),AND($E49="biweekly",21&lt;=$D49,MOD(21-$C49,2)=0))),Flows!$C50,0))</f>
        <v/>
      </c>
      <c r="AA49" s="13">
        <f>IF(OR($A49="",Flows!$C50=""),0,IF(AND(22&lt;=Setup!$B$5,22&gt;=$C49,OR(AND($E49="once",22=$C49),AND($E49="weekly",22&lt;=$D49),AND($E49="biweekly",22&lt;=$D49,MOD(22-$C49,2)=0))),Flows!$C50,0))</f>
        <v/>
      </c>
      <c r="AB49" s="13">
        <f>IF(OR($A49="",Flows!$C50=""),0,IF(AND(23&lt;=Setup!$B$5,23&gt;=$C49,OR(AND($E49="once",23=$C49),AND($E49="weekly",23&lt;=$D49),AND($E49="biweekly",23&lt;=$D49,MOD(23-$C49,2)=0))),Flows!$C50,0))</f>
        <v/>
      </c>
      <c r="AC49" s="13">
        <f>IF(OR($A49="",Flows!$C50=""),0,IF(AND(24&lt;=Setup!$B$5,24&gt;=$C49,OR(AND($E49="once",24=$C49),AND($E49="weekly",24&lt;=$D49),AND($E49="biweekly",24&lt;=$D49,MOD(24-$C49,2)=0))),Flows!$C50,0))</f>
        <v/>
      </c>
      <c r="AD49" s="13">
        <f>IF(OR($A49="",Flows!$C50=""),0,IF(AND(25&lt;=Setup!$B$5,25&gt;=$C49,OR(AND($E49="once",25=$C49),AND($E49="weekly",25&lt;=$D49),AND($E49="biweekly",25&lt;=$D49,MOD(25-$C49,2)=0))),Flows!$C50,0))</f>
        <v/>
      </c>
      <c r="AE49" s="13">
        <f>IF(OR($A49="",Flows!$C50=""),0,IF(AND(26&lt;=Setup!$B$5,26&gt;=$C49,OR(AND($E49="once",26=$C49),AND($E49="weekly",26&lt;=$D49),AND($E49="biweekly",26&lt;=$D49,MOD(26-$C49,2)=0))),Flows!$C50,0))</f>
        <v/>
      </c>
      <c r="AF49" s="13">
        <f>IF(OR($A49="",Flows!$C50=""),0,IF(AND(27&lt;=Setup!$B$5,27&gt;=$C49,OR(AND($E49="once",27=$C49),AND($E49="weekly",27&lt;=$D49),AND($E49="biweekly",27&lt;=$D49,MOD(27-$C49,2)=0))),Flows!$C50,0))</f>
        <v/>
      </c>
      <c r="AG49" s="13">
        <f>IF(OR($A49="",Flows!$C50=""),0,IF(AND(28&lt;=Setup!$B$5,28&gt;=$C49,OR(AND($E49="once",28=$C49),AND($E49="weekly",28&lt;=$D49),AND($E49="biweekly",28&lt;=$D49,MOD(28-$C49,2)=0))),Flows!$C50,0))</f>
        <v/>
      </c>
      <c r="AH49" s="13">
        <f>IF(OR($A49="",Flows!$C50=""),0,IF(AND(29&lt;=Setup!$B$5,29&gt;=$C49,OR(AND($E49="once",29=$C49),AND($E49="weekly",29&lt;=$D49),AND($E49="biweekly",29&lt;=$D49,MOD(29-$C49,2)=0))),Flows!$C50,0))</f>
        <v/>
      </c>
      <c r="AI49" s="13">
        <f>IF(OR($A49="",Flows!$C50=""),0,IF(AND(30&lt;=Setup!$B$5,30&gt;=$C49,OR(AND($E49="once",30=$C49),AND($E49="weekly",30&lt;=$D49),AND($E49="biweekly",30&lt;=$D49,MOD(30-$C49,2)=0))),Flows!$C50,0))</f>
        <v/>
      </c>
      <c r="AJ49" s="13">
        <f>IF(OR($A49="",Flows!$C50=""),0,IF(AND(31&lt;=Setup!$B$5,31&gt;=$C49,OR(AND($E49="once",31=$C49),AND($E49="weekly",31&lt;=$D49),AND($E49="biweekly",31&lt;=$D49,MOD(31-$C49,2)=0))),Flows!$C50,0))</f>
        <v/>
      </c>
      <c r="AK49" s="13">
        <f>IF(OR($A49="",Flows!$C50=""),0,IF(AND(32&lt;=Setup!$B$5,32&gt;=$C49,OR(AND($E49="once",32=$C49),AND($E49="weekly",32&lt;=$D49),AND($E49="biweekly",32&lt;=$D49,MOD(32-$C49,2)=0))),Flows!$C50,0))</f>
        <v/>
      </c>
      <c r="AL49" s="13">
        <f>IF(OR($A49="",Flows!$C50=""),0,IF(AND(33&lt;=Setup!$B$5,33&gt;=$C49,OR(AND($E49="once",33=$C49),AND($E49="weekly",33&lt;=$D49),AND($E49="biweekly",33&lt;=$D49,MOD(33-$C49,2)=0))),Flows!$C50,0))</f>
        <v/>
      </c>
      <c r="AM49" s="13">
        <f>IF(OR($A49="",Flows!$C50=""),0,IF(AND(34&lt;=Setup!$B$5,34&gt;=$C49,OR(AND($E49="once",34=$C49),AND($E49="weekly",34&lt;=$D49),AND($E49="biweekly",34&lt;=$D49,MOD(34-$C49,2)=0))),Flows!$C50,0))</f>
        <v/>
      </c>
      <c r="AN49" s="13">
        <f>IF(OR($A49="",Flows!$C50=""),0,IF(AND(35&lt;=Setup!$B$5,35&gt;=$C49,OR(AND($E49="once",35=$C49),AND($E49="weekly",35&lt;=$D49),AND($E49="biweekly",35&lt;=$D49,MOD(35-$C49,2)=0))),Flows!$C50,0))</f>
        <v/>
      </c>
      <c r="AO49" s="13">
        <f>IF(OR($A49="",Flows!$C50=""),0,IF(AND(36&lt;=Setup!$B$5,36&gt;=$C49,OR(AND($E49="once",36=$C49),AND($E49="weekly",36&lt;=$D49),AND($E49="biweekly",36&lt;=$D49,MOD(36-$C49,2)=0))),Flows!$C50,0))</f>
        <v/>
      </c>
      <c r="AP49" s="13">
        <f>IF(OR($A49="",Flows!$C50=""),0,IF(AND(37&lt;=Setup!$B$5,37&gt;=$C49,OR(AND($E49="once",37=$C49),AND($E49="weekly",37&lt;=$D49),AND($E49="biweekly",37&lt;=$D49,MOD(37-$C49,2)=0))),Flows!$C50,0))</f>
        <v/>
      </c>
      <c r="AQ49" s="13">
        <f>IF(OR($A49="",Flows!$C50=""),0,IF(AND(38&lt;=Setup!$B$5,38&gt;=$C49,OR(AND($E49="once",38=$C49),AND($E49="weekly",38&lt;=$D49),AND($E49="biweekly",38&lt;=$D49,MOD(38-$C49,2)=0))),Flows!$C50,0))</f>
        <v/>
      </c>
      <c r="AR49" s="13">
        <f>IF(OR($A49="",Flows!$C50=""),0,IF(AND(39&lt;=Setup!$B$5,39&gt;=$C49,OR(AND($E49="once",39=$C49),AND($E49="weekly",39&lt;=$D49),AND($E49="biweekly",39&lt;=$D49,MOD(39-$C49,2)=0))),Flows!$C50,0))</f>
        <v/>
      </c>
      <c r="AS49" s="13">
        <f>IF(OR($A49="",Flows!$C50=""),0,IF(AND(40&lt;=Setup!$B$5,40&gt;=$C49,OR(AND($E49="once",40=$C49),AND($E49="weekly",40&lt;=$D49),AND($E49="biweekly",40&lt;=$D49,MOD(40-$C49,2)=0))),Flows!$C50,0))</f>
        <v/>
      </c>
      <c r="AT49" s="13">
        <f>IF(OR($A49="",Flows!$C50=""),0,IF(AND(41&lt;=Setup!$B$5,41&gt;=$C49,OR(AND($E49="once",41=$C49),AND($E49="weekly",41&lt;=$D49),AND($E49="biweekly",41&lt;=$D49,MOD(41-$C49,2)=0))),Flows!$C50,0))</f>
        <v/>
      </c>
      <c r="AU49" s="13">
        <f>IF(OR($A49="",Flows!$C50=""),0,IF(AND(42&lt;=Setup!$B$5,42&gt;=$C49,OR(AND($E49="once",42=$C49),AND($E49="weekly",42&lt;=$D49),AND($E49="biweekly",42&lt;=$D49,MOD(42-$C49,2)=0))),Flows!$C50,0))</f>
        <v/>
      </c>
      <c r="AV49" s="13">
        <f>IF(OR($A49="",Flows!$C50=""),0,IF(AND(43&lt;=Setup!$B$5,43&gt;=$C49,OR(AND($E49="once",43=$C49),AND($E49="weekly",43&lt;=$D49),AND($E49="biweekly",43&lt;=$D49,MOD(43-$C49,2)=0))),Flows!$C50,0))</f>
        <v/>
      </c>
      <c r="AW49" s="13">
        <f>IF(OR($A49="",Flows!$C50=""),0,IF(AND(44&lt;=Setup!$B$5,44&gt;=$C49,OR(AND($E49="once",44=$C49),AND($E49="weekly",44&lt;=$D49),AND($E49="biweekly",44&lt;=$D49,MOD(44-$C49,2)=0))),Flows!$C50,0))</f>
        <v/>
      </c>
      <c r="AX49" s="13">
        <f>IF(OR($A49="",Flows!$C50=""),0,IF(AND(45&lt;=Setup!$B$5,45&gt;=$C49,OR(AND($E49="once",45=$C49),AND($E49="weekly",45&lt;=$D49),AND($E49="biweekly",45&lt;=$D49,MOD(45-$C49,2)=0))),Flows!$C50,0))</f>
        <v/>
      </c>
      <c r="AY49" s="13">
        <f>IF(OR($A49="",Flows!$C50=""),0,IF(AND(46&lt;=Setup!$B$5,46&gt;=$C49,OR(AND($E49="once",46=$C49),AND($E49="weekly",46&lt;=$D49),AND($E49="biweekly",46&lt;=$D49,MOD(46-$C49,2)=0))),Flows!$C50,0))</f>
        <v/>
      </c>
      <c r="AZ49" s="13">
        <f>IF(OR($A49="",Flows!$C50=""),0,IF(AND(47&lt;=Setup!$B$5,47&gt;=$C49,OR(AND($E49="once",47=$C49),AND($E49="weekly",47&lt;=$D49),AND($E49="biweekly",47&lt;=$D49,MOD(47-$C49,2)=0))),Flows!$C50,0))</f>
        <v/>
      </c>
      <c r="BA49" s="13">
        <f>IF(OR($A49="",Flows!$C50=""),0,IF(AND(48&lt;=Setup!$B$5,48&gt;=$C49,OR(AND($E49="once",48=$C49),AND($E49="weekly",48&lt;=$D49),AND($E49="biweekly",48&lt;=$D49,MOD(48-$C49,2)=0))),Flows!$C50,0))</f>
        <v/>
      </c>
      <c r="BB49" s="13">
        <f>IF(OR($A49="",Flows!$C50=""),0,IF(AND(49&lt;=Setup!$B$5,49&gt;=$C49,OR(AND($E49="once",49=$C49),AND($E49="weekly",49&lt;=$D49),AND($E49="biweekly",49&lt;=$D49,MOD(49-$C49,2)=0))),Flows!$C50,0))</f>
        <v/>
      </c>
      <c r="BC49" s="13">
        <f>IF(OR($A49="",Flows!$C50=""),0,IF(AND(50&lt;=Setup!$B$5,50&gt;=$C49,OR(AND($E49="once",50=$C49),AND($E49="weekly",50&lt;=$D49),AND($E49="biweekly",50&lt;=$D49,MOD(50-$C49,2)=0))),Flows!$C50,0))</f>
        <v/>
      </c>
      <c r="BD49" s="13">
        <f>IF(OR($A49="",Flows!$C50=""),0,IF(AND(51&lt;=Setup!$B$5,51&gt;=$C49,OR(AND($E49="once",51=$C49),AND($E49="weekly",51&lt;=$D49),AND($E49="biweekly",51&lt;=$D49,MOD(51-$C49,2)=0))),Flows!$C50,0))</f>
        <v/>
      </c>
      <c r="BE49" s="13">
        <f>IF(OR($A49="",Flows!$C50=""),0,IF(AND(52&lt;=Setup!$B$5,52&gt;=$C49,OR(AND($E49="once",52=$C49),AND($E49="weekly",52&lt;=$D49),AND($E49="biweekly",52&lt;=$D49,MOD(52-$C49,2)=0))),Flows!$C50,0))</f>
        <v/>
      </c>
    </row>
    <row r="50">
      <c r="A50" s="7">
        <f>IF(Flows!A51="","",LOWER(Flows!A51))</f>
        <v/>
      </c>
      <c r="B50" s="7">
        <f>IF(Flows!B51="","",Flows!B51)</f>
        <v/>
      </c>
      <c r="C50" s="7">
        <f>N(Flows!D51)</f>
        <v/>
      </c>
      <c r="D50" s="7">
        <f>IF(Flows!F51="",Setup!$B$5,Flows!F51)</f>
        <v/>
      </c>
      <c r="E50" s="7">
        <f>IF(Flows!E51="","once",LOWER(Flows!E51))</f>
        <v/>
      </c>
      <c r="F50" s="13">
        <f>IF(OR($A50="",Flows!$C51=""),0,IF(AND(1&lt;=Setup!$B$5,1&gt;=$C50,OR(AND($E50="once",1=$C50),AND($E50="weekly",1&lt;=$D50),AND($E50="biweekly",1&lt;=$D50,MOD(1-$C50,2)=0))),Flows!$C51,0))</f>
        <v/>
      </c>
      <c r="G50" s="13">
        <f>IF(OR($A50="",Flows!$C51=""),0,IF(AND(2&lt;=Setup!$B$5,2&gt;=$C50,OR(AND($E50="once",2=$C50),AND($E50="weekly",2&lt;=$D50),AND($E50="biweekly",2&lt;=$D50,MOD(2-$C50,2)=0))),Flows!$C51,0))</f>
        <v/>
      </c>
      <c r="H50" s="13">
        <f>IF(OR($A50="",Flows!$C51=""),0,IF(AND(3&lt;=Setup!$B$5,3&gt;=$C50,OR(AND($E50="once",3=$C50),AND($E50="weekly",3&lt;=$D50),AND($E50="biweekly",3&lt;=$D50,MOD(3-$C50,2)=0))),Flows!$C51,0))</f>
        <v/>
      </c>
      <c r="I50" s="13">
        <f>IF(OR($A50="",Flows!$C51=""),0,IF(AND(4&lt;=Setup!$B$5,4&gt;=$C50,OR(AND($E50="once",4=$C50),AND($E50="weekly",4&lt;=$D50),AND($E50="biweekly",4&lt;=$D50,MOD(4-$C50,2)=0))),Flows!$C51,0))</f>
        <v/>
      </c>
      <c r="J50" s="13">
        <f>IF(OR($A50="",Flows!$C51=""),0,IF(AND(5&lt;=Setup!$B$5,5&gt;=$C50,OR(AND($E50="once",5=$C50),AND($E50="weekly",5&lt;=$D50),AND($E50="biweekly",5&lt;=$D50,MOD(5-$C50,2)=0))),Flows!$C51,0))</f>
        <v/>
      </c>
      <c r="K50" s="13">
        <f>IF(OR($A50="",Flows!$C51=""),0,IF(AND(6&lt;=Setup!$B$5,6&gt;=$C50,OR(AND($E50="once",6=$C50),AND($E50="weekly",6&lt;=$D50),AND($E50="biweekly",6&lt;=$D50,MOD(6-$C50,2)=0))),Flows!$C51,0))</f>
        <v/>
      </c>
      <c r="L50" s="13">
        <f>IF(OR($A50="",Flows!$C51=""),0,IF(AND(7&lt;=Setup!$B$5,7&gt;=$C50,OR(AND($E50="once",7=$C50),AND($E50="weekly",7&lt;=$D50),AND($E50="biweekly",7&lt;=$D50,MOD(7-$C50,2)=0))),Flows!$C51,0))</f>
        <v/>
      </c>
      <c r="M50" s="13">
        <f>IF(OR($A50="",Flows!$C51=""),0,IF(AND(8&lt;=Setup!$B$5,8&gt;=$C50,OR(AND($E50="once",8=$C50),AND($E50="weekly",8&lt;=$D50),AND($E50="biweekly",8&lt;=$D50,MOD(8-$C50,2)=0))),Flows!$C51,0))</f>
        <v/>
      </c>
      <c r="N50" s="13">
        <f>IF(OR($A50="",Flows!$C51=""),0,IF(AND(9&lt;=Setup!$B$5,9&gt;=$C50,OR(AND($E50="once",9=$C50),AND($E50="weekly",9&lt;=$D50),AND($E50="biweekly",9&lt;=$D50,MOD(9-$C50,2)=0))),Flows!$C51,0))</f>
        <v/>
      </c>
      <c r="O50" s="13">
        <f>IF(OR($A50="",Flows!$C51=""),0,IF(AND(10&lt;=Setup!$B$5,10&gt;=$C50,OR(AND($E50="once",10=$C50),AND($E50="weekly",10&lt;=$D50),AND($E50="biweekly",10&lt;=$D50,MOD(10-$C50,2)=0))),Flows!$C51,0))</f>
        <v/>
      </c>
      <c r="P50" s="13">
        <f>IF(OR($A50="",Flows!$C51=""),0,IF(AND(11&lt;=Setup!$B$5,11&gt;=$C50,OR(AND($E50="once",11=$C50),AND($E50="weekly",11&lt;=$D50),AND($E50="biweekly",11&lt;=$D50,MOD(11-$C50,2)=0))),Flows!$C51,0))</f>
        <v/>
      </c>
      <c r="Q50" s="13">
        <f>IF(OR($A50="",Flows!$C51=""),0,IF(AND(12&lt;=Setup!$B$5,12&gt;=$C50,OR(AND($E50="once",12=$C50),AND($E50="weekly",12&lt;=$D50),AND($E50="biweekly",12&lt;=$D50,MOD(12-$C50,2)=0))),Flows!$C51,0))</f>
        <v/>
      </c>
      <c r="R50" s="13">
        <f>IF(OR($A50="",Flows!$C51=""),0,IF(AND(13&lt;=Setup!$B$5,13&gt;=$C50,OR(AND($E50="once",13=$C50),AND($E50="weekly",13&lt;=$D50),AND($E50="biweekly",13&lt;=$D50,MOD(13-$C50,2)=0))),Flows!$C51,0))</f>
        <v/>
      </c>
      <c r="S50" s="13">
        <f>IF(OR($A50="",Flows!$C51=""),0,IF(AND(14&lt;=Setup!$B$5,14&gt;=$C50,OR(AND($E50="once",14=$C50),AND($E50="weekly",14&lt;=$D50),AND($E50="biweekly",14&lt;=$D50,MOD(14-$C50,2)=0))),Flows!$C51,0))</f>
        <v/>
      </c>
      <c r="T50" s="13">
        <f>IF(OR($A50="",Flows!$C51=""),0,IF(AND(15&lt;=Setup!$B$5,15&gt;=$C50,OR(AND($E50="once",15=$C50),AND($E50="weekly",15&lt;=$D50),AND($E50="biweekly",15&lt;=$D50,MOD(15-$C50,2)=0))),Flows!$C51,0))</f>
        <v/>
      </c>
      <c r="U50" s="13">
        <f>IF(OR($A50="",Flows!$C51=""),0,IF(AND(16&lt;=Setup!$B$5,16&gt;=$C50,OR(AND($E50="once",16=$C50),AND($E50="weekly",16&lt;=$D50),AND($E50="biweekly",16&lt;=$D50,MOD(16-$C50,2)=0))),Flows!$C51,0))</f>
        <v/>
      </c>
      <c r="V50" s="13">
        <f>IF(OR($A50="",Flows!$C51=""),0,IF(AND(17&lt;=Setup!$B$5,17&gt;=$C50,OR(AND($E50="once",17=$C50),AND($E50="weekly",17&lt;=$D50),AND($E50="biweekly",17&lt;=$D50,MOD(17-$C50,2)=0))),Flows!$C51,0))</f>
        <v/>
      </c>
      <c r="W50" s="13">
        <f>IF(OR($A50="",Flows!$C51=""),0,IF(AND(18&lt;=Setup!$B$5,18&gt;=$C50,OR(AND($E50="once",18=$C50),AND($E50="weekly",18&lt;=$D50),AND($E50="biweekly",18&lt;=$D50,MOD(18-$C50,2)=0))),Flows!$C51,0))</f>
        <v/>
      </c>
      <c r="X50" s="13">
        <f>IF(OR($A50="",Flows!$C51=""),0,IF(AND(19&lt;=Setup!$B$5,19&gt;=$C50,OR(AND($E50="once",19=$C50),AND($E50="weekly",19&lt;=$D50),AND($E50="biweekly",19&lt;=$D50,MOD(19-$C50,2)=0))),Flows!$C51,0))</f>
        <v/>
      </c>
      <c r="Y50" s="13">
        <f>IF(OR($A50="",Flows!$C51=""),0,IF(AND(20&lt;=Setup!$B$5,20&gt;=$C50,OR(AND($E50="once",20=$C50),AND($E50="weekly",20&lt;=$D50),AND($E50="biweekly",20&lt;=$D50,MOD(20-$C50,2)=0))),Flows!$C51,0))</f>
        <v/>
      </c>
      <c r="Z50" s="13">
        <f>IF(OR($A50="",Flows!$C51=""),0,IF(AND(21&lt;=Setup!$B$5,21&gt;=$C50,OR(AND($E50="once",21=$C50),AND($E50="weekly",21&lt;=$D50),AND($E50="biweekly",21&lt;=$D50,MOD(21-$C50,2)=0))),Flows!$C51,0))</f>
        <v/>
      </c>
      <c r="AA50" s="13">
        <f>IF(OR($A50="",Flows!$C51=""),0,IF(AND(22&lt;=Setup!$B$5,22&gt;=$C50,OR(AND($E50="once",22=$C50),AND($E50="weekly",22&lt;=$D50),AND($E50="biweekly",22&lt;=$D50,MOD(22-$C50,2)=0))),Flows!$C51,0))</f>
        <v/>
      </c>
      <c r="AB50" s="13">
        <f>IF(OR($A50="",Flows!$C51=""),0,IF(AND(23&lt;=Setup!$B$5,23&gt;=$C50,OR(AND($E50="once",23=$C50),AND($E50="weekly",23&lt;=$D50),AND($E50="biweekly",23&lt;=$D50,MOD(23-$C50,2)=0))),Flows!$C51,0))</f>
        <v/>
      </c>
      <c r="AC50" s="13">
        <f>IF(OR($A50="",Flows!$C51=""),0,IF(AND(24&lt;=Setup!$B$5,24&gt;=$C50,OR(AND($E50="once",24=$C50),AND($E50="weekly",24&lt;=$D50),AND($E50="biweekly",24&lt;=$D50,MOD(24-$C50,2)=0))),Flows!$C51,0))</f>
        <v/>
      </c>
      <c r="AD50" s="13">
        <f>IF(OR($A50="",Flows!$C51=""),0,IF(AND(25&lt;=Setup!$B$5,25&gt;=$C50,OR(AND($E50="once",25=$C50),AND($E50="weekly",25&lt;=$D50),AND($E50="biweekly",25&lt;=$D50,MOD(25-$C50,2)=0))),Flows!$C51,0))</f>
        <v/>
      </c>
      <c r="AE50" s="13">
        <f>IF(OR($A50="",Flows!$C51=""),0,IF(AND(26&lt;=Setup!$B$5,26&gt;=$C50,OR(AND($E50="once",26=$C50),AND($E50="weekly",26&lt;=$D50),AND($E50="biweekly",26&lt;=$D50,MOD(26-$C50,2)=0))),Flows!$C51,0))</f>
        <v/>
      </c>
      <c r="AF50" s="13">
        <f>IF(OR($A50="",Flows!$C51=""),0,IF(AND(27&lt;=Setup!$B$5,27&gt;=$C50,OR(AND($E50="once",27=$C50),AND($E50="weekly",27&lt;=$D50),AND($E50="biweekly",27&lt;=$D50,MOD(27-$C50,2)=0))),Flows!$C51,0))</f>
        <v/>
      </c>
      <c r="AG50" s="13">
        <f>IF(OR($A50="",Flows!$C51=""),0,IF(AND(28&lt;=Setup!$B$5,28&gt;=$C50,OR(AND($E50="once",28=$C50),AND($E50="weekly",28&lt;=$D50),AND($E50="biweekly",28&lt;=$D50,MOD(28-$C50,2)=0))),Flows!$C51,0))</f>
        <v/>
      </c>
      <c r="AH50" s="13">
        <f>IF(OR($A50="",Flows!$C51=""),0,IF(AND(29&lt;=Setup!$B$5,29&gt;=$C50,OR(AND($E50="once",29=$C50),AND($E50="weekly",29&lt;=$D50),AND($E50="biweekly",29&lt;=$D50,MOD(29-$C50,2)=0))),Flows!$C51,0))</f>
        <v/>
      </c>
      <c r="AI50" s="13">
        <f>IF(OR($A50="",Flows!$C51=""),0,IF(AND(30&lt;=Setup!$B$5,30&gt;=$C50,OR(AND($E50="once",30=$C50),AND($E50="weekly",30&lt;=$D50),AND($E50="biweekly",30&lt;=$D50,MOD(30-$C50,2)=0))),Flows!$C51,0))</f>
        <v/>
      </c>
      <c r="AJ50" s="13">
        <f>IF(OR($A50="",Flows!$C51=""),0,IF(AND(31&lt;=Setup!$B$5,31&gt;=$C50,OR(AND($E50="once",31=$C50),AND($E50="weekly",31&lt;=$D50),AND($E50="biweekly",31&lt;=$D50,MOD(31-$C50,2)=0))),Flows!$C51,0))</f>
        <v/>
      </c>
      <c r="AK50" s="13">
        <f>IF(OR($A50="",Flows!$C51=""),0,IF(AND(32&lt;=Setup!$B$5,32&gt;=$C50,OR(AND($E50="once",32=$C50),AND($E50="weekly",32&lt;=$D50),AND($E50="biweekly",32&lt;=$D50,MOD(32-$C50,2)=0))),Flows!$C51,0))</f>
        <v/>
      </c>
      <c r="AL50" s="13">
        <f>IF(OR($A50="",Flows!$C51=""),0,IF(AND(33&lt;=Setup!$B$5,33&gt;=$C50,OR(AND($E50="once",33=$C50),AND($E50="weekly",33&lt;=$D50),AND($E50="biweekly",33&lt;=$D50,MOD(33-$C50,2)=0))),Flows!$C51,0))</f>
        <v/>
      </c>
      <c r="AM50" s="13">
        <f>IF(OR($A50="",Flows!$C51=""),0,IF(AND(34&lt;=Setup!$B$5,34&gt;=$C50,OR(AND($E50="once",34=$C50),AND($E50="weekly",34&lt;=$D50),AND($E50="biweekly",34&lt;=$D50,MOD(34-$C50,2)=0))),Flows!$C51,0))</f>
        <v/>
      </c>
      <c r="AN50" s="13">
        <f>IF(OR($A50="",Flows!$C51=""),0,IF(AND(35&lt;=Setup!$B$5,35&gt;=$C50,OR(AND($E50="once",35=$C50),AND($E50="weekly",35&lt;=$D50),AND($E50="biweekly",35&lt;=$D50,MOD(35-$C50,2)=0))),Flows!$C51,0))</f>
        <v/>
      </c>
      <c r="AO50" s="13">
        <f>IF(OR($A50="",Flows!$C51=""),0,IF(AND(36&lt;=Setup!$B$5,36&gt;=$C50,OR(AND($E50="once",36=$C50),AND($E50="weekly",36&lt;=$D50),AND($E50="biweekly",36&lt;=$D50,MOD(36-$C50,2)=0))),Flows!$C51,0))</f>
        <v/>
      </c>
      <c r="AP50" s="13">
        <f>IF(OR($A50="",Flows!$C51=""),0,IF(AND(37&lt;=Setup!$B$5,37&gt;=$C50,OR(AND($E50="once",37=$C50),AND($E50="weekly",37&lt;=$D50),AND($E50="biweekly",37&lt;=$D50,MOD(37-$C50,2)=0))),Flows!$C51,0))</f>
        <v/>
      </c>
      <c r="AQ50" s="13">
        <f>IF(OR($A50="",Flows!$C51=""),0,IF(AND(38&lt;=Setup!$B$5,38&gt;=$C50,OR(AND($E50="once",38=$C50),AND($E50="weekly",38&lt;=$D50),AND($E50="biweekly",38&lt;=$D50,MOD(38-$C50,2)=0))),Flows!$C51,0))</f>
        <v/>
      </c>
      <c r="AR50" s="13">
        <f>IF(OR($A50="",Flows!$C51=""),0,IF(AND(39&lt;=Setup!$B$5,39&gt;=$C50,OR(AND($E50="once",39=$C50),AND($E50="weekly",39&lt;=$D50),AND($E50="biweekly",39&lt;=$D50,MOD(39-$C50,2)=0))),Flows!$C51,0))</f>
        <v/>
      </c>
      <c r="AS50" s="13">
        <f>IF(OR($A50="",Flows!$C51=""),0,IF(AND(40&lt;=Setup!$B$5,40&gt;=$C50,OR(AND($E50="once",40=$C50),AND($E50="weekly",40&lt;=$D50),AND($E50="biweekly",40&lt;=$D50,MOD(40-$C50,2)=0))),Flows!$C51,0))</f>
        <v/>
      </c>
      <c r="AT50" s="13">
        <f>IF(OR($A50="",Flows!$C51=""),0,IF(AND(41&lt;=Setup!$B$5,41&gt;=$C50,OR(AND($E50="once",41=$C50),AND($E50="weekly",41&lt;=$D50),AND($E50="biweekly",41&lt;=$D50,MOD(41-$C50,2)=0))),Flows!$C51,0))</f>
        <v/>
      </c>
      <c r="AU50" s="13">
        <f>IF(OR($A50="",Flows!$C51=""),0,IF(AND(42&lt;=Setup!$B$5,42&gt;=$C50,OR(AND($E50="once",42=$C50),AND($E50="weekly",42&lt;=$D50),AND($E50="biweekly",42&lt;=$D50,MOD(42-$C50,2)=0))),Flows!$C51,0))</f>
        <v/>
      </c>
      <c r="AV50" s="13">
        <f>IF(OR($A50="",Flows!$C51=""),0,IF(AND(43&lt;=Setup!$B$5,43&gt;=$C50,OR(AND($E50="once",43=$C50),AND($E50="weekly",43&lt;=$D50),AND($E50="biweekly",43&lt;=$D50,MOD(43-$C50,2)=0))),Flows!$C51,0))</f>
        <v/>
      </c>
      <c r="AW50" s="13">
        <f>IF(OR($A50="",Flows!$C51=""),0,IF(AND(44&lt;=Setup!$B$5,44&gt;=$C50,OR(AND($E50="once",44=$C50),AND($E50="weekly",44&lt;=$D50),AND($E50="biweekly",44&lt;=$D50,MOD(44-$C50,2)=0))),Flows!$C51,0))</f>
        <v/>
      </c>
      <c r="AX50" s="13">
        <f>IF(OR($A50="",Flows!$C51=""),0,IF(AND(45&lt;=Setup!$B$5,45&gt;=$C50,OR(AND($E50="once",45=$C50),AND($E50="weekly",45&lt;=$D50),AND($E50="biweekly",45&lt;=$D50,MOD(45-$C50,2)=0))),Flows!$C51,0))</f>
        <v/>
      </c>
      <c r="AY50" s="13">
        <f>IF(OR($A50="",Flows!$C51=""),0,IF(AND(46&lt;=Setup!$B$5,46&gt;=$C50,OR(AND($E50="once",46=$C50),AND($E50="weekly",46&lt;=$D50),AND($E50="biweekly",46&lt;=$D50,MOD(46-$C50,2)=0))),Flows!$C51,0))</f>
        <v/>
      </c>
      <c r="AZ50" s="13">
        <f>IF(OR($A50="",Flows!$C51=""),0,IF(AND(47&lt;=Setup!$B$5,47&gt;=$C50,OR(AND($E50="once",47=$C50),AND($E50="weekly",47&lt;=$D50),AND($E50="biweekly",47&lt;=$D50,MOD(47-$C50,2)=0))),Flows!$C51,0))</f>
        <v/>
      </c>
      <c r="BA50" s="13">
        <f>IF(OR($A50="",Flows!$C51=""),0,IF(AND(48&lt;=Setup!$B$5,48&gt;=$C50,OR(AND($E50="once",48=$C50),AND($E50="weekly",48&lt;=$D50),AND($E50="biweekly",48&lt;=$D50,MOD(48-$C50,2)=0))),Flows!$C51,0))</f>
        <v/>
      </c>
      <c r="BB50" s="13">
        <f>IF(OR($A50="",Flows!$C51=""),0,IF(AND(49&lt;=Setup!$B$5,49&gt;=$C50,OR(AND($E50="once",49=$C50),AND($E50="weekly",49&lt;=$D50),AND($E50="biweekly",49&lt;=$D50,MOD(49-$C50,2)=0))),Flows!$C51,0))</f>
        <v/>
      </c>
      <c r="BC50" s="13">
        <f>IF(OR($A50="",Flows!$C51=""),0,IF(AND(50&lt;=Setup!$B$5,50&gt;=$C50,OR(AND($E50="once",50=$C50),AND($E50="weekly",50&lt;=$D50),AND($E50="biweekly",50&lt;=$D50,MOD(50-$C50,2)=0))),Flows!$C51,0))</f>
        <v/>
      </c>
      <c r="BD50" s="13">
        <f>IF(OR($A50="",Flows!$C51=""),0,IF(AND(51&lt;=Setup!$B$5,51&gt;=$C50,OR(AND($E50="once",51=$C50),AND($E50="weekly",51&lt;=$D50),AND($E50="biweekly",51&lt;=$D50,MOD(51-$C50,2)=0))),Flows!$C51,0))</f>
        <v/>
      </c>
      <c r="BE50" s="13">
        <f>IF(OR($A50="",Flows!$C51=""),0,IF(AND(52&lt;=Setup!$B$5,52&gt;=$C50,OR(AND($E50="once",52=$C50),AND($E50="weekly",52&lt;=$D50),AND($E50="biweekly",52&lt;=$D50,MOD(52-$C50,2)=0))),Flows!$C51,0))</f>
        <v/>
      </c>
    </row>
    <row r="51">
      <c r="A51" s="7">
        <f>IF(Flows!A52="","",LOWER(Flows!A52))</f>
        <v/>
      </c>
      <c r="B51" s="7">
        <f>IF(Flows!B52="","",Flows!B52)</f>
        <v/>
      </c>
      <c r="C51" s="7">
        <f>N(Flows!D52)</f>
        <v/>
      </c>
      <c r="D51" s="7">
        <f>IF(Flows!F52="",Setup!$B$5,Flows!F52)</f>
        <v/>
      </c>
      <c r="E51" s="7">
        <f>IF(Flows!E52="","once",LOWER(Flows!E52))</f>
        <v/>
      </c>
      <c r="F51" s="13">
        <f>IF(OR($A51="",Flows!$C52=""),0,IF(AND(1&lt;=Setup!$B$5,1&gt;=$C51,OR(AND($E51="once",1=$C51),AND($E51="weekly",1&lt;=$D51),AND($E51="biweekly",1&lt;=$D51,MOD(1-$C51,2)=0))),Flows!$C52,0))</f>
        <v/>
      </c>
      <c r="G51" s="13">
        <f>IF(OR($A51="",Flows!$C52=""),0,IF(AND(2&lt;=Setup!$B$5,2&gt;=$C51,OR(AND($E51="once",2=$C51),AND($E51="weekly",2&lt;=$D51),AND($E51="biweekly",2&lt;=$D51,MOD(2-$C51,2)=0))),Flows!$C52,0))</f>
        <v/>
      </c>
      <c r="H51" s="13">
        <f>IF(OR($A51="",Flows!$C52=""),0,IF(AND(3&lt;=Setup!$B$5,3&gt;=$C51,OR(AND($E51="once",3=$C51),AND($E51="weekly",3&lt;=$D51),AND($E51="biweekly",3&lt;=$D51,MOD(3-$C51,2)=0))),Flows!$C52,0))</f>
        <v/>
      </c>
      <c r="I51" s="13">
        <f>IF(OR($A51="",Flows!$C52=""),0,IF(AND(4&lt;=Setup!$B$5,4&gt;=$C51,OR(AND($E51="once",4=$C51),AND($E51="weekly",4&lt;=$D51),AND($E51="biweekly",4&lt;=$D51,MOD(4-$C51,2)=0))),Flows!$C52,0))</f>
        <v/>
      </c>
      <c r="J51" s="13">
        <f>IF(OR($A51="",Flows!$C52=""),0,IF(AND(5&lt;=Setup!$B$5,5&gt;=$C51,OR(AND($E51="once",5=$C51),AND($E51="weekly",5&lt;=$D51),AND($E51="biweekly",5&lt;=$D51,MOD(5-$C51,2)=0))),Flows!$C52,0))</f>
        <v/>
      </c>
      <c r="K51" s="13">
        <f>IF(OR($A51="",Flows!$C52=""),0,IF(AND(6&lt;=Setup!$B$5,6&gt;=$C51,OR(AND($E51="once",6=$C51),AND($E51="weekly",6&lt;=$D51),AND($E51="biweekly",6&lt;=$D51,MOD(6-$C51,2)=0))),Flows!$C52,0))</f>
        <v/>
      </c>
      <c r="L51" s="13">
        <f>IF(OR($A51="",Flows!$C52=""),0,IF(AND(7&lt;=Setup!$B$5,7&gt;=$C51,OR(AND($E51="once",7=$C51),AND($E51="weekly",7&lt;=$D51),AND($E51="biweekly",7&lt;=$D51,MOD(7-$C51,2)=0))),Flows!$C52,0))</f>
        <v/>
      </c>
      <c r="M51" s="13">
        <f>IF(OR($A51="",Flows!$C52=""),0,IF(AND(8&lt;=Setup!$B$5,8&gt;=$C51,OR(AND($E51="once",8=$C51),AND($E51="weekly",8&lt;=$D51),AND($E51="biweekly",8&lt;=$D51,MOD(8-$C51,2)=0))),Flows!$C52,0))</f>
        <v/>
      </c>
      <c r="N51" s="13">
        <f>IF(OR($A51="",Flows!$C52=""),0,IF(AND(9&lt;=Setup!$B$5,9&gt;=$C51,OR(AND($E51="once",9=$C51),AND($E51="weekly",9&lt;=$D51),AND($E51="biweekly",9&lt;=$D51,MOD(9-$C51,2)=0))),Flows!$C52,0))</f>
        <v/>
      </c>
      <c r="O51" s="13">
        <f>IF(OR($A51="",Flows!$C52=""),0,IF(AND(10&lt;=Setup!$B$5,10&gt;=$C51,OR(AND($E51="once",10=$C51),AND($E51="weekly",10&lt;=$D51),AND($E51="biweekly",10&lt;=$D51,MOD(10-$C51,2)=0))),Flows!$C52,0))</f>
        <v/>
      </c>
      <c r="P51" s="13">
        <f>IF(OR($A51="",Flows!$C52=""),0,IF(AND(11&lt;=Setup!$B$5,11&gt;=$C51,OR(AND($E51="once",11=$C51),AND($E51="weekly",11&lt;=$D51),AND($E51="biweekly",11&lt;=$D51,MOD(11-$C51,2)=0))),Flows!$C52,0))</f>
        <v/>
      </c>
      <c r="Q51" s="13">
        <f>IF(OR($A51="",Flows!$C52=""),0,IF(AND(12&lt;=Setup!$B$5,12&gt;=$C51,OR(AND($E51="once",12=$C51),AND($E51="weekly",12&lt;=$D51),AND($E51="biweekly",12&lt;=$D51,MOD(12-$C51,2)=0))),Flows!$C52,0))</f>
        <v/>
      </c>
      <c r="R51" s="13">
        <f>IF(OR($A51="",Flows!$C52=""),0,IF(AND(13&lt;=Setup!$B$5,13&gt;=$C51,OR(AND($E51="once",13=$C51),AND($E51="weekly",13&lt;=$D51),AND($E51="biweekly",13&lt;=$D51,MOD(13-$C51,2)=0))),Flows!$C52,0))</f>
        <v/>
      </c>
      <c r="S51" s="13">
        <f>IF(OR($A51="",Flows!$C52=""),0,IF(AND(14&lt;=Setup!$B$5,14&gt;=$C51,OR(AND($E51="once",14=$C51),AND($E51="weekly",14&lt;=$D51),AND($E51="biweekly",14&lt;=$D51,MOD(14-$C51,2)=0))),Flows!$C52,0))</f>
        <v/>
      </c>
      <c r="T51" s="13">
        <f>IF(OR($A51="",Flows!$C52=""),0,IF(AND(15&lt;=Setup!$B$5,15&gt;=$C51,OR(AND($E51="once",15=$C51),AND($E51="weekly",15&lt;=$D51),AND($E51="biweekly",15&lt;=$D51,MOD(15-$C51,2)=0))),Flows!$C52,0))</f>
        <v/>
      </c>
      <c r="U51" s="13">
        <f>IF(OR($A51="",Flows!$C52=""),0,IF(AND(16&lt;=Setup!$B$5,16&gt;=$C51,OR(AND($E51="once",16=$C51),AND($E51="weekly",16&lt;=$D51),AND($E51="biweekly",16&lt;=$D51,MOD(16-$C51,2)=0))),Flows!$C52,0))</f>
        <v/>
      </c>
      <c r="V51" s="13">
        <f>IF(OR($A51="",Flows!$C52=""),0,IF(AND(17&lt;=Setup!$B$5,17&gt;=$C51,OR(AND($E51="once",17=$C51),AND($E51="weekly",17&lt;=$D51),AND($E51="biweekly",17&lt;=$D51,MOD(17-$C51,2)=0))),Flows!$C52,0))</f>
        <v/>
      </c>
      <c r="W51" s="13">
        <f>IF(OR($A51="",Flows!$C52=""),0,IF(AND(18&lt;=Setup!$B$5,18&gt;=$C51,OR(AND($E51="once",18=$C51),AND($E51="weekly",18&lt;=$D51),AND($E51="biweekly",18&lt;=$D51,MOD(18-$C51,2)=0))),Flows!$C52,0))</f>
        <v/>
      </c>
      <c r="X51" s="13">
        <f>IF(OR($A51="",Flows!$C52=""),0,IF(AND(19&lt;=Setup!$B$5,19&gt;=$C51,OR(AND($E51="once",19=$C51),AND($E51="weekly",19&lt;=$D51),AND($E51="biweekly",19&lt;=$D51,MOD(19-$C51,2)=0))),Flows!$C52,0))</f>
        <v/>
      </c>
      <c r="Y51" s="13">
        <f>IF(OR($A51="",Flows!$C52=""),0,IF(AND(20&lt;=Setup!$B$5,20&gt;=$C51,OR(AND($E51="once",20=$C51),AND($E51="weekly",20&lt;=$D51),AND($E51="biweekly",20&lt;=$D51,MOD(20-$C51,2)=0))),Flows!$C52,0))</f>
        <v/>
      </c>
      <c r="Z51" s="13">
        <f>IF(OR($A51="",Flows!$C52=""),0,IF(AND(21&lt;=Setup!$B$5,21&gt;=$C51,OR(AND($E51="once",21=$C51),AND($E51="weekly",21&lt;=$D51),AND($E51="biweekly",21&lt;=$D51,MOD(21-$C51,2)=0))),Flows!$C52,0))</f>
        <v/>
      </c>
      <c r="AA51" s="13">
        <f>IF(OR($A51="",Flows!$C52=""),0,IF(AND(22&lt;=Setup!$B$5,22&gt;=$C51,OR(AND($E51="once",22=$C51),AND($E51="weekly",22&lt;=$D51),AND($E51="biweekly",22&lt;=$D51,MOD(22-$C51,2)=0))),Flows!$C52,0))</f>
        <v/>
      </c>
      <c r="AB51" s="13">
        <f>IF(OR($A51="",Flows!$C52=""),0,IF(AND(23&lt;=Setup!$B$5,23&gt;=$C51,OR(AND($E51="once",23=$C51),AND($E51="weekly",23&lt;=$D51),AND($E51="biweekly",23&lt;=$D51,MOD(23-$C51,2)=0))),Flows!$C52,0))</f>
        <v/>
      </c>
      <c r="AC51" s="13">
        <f>IF(OR($A51="",Flows!$C52=""),0,IF(AND(24&lt;=Setup!$B$5,24&gt;=$C51,OR(AND($E51="once",24=$C51),AND($E51="weekly",24&lt;=$D51),AND($E51="biweekly",24&lt;=$D51,MOD(24-$C51,2)=0))),Flows!$C52,0))</f>
        <v/>
      </c>
      <c r="AD51" s="13">
        <f>IF(OR($A51="",Flows!$C52=""),0,IF(AND(25&lt;=Setup!$B$5,25&gt;=$C51,OR(AND($E51="once",25=$C51),AND($E51="weekly",25&lt;=$D51),AND($E51="biweekly",25&lt;=$D51,MOD(25-$C51,2)=0))),Flows!$C52,0))</f>
        <v/>
      </c>
      <c r="AE51" s="13">
        <f>IF(OR($A51="",Flows!$C52=""),0,IF(AND(26&lt;=Setup!$B$5,26&gt;=$C51,OR(AND($E51="once",26=$C51),AND($E51="weekly",26&lt;=$D51),AND($E51="biweekly",26&lt;=$D51,MOD(26-$C51,2)=0))),Flows!$C52,0))</f>
        <v/>
      </c>
      <c r="AF51" s="13">
        <f>IF(OR($A51="",Flows!$C52=""),0,IF(AND(27&lt;=Setup!$B$5,27&gt;=$C51,OR(AND($E51="once",27=$C51),AND($E51="weekly",27&lt;=$D51),AND($E51="biweekly",27&lt;=$D51,MOD(27-$C51,2)=0))),Flows!$C52,0))</f>
        <v/>
      </c>
      <c r="AG51" s="13">
        <f>IF(OR($A51="",Flows!$C52=""),0,IF(AND(28&lt;=Setup!$B$5,28&gt;=$C51,OR(AND($E51="once",28=$C51),AND($E51="weekly",28&lt;=$D51),AND($E51="biweekly",28&lt;=$D51,MOD(28-$C51,2)=0))),Flows!$C52,0))</f>
        <v/>
      </c>
      <c r="AH51" s="13">
        <f>IF(OR($A51="",Flows!$C52=""),0,IF(AND(29&lt;=Setup!$B$5,29&gt;=$C51,OR(AND($E51="once",29=$C51),AND($E51="weekly",29&lt;=$D51),AND($E51="biweekly",29&lt;=$D51,MOD(29-$C51,2)=0))),Flows!$C52,0))</f>
        <v/>
      </c>
      <c r="AI51" s="13">
        <f>IF(OR($A51="",Flows!$C52=""),0,IF(AND(30&lt;=Setup!$B$5,30&gt;=$C51,OR(AND($E51="once",30=$C51),AND($E51="weekly",30&lt;=$D51),AND($E51="biweekly",30&lt;=$D51,MOD(30-$C51,2)=0))),Flows!$C52,0))</f>
        <v/>
      </c>
      <c r="AJ51" s="13">
        <f>IF(OR($A51="",Flows!$C52=""),0,IF(AND(31&lt;=Setup!$B$5,31&gt;=$C51,OR(AND($E51="once",31=$C51),AND($E51="weekly",31&lt;=$D51),AND($E51="biweekly",31&lt;=$D51,MOD(31-$C51,2)=0))),Flows!$C52,0))</f>
        <v/>
      </c>
      <c r="AK51" s="13">
        <f>IF(OR($A51="",Flows!$C52=""),0,IF(AND(32&lt;=Setup!$B$5,32&gt;=$C51,OR(AND($E51="once",32=$C51),AND($E51="weekly",32&lt;=$D51),AND($E51="biweekly",32&lt;=$D51,MOD(32-$C51,2)=0))),Flows!$C52,0))</f>
        <v/>
      </c>
      <c r="AL51" s="13">
        <f>IF(OR($A51="",Flows!$C52=""),0,IF(AND(33&lt;=Setup!$B$5,33&gt;=$C51,OR(AND($E51="once",33=$C51),AND($E51="weekly",33&lt;=$D51),AND($E51="biweekly",33&lt;=$D51,MOD(33-$C51,2)=0))),Flows!$C52,0))</f>
        <v/>
      </c>
      <c r="AM51" s="13">
        <f>IF(OR($A51="",Flows!$C52=""),0,IF(AND(34&lt;=Setup!$B$5,34&gt;=$C51,OR(AND($E51="once",34=$C51),AND($E51="weekly",34&lt;=$D51),AND($E51="biweekly",34&lt;=$D51,MOD(34-$C51,2)=0))),Flows!$C52,0))</f>
        <v/>
      </c>
      <c r="AN51" s="13">
        <f>IF(OR($A51="",Flows!$C52=""),0,IF(AND(35&lt;=Setup!$B$5,35&gt;=$C51,OR(AND($E51="once",35=$C51),AND($E51="weekly",35&lt;=$D51),AND($E51="biweekly",35&lt;=$D51,MOD(35-$C51,2)=0))),Flows!$C52,0))</f>
        <v/>
      </c>
      <c r="AO51" s="13">
        <f>IF(OR($A51="",Flows!$C52=""),0,IF(AND(36&lt;=Setup!$B$5,36&gt;=$C51,OR(AND($E51="once",36=$C51),AND($E51="weekly",36&lt;=$D51),AND($E51="biweekly",36&lt;=$D51,MOD(36-$C51,2)=0))),Flows!$C52,0))</f>
        <v/>
      </c>
      <c r="AP51" s="13">
        <f>IF(OR($A51="",Flows!$C52=""),0,IF(AND(37&lt;=Setup!$B$5,37&gt;=$C51,OR(AND($E51="once",37=$C51),AND($E51="weekly",37&lt;=$D51),AND($E51="biweekly",37&lt;=$D51,MOD(37-$C51,2)=0))),Flows!$C52,0))</f>
        <v/>
      </c>
      <c r="AQ51" s="13">
        <f>IF(OR($A51="",Flows!$C52=""),0,IF(AND(38&lt;=Setup!$B$5,38&gt;=$C51,OR(AND($E51="once",38=$C51),AND($E51="weekly",38&lt;=$D51),AND($E51="biweekly",38&lt;=$D51,MOD(38-$C51,2)=0))),Flows!$C52,0))</f>
        <v/>
      </c>
      <c r="AR51" s="13">
        <f>IF(OR($A51="",Flows!$C52=""),0,IF(AND(39&lt;=Setup!$B$5,39&gt;=$C51,OR(AND($E51="once",39=$C51),AND($E51="weekly",39&lt;=$D51),AND($E51="biweekly",39&lt;=$D51,MOD(39-$C51,2)=0))),Flows!$C52,0))</f>
        <v/>
      </c>
      <c r="AS51" s="13">
        <f>IF(OR($A51="",Flows!$C52=""),0,IF(AND(40&lt;=Setup!$B$5,40&gt;=$C51,OR(AND($E51="once",40=$C51),AND($E51="weekly",40&lt;=$D51),AND($E51="biweekly",40&lt;=$D51,MOD(40-$C51,2)=0))),Flows!$C52,0))</f>
        <v/>
      </c>
      <c r="AT51" s="13">
        <f>IF(OR($A51="",Flows!$C52=""),0,IF(AND(41&lt;=Setup!$B$5,41&gt;=$C51,OR(AND($E51="once",41=$C51),AND($E51="weekly",41&lt;=$D51),AND($E51="biweekly",41&lt;=$D51,MOD(41-$C51,2)=0))),Flows!$C52,0))</f>
        <v/>
      </c>
      <c r="AU51" s="13">
        <f>IF(OR($A51="",Flows!$C52=""),0,IF(AND(42&lt;=Setup!$B$5,42&gt;=$C51,OR(AND($E51="once",42=$C51),AND($E51="weekly",42&lt;=$D51),AND($E51="biweekly",42&lt;=$D51,MOD(42-$C51,2)=0))),Flows!$C52,0))</f>
        <v/>
      </c>
      <c r="AV51" s="13">
        <f>IF(OR($A51="",Flows!$C52=""),0,IF(AND(43&lt;=Setup!$B$5,43&gt;=$C51,OR(AND($E51="once",43=$C51),AND($E51="weekly",43&lt;=$D51),AND($E51="biweekly",43&lt;=$D51,MOD(43-$C51,2)=0))),Flows!$C52,0))</f>
        <v/>
      </c>
      <c r="AW51" s="13">
        <f>IF(OR($A51="",Flows!$C52=""),0,IF(AND(44&lt;=Setup!$B$5,44&gt;=$C51,OR(AND($E51="once",44=$C51),AND($E51="weekly",44&lt;=$D51),AND($E51="biweekly",44&lt;=$D51,MOD(44-$C51,2)=0))),Flows!$C52,0))</f>
        <v/>
      </c>
      <c r="AX51" s="13">
        <f>IF(OR($A51="",Flows!$C52=""),0,IF(AND(45&lt;=Setup!$B$5,45&gt;=$C51,OR(AND($E51="once",45=$C51),AND($E51="weekly",45&lt;=$D51),AND($E51="biweekly",45&lt;=$D51,MOD(45-$C51,2)=0))),Flows!$C52,0))</f>
        <v/>
      </c>
      <c r="AY51" s="13">
        <f>IF(OR($A51="",Flows!$C52=""),0,IF(AND(46&lt;=Setup!$B$5,46&gt;=$C51,OR(AND($E51="once",46=$C51),AND($E51="weekly",46&lt;=$D51),AND($E51="biweekly",46&lt;=$D51,MOD(46-$C51,2)=0))),Flows!$C52,0))</f>
        <v/>
      </c>
      <c r="AZ51" s="13">
        <f>IF(OR($A51="",Flows!$C52=""),0,IF(AND(47&lt;=Setup!$B$5,47&gt;=$C51,OR(AND($E51="once",47=$C51),AND($E51="weekly",47&lt;=$D51),AND($E51="biweekly",47&lt;=$D51,MOD(47-$C51,2)=0))),Flows!$C52,0))</f>
        <v/>
      </c>
      <c r="BA51" s="13">
        <f>IF(OR($A51="",Flows!$C52=""),0,IF(AND(48&lt;=Setup!$B$5,48&gt;=$C51,OR(AND($E51="once",48=$C51),AND($E51="weekly",48&lt;=$D51),AND($E51="biweekly",48&lt;=$D51,MOD(48-$C51,2)=0))),Flows!$C52,0))</f>
        <v/>
      </c>
      <c r="BB51" s="13">
        <f>IF(OR($A51="",Flows!$C52=""),0,IF(AND(49&lt;=Setup!$B$5,49&gt;=$C51,OR(AND($E51="once",49=$C51),AND($E51="weekly",49&lt;=$D51),AND($E51="biweekly",49&lt;=$D51,MOD(49-$C51,2)=0))),Flows!$C52,0))</f>
        <v/>
      </c>
      <c r="BC51" s="13">
        <f>IF(OR($A51="",Flows!$C52=""),0,IF(AND(50&lt;=Setup!$B$5,50&gt;=$C51,OR(AND($E51="once",50=$C51),AND($E51="weekly",50&lt;=$D51),AND($E51="biweekly",50&lt;=$D51,MOD(50-$C51,2)=0))),Flows!$C52,0))</f>
        <v/>
      </c>
      <c r="BD51" s="13">
        <f>IF(OR($A51="",Flows!$C52=""),0,IF(AND(51&lt;=Setup!$B$5,51&gt;=$C51,OR(AND($E51="once",51=$C51),AND($E51="weekly",51&lt;=$D51),AND($E51="biweekly",51&lt;=$D51,MOD(51-$C51,2)=0))),Flows!$C52,0))</f>
        <v/>
      </c>
      <c r="BE51" s="13">
        <f>IF(OR($A51="",Flows!$C52=""),0,IF(AND(52&lt;=Setup!$B$5,52&gt;=$C51,OR(AND($E51="once",52=$C51),AND($E51="weekly",52&lt;=$D51),AND($E51="biweekly",52&lt;=$D51,MOD(52-$C51,2)=0))),Flows!$C52,0))</f>
        <v/>
      </c>
    </row>
    <row r="52">
      <c r="A52" s="7">
        <f>IF(Flows!A53="","",LOWER(Flows!A53))</f>
        <v/>
      </c>
      <c r="B52" s="7">
        <f>IF(Flows!B53="","",Flows!B53)</f>
        <v/>
      </c>
      <c r="C52" s="7">
        <f>N(Flows!D53)</f>
        <v/>
      </c>
      <c r="D52" s="7">
        <f>IF(Flows!F53="",Setup!$B$5,Flows!F53)</f>
        <v/>
      </c>
      <c r="E52" s="7">
        <f>IF(Flows!E53="","once",LOWER(Flows!E53))</f>
        <v/>
      </c>
      <c r="F52" s="13">
        <f>IF(OR($A52="",Flows!$C53=""),0,IF(AND(1&lt;=Setup!$B$5,1&gt;=$C52,OR(AND($E52="once",1=$C52),AND($E52="weekly",1&lt;=$D52),AND($E52="biweekly",1&lt;=$D52,MOD(1-$C52,2)=0))),Flows!$C53,0))</f>
        <v/>
      </c>
      <c r="G52" s="13">
        <f>IF(OR($A52="",Flows!$C53=""),0,IF(AND(2&lt;=Setup!$B$5,2&gt;=$C52,OR(AND($E52="once",2=$C52),AND($E52="weekly",2&lt;=$D52),AND($E52="biweekly",2&lt;=$D52,MOD(2-$C52,2)=0))),Flows!$C53,0))</f>
        <v/>
      </c>
      <c r="H52" s="13">
        <f>IF(OR($A52="",Flows!$C53=""),0,IF(AND(3&lt;=Setup!$B$5,3&gt;=$C52,OR(AND($E52="once",3=$C52),AND($E52="weekly",3&lt;=$D52),AND($E52="biweekly",3&lt;=$D52,MOD(3-$C52,2)=0))),Flows!$C53,0))</f>
        <v/>
      </c>
      <c r="I52" s="13">
        <f>IF(OR($A52="",Flows!$C53=""),0,IF(AND(4&lt;=Setup!$B$5,4&gt;=$C52,OR(AND($E52="once",4=$C52),AND($E52="weekly",4&lt;=$D52),AND($E52="biweekly",4&lt;=$D52,MOD(4-$C52,2)=0))),Flows!$C53,0))</f>
        <v/>
      </c>
      <c r="J52" s="13">
        <f>IF(OR($A52="",Flows!$C53=""),0,IF(AND(5&lt;=Setup!$B$5,5&gt;=$C52,OR(AND($E52="once",5=$C52),AND($E52="weekly",5&lt;=$D52),AND($E52="biweekly",5&lt;=$D52,MOD(5-$C52,2)=0))),Flows!$C53,0))</f>
        <v/>
      </c>
      <c r="K52" s="13">
        <f>IF(OR($A52="",Flows!$C53=""),0,IF(AND(6&lt;=Setup!$B$5,6&gt;=$C52,OR(AND($E52="once",6=$C52),AND($E52="weekly",6&lt;=$D52),AND($E52="biweekly",6&lt;=$D52,MOD(6-$C52,2)=0))),Flows!$C53,0))</f>
        <v/>
      </c>
      <c r="L52" s="13">
        <f>IF(OR($A52="",Flows!$C53=""),0,IF(AND(7&lt;=Setup!$B$5,7&gt;=$C52,OR(AND($E52="once",7=$C52),AND($E52="weekly",7&lt;=$D52),AND($E52="biweekly",7&lt;=$D52,MOD(7-$C52,2)=0))),Flows!$C53,0))</f>
        <v/>
      </c>
      <c r="M52" s="13">
        <f>IF(OR($A52="",Flows!$C53=""),0,IF(AND(8&lt;=Setup!$B$5,8&gt;=$C52,OR(AND($E52="once",8=$C52),AND($E52="weekly",8&lt;=$D52),AND($E52="biweekly",8&lt;=$D52,MOD(8-$C52,2)=0))),Flows!$C53,0))</f>
        <v/>
      </c>
      <c r="N52" s="13">
        <f>IF(OR($A52="",Flows!$C53=""),0,IF(AND(9&lt;=Setup!$B$5,9&gt;=$C52,OR(AND($E52="once",9=$C52),AND($E52="weekly",9&lt;=$D52),AND($E52="biweekly",9&lt;=$D52,MOD(9-$C52,2)=0))),Flows!$C53,0))</f>
        <v/>
      </c>
      <c r="O52" s="13">
        <f>IF(OR($A52="",Flows!$C53=""),0,IF(AND(10&lt;=Setup!$B$5,10&gt;=$C52,OR(AND($E52="once",10=$C52),AND($E52="weekly",10&lt;=$D52),AND($E52="biweekly",10&lt;=$D52,MOD(10-$C52,2)=0))),Flows!$C53,0))</f>
        <v/>
      </c>
      <c r="P52" s="13">
        <f>IF(OR($A52="",Flows!$C53=""),0,IF(AND(11&lt;=Setup!$B$5,11&gt;=$C52,OR(AND($E52="once",11=$C52),AND($E52="weekly",11&lt;=$D52),AND($E52="biweekly",11&lt;=$D52,MOD(11-$C52,2)=0))),Flows!$C53,0))</f>
        <v/>
      </c>
      <c r="Q52" s="13">
        <f>IF(OR($A52="",Flows!$C53=""),0,IF(AND(12&lt;=Setup!$B$5,12&gt;=$C52,OR(AND($E52="once",12=$C52),AND($E52="weekly",12&lt;=$D52),AND($E52="biweekly",12&lt;=$D52,MOD(12-$C52,2)=0))),Flows!$C53,0))</f>
        <v/>
      </c>
      <c r="R52" s="13">
        <f>IF(OR($A52="",Flows!$C53=""),0,IF(AND(13&lt;=Setup!$B$5,13&gt;=$C52,OR(AND($E52="once",13=$C52),AND($E52="weekly",13&lt;=$D52),AND($E52="biweekly",13&lt;=$D52,MOD(13-$C52,2)=0))),Flows!$C53,0))</f>
        <v/>
      </c>
      <c r="S52" s="13">
        <f>IF(OR($A52="",Flows!$C53=""),0,IF(AND(14&lt;=Setup!$B$5,14&gt;=$C52,OR(AND($E52="once",14=$C52),AND($E52="weekly",14&lt;=$D52),AND($E52="biweekly",14&lt;=$D52,MOD(14-$C52,2)=0))),Flows!$C53,0))</f>
        <v/>
      </c>
      <c r="T52" s="13">
        <f>IF(OR($A52="",Flows!$C53=""),0,IF(AND(15&lt;=Setup!$B$5,15&gt;=$C52,OR(AND($E52="once",15=$C52),AND($E52="weekly",15&lt;=$D52),AND($E52="biweekly",15&lt;=$D52,MOD(15-$C52,2)=0))),Flows!$C53,0))</f>
        <v/>
      </c>
      <c r="U52" s="13">
        <f>IF(OR($A52="",Flows!$C53=""),0,IF(AND(16&lt;=Setup!$B$5,16&gt;=$C52,OR(AND($E52="once",16=$C52),AND($E52="weekly",16&lt;=$D52),AND($E52="biweekly",16&lt;=$D52,MOD(16-$C52,2)=0))),Flows!$C53,0))</f>
        <v/>
      </c>
      <c r="V52" s="13">
        <f>IF(OR($A52="",Flows!$C53=""),0,IF(AND(17&lt;=Setup!$B$5,17&gt;=$C52,OR(AND($E52="once",17=$C52),AND($E52="weekly",17&lt;=$D52),AND($E52="biweekly",17&lt;=$D52,MOD(17-$C52,2)=0))),Flows!$C53,0))</f>
        <v/>
      </c>
      <c r="W52" s="13">
        <f>IF(OR($A52="",Flows!$C53=""),0,IF(AND(18&lt;=Setup!$B$5,18&gt;=$C52,OR(AND($E52="once",18=$C52),AND($E52="weekly",18&lt;=$D52),AND($E52="biweekly",18&lt;=$D52,MOD(18-$C52,2)=0))),Flows!$C53,0))</f>
        <v/>
      </c>
      <c r="X52" s="13">
        <f>IF(OR($A52="",Flows!$C53=""),0,IF(AND(19&lt;=Setup!$B$5,19&gt;=$C52,OR(AND($E52="once",19=$C52),AND($E52="weekly",19&lt;=$D52),AND($E52="biweekly",19&lt;=$D52,MOD(19-$C52,2)=0))),Flows!$C53,0))</f>
        <v/>
      </c>
      <c r="Y52" s="13">
        <f>IF(OR($A52="",Flows!$C53=""),0,IF(AND(20&lt;=Setup!$B$5,20&gt;=$C52,OR(AND($E52="once",20=$C52),AND($E52="weekly",20&lt;=$D52),AND($E52="biweekly",20&lt;=$D52,MOD(20-$C52,2)=0))),Flows!$C53,0))</f>
        <v/>
      </c>
      <c r="Z52" s="13">
        <f>IF(OR($A52="",Flows!$C53=""),0,IF(AND(21&lt;=Setup!$B$5,21&gt;=$C52,OR(AND($E52="once",21=$C52),AND($E52="weekly",21&lt;=$D52),AND($E52="biweekly",21&lt;=$D52,MOD(21-$C52,2)=0))),Flows!$C53,0))</f>
        <v/>
      </c>
      <c r="AA52" s="13">
        <f>IF(OR($A52="",Flows!$C53=""),0,IF(AND(22&lt;=Setup!$B$5,22&gt;=$C52,OR(AND($E52="once",22=$C52),AND($E52="weekly",22&lt;=$D52),AND($E52="biweekly",22&lt;=$D52,MOD(22-$C52,2)=0))),Flows!$C53,0))</f>
        <v/>
      </c>
      <c r="AB52" s="13">
        <f>IF(OR($A52="",Flows!$C53=""),0,IF(AND(23&lt;=Setup!$B$5,23&gt;=$C52,OR(AND($E52="once",23=$C52),AND($E52="weekly",23&lt;=$D52),AND($E52="biweekly",23&lt;=$D52,MOD(23-$C52,2)=0))),Flows!$C53,0))</f>
        <v/>
      </c>
      <c r="AC52" s="13">
        <f>IF(OR($A52="",Flows!$C53=""),0,IF(AND(24&lt;=Setup!$B$5,24&gt;=$C52,OR(AND($E52="once",24=$C52),AND($E52="weekly",24&lt;=$D52),AND($E52="biweekly",24&lt;=$D52,MOD(24-$C52,2)=0))),Flows!$C53,0))</f>
        <v/>
      </c>
      <c r="AD52" s="13">
        <f>IF(OR($A52="",Flows!$C53=""),0,IF(AND(25&lt;=Setup!$B$5,25&gt;=$C52,OR(AND($E52="once",25=$C52),AND($E52="weekly",25&lt;=$D52),AND($E52="biweekly",25&lt;=$D52,MOD(25-$C52,2)=0))),Flows!$C53,0))</f>
        <v/>
      </c>
      <c r="AE52" s="13">
        <f>IF(OR($A52="",Flows!$C53=""),0,IF(AND(26&lt;=Setup!$B$5,26&gt;=$C52,OR(AND($E52="once",26=$C52),AND($E52="weekly",26&lt;=$D52),AND($E52="biweekly",26&lt;=$D52,MOD(26-$C52,2)=0))),Flows!$C53,0))</f>
        <v/>
      </c>
      <c r="AF52" s="13">
        <f>IF(OR($A52="",Flows!$C53=""),0,IF(AND(27&lt;=Setup!$B$5,27&gt;=$C52,OR(AND($E52="once",27=$C52),AND($E52="weekly",27&lt;=$D52),AND($E52="biweekly",27&lt;=$D52,MOD(27-$C52,2)=0))),Flows!$C53,0))</f>
        <v/>
      </c>
      <c r="AG52" s="13">
        <f>IF(OR($A52="",Flows!$C53=""),0,IF(AND(28&lt;=Setup!$B$5,28&gt;=$C52,OR(AND($E52="once",28=$C52),AND($E52="weekly",28&lt;=$D52),AND($E52="biweekly",28&lt;=$D52,MOD(28-$C52,2)=0))),Flows!$C53,0))</f>
        <v/>
      </c>
      <c r="AH52" s="13">
        <f>IF(OR($A52="",Flows!$C53=""),0,IF(AND(29&lt;=Setup!$B$5,29&gt;=$C52,OR(AND($E52="once",29=$C52),AND($E52="weekly",29&lt;=$D52),AND($E52="biweekly",29&lt;=$D52,MOD(29-$C52,2)=0))),Flows!$C53,0))</f>
        <v/>
      </c>
      <c r="AI52" s="13">
        <f>IF(OR($A52="",Flows!$C53=""),0,IF(AND(30&lt;=Setup!$B$5,30&gt;=$C52,OR(AND($E52="once",30=$C52),AND($E52="weekly",30&lt;=$D52),AND($E52="biweekly",30&lt;=$D52,MOD(30-$C52,2)=0))),Flows!$C53,0))</f>
        <v/>
      </c>
      <c r="AJ52" s="13">
        <f>IF(OR($A52="",Flows!$C53=""),0,IF(AND(31&lt;=Setup!$B$5,31&gt;=$C52,OR(AND($E52="once",31=$C52),AND($E52="weekly",31&lt;=$D52),AND($E52="biweekly",31&lt;=$D52,MOD(31-$C52,2)=0))),Flows!$C53,0))</f>
        <v/>
      </c>
      <c r="AK52" s="13">
        <f>IF(OR($A52="",Flows!$C53=""),0,IF(AND(32&lt;=Setup!$B$5,32&gt;=$C52,OR(AND($E52="once",32=$C52),AND($E52="weekly",32&lt;=$D52),AND($E52="biweekly",32&lt;=$D52,MOD(32-$C52,2)=0))),Flows!$C53,0))</f>
        <v/>
      </c>
      <c r="AL52" s="13">
        <f>IF(OR($A52="",Flows!$C53=""),0,IF(AND(33&lt;=Setup!$B$5,33&gt;=$C52,OR(AND($E52="once",33=$C52),AND($E52="weekly",33&lt;=$D52),AND($E52="biweekly",33&lt;=$D52,MOD(33-$C52,2)=0))),Flows!$C53,0))</f>
        <v/>
      </c>
      <c r="AM52" s="13">
        <f>IF(OR($A52="",Flows!$C53=""),0,IF(AND(34&lt;=Setup!$B$5,34&gt;=$C52,OR(AND($E52="once",34=$C52),AND($E52="weekly",34&lt;=$D52),AND($E52="biweekly",34&lt;=$D52,MOD(34-$C52,2)=0))),Flows!$C53,0))</f>
        <v/>
      </c>
      <c r="AN52" s="13">
        <f>IF(OR($A52="",Flows!$C53=""),0,IF(AND(35&lt;=Setup!$B$5,35&gt;=$C52,OR(AND($E52="once",35=$C52),AND($E52="weekly",35&lt;=$D52),AND($E52="biweekly",35&lt;=$D52,MOD(35-$C52,2)=0))),Flows!$C53,0))</f>
        <v/>
      </c>
      <c r="AO52" s="13">
        <f>IF(OR($A52="",Flows!$C53=""),0,IF(AND(36&lt;=Setup!$B$5,36&gt;=$C52,OR(AND($E52="once",36=$C52),AND($E52="weekly",36&lt;=$D52),AND($E52="biweekly",36&lt;=$D52,MOD(36-$C52,2)=0))),Flows!$C53,0))</f>
        <v/>
      </c>
      <c r="AP52" s="13">
        <f>IF(OR($A52="",Flows!$C53=""),0,IF(AND(37&lt;=Setup!$B$5,37&gt;=$C52,OR(AND($E52="once",37=$C52),AND($E52="weekly",37&lt;=$D52),AND($E52="biweekly",37&lt;=$D52,MOD(37-$C52,2)=0))),Flows!$C53,0))</f>
        <v/>
      </c>
      <c r="AQ52" s="13">
        <f>IF(OR($A52="",Flows!$C53=""),0,IF(AND(38&lt;=Setup!$B$5,38&gt;=$C52,OR(AND($E52="once",38=$C52),AND($E52="weekly",38&lt;=$D52),AND($E52="biweekly",38&lt;=$D52,MOD(38-$C52,2)=0))),Flows!$C53,0))</f>
        <v/>
      </c>
      <c r="AR52" s="13">
        <f>IF(OR($A52="",Flows!$C53=""),0,IF(AND(39&lt;=Setup!$B$5,39&gt;=$C52,OR(AND($E52="once",39=$C52),AND($E52="weekly",39&lt;=$D52),AND($E52="biweekly",39&lt;=$D52,MOD(39-$C52,2)=0))),Flows!$C53,0))</f>
        <v/>
      </c>
      <c r="AS52" s="13">
        <f>IF(OR($A52="",Flows!$C53=""),0,IF(AND(40&lt;=Setup!$B$5,40&gt;=$C52,OR(AND($E52="once",40=$C52),AND($E52="weekly",40&lt;=$D52),AND($E52="biweekly",40&lt;=$D52,MOD(40-$C52,2)=0))),Flows!$C53,0))</f>
        <v/>
      </c>
      <c r="AT52" s="13">
        <f>IF(OR($A52="",Flows!$C53=""),0,IF(AND(41&lt;=Setup!$B$5,41&gt;=$C52,OR(AND($E52="once",41=$C52),AND($E52="weekly",41&lt;=$D52),AND($E52="biweekly",41&lt;=$D52,MOD(41-$C52,2)=0))),Flows!$C53,0))</f>
        <v/>
      </c>
      <c r="AU52" s="13">
        <f>IF(OR($A52="",Flows!$C53=""),0,IF(AND(42&lt;=Setup!$B$5,42&gt;=$C52,OR(AND($E52="once",42=$C52),AND($E52="weekly",42&lt;=$D52),AND($E52="biweekly",42&lt;=$D52,MOD(42-$C52,2)=0))),Flows!$C53,0))</f>
        <v/>
      </c>
      <c r="AV52" s="13">
        <f>IF(OR($A52="",Flows!$C53=""),0,IF(AND(43&lt;=Setup!$B$5,43&gt;=$C52,OR(AND($E52="once",43=$C52),AND($E52="weekly",43&lt;=$D52),AND($E52="biweekly",43&lt;=$D52,MOD(43-$C52,2)=0))),Flows!$C53,0))</f>
        <v/>
      </c>
      <c r="AW52" s="13">
        <f>IF(OR($A52="",Flows!$C53=""),0,IF(AND(44&lt;=Setup!$B$5,44&gt;=$C52,OR(AND($E52="once",44=$C52),AND($E52="weekly",44&lt;=$D52),AND($E52="biweekly",44&lt;=$D52,MOD(44-$C52,2)=0))),Flows!$C53,0))</f>
        <v/>
      </c>
      <c r="AX52" s="13">
        <f>IF(OR($A52="",Flows!$C53=""),0,IF(AND(45&lt;=Setup!$B$5,45&gt;=$C52,OR(AND($E52="once",45=$C52),AND($E52="weekly",45&lt;=$D52),AND($E52="biweekly",45&lt;=$D52,MOD(45-$C52,2)=0))),Flows!$C53,0))</f>
        <v/>
      </c>
      <c r="AY52" s="13">
        <f>IF(OR($A52="",Flows!$C53=""),0,IF(AND(46&lt;=Setup!$B$5,46&gt;=$C52,OR(AND($E52="once",46=$C52),AND($E52="weekly",46&lt;=$D52),AND($E52="biweekly",46&lt;=$D52,MOD(46-$C52,2)=0))),Flows!$C53,0))</f>
        <v/>
      </c>
      <c r="AZ52" s="13">
        <f>IF(OR($A52="",Flows!$C53=""),0,IF(AND(47&lt;=Setup!$B$5,47&gt;=$C52,OR(AND($E52="once",47=$C52),AND($E52="weekly",47&lt;=$D52),AND($E52="biweekly",47&lt;=$D52,MOD(47-$C52,2)=0))),Flows!$C53,0))</f>
        <v/>
      </c>
      <c r="BA52" s="13">
        <f>IF(OR($A52="",Flows!$C53=""),0,IF(AND(48&lt;=Setup!$B$5,48&gt;=$C52,OR(AND($E52="once",48=$C52),AND($E52="weekly",48&lt;=$D52),AND($E52="biweekly",48&lt;=$D52,MOD(48-$C52,2)=0))),Flows!$C53,0))</f>
        <v/>
      </c>
      <c r="BB52" s="13">
        <f>IF(OR($A52="",Flows!$C53=""),0,IF(AND(49&lt;=Setup!$B$5,49&gt;=$C52,OR(AND($E52="once",49=$C52),AND($E52="weekly",49&lt;=$D52),AND($E52="biweekly",49&lt;=$D52,MOD(49-$C52,2)=0))),Flows!$C53,0))</f>
        <v/>
      </c>
      <c r="BC52" s="13">
        <f>IF(OR($A52="",Flows!$C53=""),0,IF(AND(50&lt;=Setup!$B$5,50&gt;=$C52,OR(AND($E52="once",50=$C52),AND($E52="weekly",50&lt;=$D52),AND($E52="biweekly",50&lt;=$D52,MOD(50-$C52,2)=0))),Flows!$C53,0))</f>
        <v/>
      </c>
      <c r="BD52" s="13">
        <f>IF(OR($A52="",Flows!$C53=""),0,IF(AND(51&lt;=Setup!$B$5,51&gt;=$C52,OR(AND($E52="once",51=$C52),AND($E52="weekly",51&lt;=$D52),AND($E52="biweekly",51&lt;=$D52,MOD(51-$C52,2)=0))),Flows!$C53,0))</f>
        <v/>
      </c>
      <c r="BE52" s="13">
        <f>IF(OR($A52="",Flows!$C53=""),0,IF(AND(52&lt;=Setup!$B$5,52&gt;=$C52,OR(AND($E52="once",52=$C52),AND($E52="weekly",52&lt;=$D52),AND($E52="biweekly",52&lt;=$D52,MOD(52-$C52,2)=0))),Flows!$C53,0))</f>
        <v/>
      </c>
    </row>
    <row r="53">
      <c r="A53" s="7">
        <f>IF(Flows!A54="","",LOWER(Flows!A54))</f>
        <v/>
      </c>
      <c r="B53" s="7">
        <f>IF(Flows!B54="","",Flows!B54)</f>
        <v/>
      </c>
      <c r="C53" s="7">
        <f>N(Flows!D54)</f>
        <v/>
      </c>
      <c r="D53" s="7">
        <f>IF(Flows!F54="",Setup!$B$5,Flows!F54)</f>
        <v/>
      </c>
      <c r="E53" s="7">
        <f>IF(Flows!E54="","once",LOWER(Flows!E54))</f>
        <v/>
      </c>
      <c r="F53" s="13">
        <f>IF(OR($A53="",Flows!$C54=""),0,IF(AND(1&lt;=Setup!$B$5,1&gt;=$C53,OR(AND($E53="once",1=$C53),AND($E53="weekly",1&lt;=$D53),AND($E53="biweekly",1&lt;=$D53,MOD(1-$C53,2)=0))),Flows!$C54,0))</f>
        <v/>
      </c>
      <c r="G53" s="13">
        <f>IF(OR($A53="",Flows!$C54=""),0,IF(AND(2&lt;=Setup!$B$5,2&gt;=$C53,OR(AND($E53="once",2=$C53),AND($E53="weekly",2&lt;=$D53),AND($E53="biweekly",2&lt;=$D53,MOD(2-$C53,2)=0))),Flows!$C54,0))</f>
        <v/>
      </c>
      <c r="H53" s="13">
        <f>IF(OR($A53="",Flows!$C54=""),0,IF(AND(3&lt;=Setup!$B$5,3&gt;=$C53,OR(AND($E53="once",3=$C53),AND($E53="weekly",3&lt;=$D53),AND($E53="biweekly",3&lt;=$D53,MOD(3-$C53,2)=0))),Flows!$C54,0))</f>
        <v/>
      </c>
      <c r="I53" s="13">
        <f>IF(OR($A53="",Flows!$C54=""),0,IF(AND(4&lt;=Setup!$B$5,4&gt;=$C53,OR(AND($E53="once",4=$C53),AND($E53="weekly",4&lt;=$D53),AND($E53="biweekly",4&lt;=$D53,MOD(4-$C53,2)=0))),Flows!$C54,0))</f>
        <v/>
      </c>
      <c r="J53" s="13">
        <f>IF(OR($A53="",Flows!$C54=""),0,IF(AND(5&lt;=Setup!$B$5,5&gt;=$C53,OR(AND($E53="once",5=$C53),AND($E53="weekly",5&lt;=$D53),AND($E53="biweekly",5&lt;=$D53,MOD(5-$C53,2)=0))),Flows!$C54,0))</f>
        <v/>
      </c>
      <c r="K53" s="13">
        <f>IF(OR($A53="",Flows!$C54=""),0,IF(AND(6&lt;=Setup!$B$5,6&gt;=$C53,OR(AND($E53="once",6=$C53),AND($E53="weekly",6&lt;=$D53),AND($E53="biweekly",6&lt;=$D53,MOD(6-$C53,2)=0))),Flows!$C54,0))</f>
        <v/>
      </c>
      <c r="L53" s="13">
        <f>IF(OR($A53="",Flows!$C54=""),0,IF(AND(7&lt;=Setup!$B$5,7&gt;=$C53,OR(AND($E53="once",7=$C53),AND($E53="weekly",7&lt;=$D53),AND($E53="biweekly",7&lt;=$D53,MOD(7-$C53,2)=0))),Flows!$C54,0))</f>
        <v/>
      </c>
      <c r="M53" s="13">
        <f>IF(OR($A53="",Flows!$C54=""),0,IF(AND(8&lt;=Setup!$B$5,8&gt;=$C53,OR(AND($E53="once",8=$C53),AND($E53="weekly",8&lt;=$D53),AND($E53="biweekly",8&lt;=$D53,MOD(8-$C53,2)=0))),Flows!$C54,0))</f>
        <v/>
      </c>
      <c r="N53" s="13">
        <f>IF(OR($A53="",Flows!$C54=""),0,IF(AND(9&lt;=Setup!$B$5,9&gt;=$C53,OR(AND($E53="once",9=$C53),AND($E53="weekly",9&lt;=$D53),AND($E53="biweekly",9&lt;=$D53,MOD(9-$C53,2)=0))),Flows!$C54,0))</f>
        <v/>
      </c>
      <c r="O53" s="13">
        <f>IF(OR($A53="",Flows!$C54=""),0,IF(AND(10&lt;=Setup!$B$5,10&gt;=$C53,OR(AND($E53="once",10=$C53),AND($E53="weekly",10&lt;=$D53),AND($E53="biweekly",10&lt;=$D53,MOD(10-$C53,2)=0))),Flows!$C54,0))</f>
        <v/>
      </c>
      <c r="P53" s="13">
        <f>IF(OR($A53="",Flows!$C54=""),0,IF(AND(11&lt;=Setup!$B$5,11&gt;=$C53,OR(AND($E53="once",11=$C53),AND($E53="weekly",11&lt;=$D53),AND($E53="biweekly",11&lt;=$D53,MOD(11-$C53,2)=0))),Flows!$C54,0))</f>
        <v/>
      </c>
      <c r="Q53" s="13">
        <f>IF(OR($A53="",Flows!$C54=""),0,IF(AND(12&lt;=Setup!$B$5,12&gt;=$C53,OR(AND($E53="once",12=$C53),AND($E53="weekly",12&lt;=$D53),AND($E53="biweekly",12&lt;=$D53,MOD(12-$C53,2)=0))),Flows!$C54,0))</f>
        <v/>
      </c>
      <c r="R53" s="13">
        <f>IF(OR($A53="",Flows!$C54=""),0,IF(AND(13&lt;=Setup!$B$5,13&gt;=$C53,OR(AND($E53="once",13=$C53),AND($E53="weekly",13&lt;=$D53),AND($E53="biweekly",13&lt;=$D53,MOD(13-$C53,2)=0))),Flows!$C54,0))</f>
        <v/>
      </c>
      <c r="S53" s="13">
        <f>IF(OR($A53="",Flows!$C54=""),0,IF(AND(14&lt;=Setup!$B$5,14&gt;=$C53,OR(AND($E53="once",14=$C53),AND($E53="weekly",14&lt;=$D53),AND($E53="biweekly",14&lt;=$D53,MOD(14-$C53,2)=0))),Flows!$C54,0))</f>
        <v/>
      </c>
      <c r="T53" s="13">
        <f>IF(OR($A53="",Flows!$C54=""),0,IF(AND(15&lt;=Setup!$B$5,15&gt;=$C53,OR(AND($E53="once",15=$C53),AND($E53="weekly",15&lt;=$D53),AND($E53="biweekly",15&lt;=$D53,MOD(15-$C53,2)=0))),Flows!$C54,0))</f>
        <v/>
      </c>
      <c r="U53" s="13">
        <f>IF(OR($A53="",Flows!$C54=""),0,IF(AND(16&lt;=Setup!$B$5,16&gt;=$C53,OR(AND($E53="once",16=$C53),AND($E53="weekly",16&lt;=$D53),AND($E53="biweekly",16&lt;=$D53,MOD(16-$C53,2)=0))),Flows!$C54,0))</f>
        <v/>
      </c>
      <c r="V53" s="13">
        <f>IF(OR($A53="",Flows!$C54=""),0,IF(AND(17&lt;=Setup!$B$5,17&gt;=$C53,OR(AND($E53="once",17=$C53),AND($E53="weekly",17&lt;=$D53),AND($E53="biweekly",17&lt;=$D53,MOD(17-$C53,2)=0))),Flows!$C54,0))</f>
        <v/>
      </c>
      <c r="W53" s="13">
        <f>IF(OR($A53="",Flows!$C54=""),0,IF(AND(18&lt;=Setup!$B$5,18&gt;=$C53,OR(AND($E53="once",18=$C53),AND($E53="weekly",18&lt;=$D53),AND($E53="biweekly",18&lt;=$D53,MOD(18-$C53,2)=0))),Flows!$C54,0))</f>
        <v/>
      </c>
      <c r="X53" s="13">
        <f>IF(OR($A53="",Flows!$C54=""),0,IF(AND(19&lt;=Setup!$B$5,19&gt;=$C53,OR(AND($E53="once",19=$C53),AND($E53="weekly",19&lt;=$D53),AND($E53="biweekly",19&lt;=$D53,MOD(19-$C53,2)=0))),Flows!$C54,0))</f>
        <v/>
      </c>
      <c r="Y53" s="13">
        <f>IF(OR($A53="",Flows!$C54=""),0,IF(AND(20&lt;=Setup!$B$5,20&gt;=$C53,OR(AND($E53="once",20=$C53),AND($E53="weekly",20&lt;=$D53),AND($E53="biweekly",20&lt;=$D53,MOD(20-$C53,2)=0))),Flows!$C54,0))</f>
        <v/>
      </c>
      <c r="Z53" s="13">
        <f>IF(OR($A53="",Flows!$C54=""),0,IF(AND(21&lt;=Setup!$B$5,21&gt;=$C53,OR(AND($E53="once",21=$C53),AND($E53="weekly",21&lt;=$D53),AND($E53="biweekly",21&lt;=$D53,MOD(21-$C53,2)=0))),Flows!$C54,0))</f>
        <v/>
      </c>
      <c r="AA53" s="13">
        <f>IF(OR($A53="",Flows!$C54=""),0,IF(AND(22&lt;=Setup!$B$5,22&gt;=$C53,OR(AND($E53="once",22=$C53),AND($E53="weekly",22&lt;=$D53),AND($E53="biweekly",22&lt;=$D53,MOD(22-$C53,2)=0))),Flows!$C54,0))</f>
        <v/>
      </c>
      <c r="AB53" s="13">
        <f>IF(OR($A53="",Flows!$C54=""),0,IF(AND(23&lt;=Setup!$B$5,23&gt;=$C53,OR(AND($E53="once",23=$C53),AND($E53="weekly",23&lt;=$D53),AND($E53="biweekly",23&lt;=$D53,MOD(23-$C53,2)=0))),Flows!$C54,0))</f>
        <v/>
      </c>
      <c r="AC53" s="13">
        <f>IF(OR($A53="",Flows!$C54=""),0,IF(AND(24&lt;=Setup!$B$5,24&gt;=$C53,OR(AND($E53="once",24=$C53),AND($E53="weekly",24&lt;=$D53),AND($E53="biweekly",24&lt;=$D53,MOD(24-$C53,2)=0))),Flows!$C54,0))</f>
        <v/>
      </c>
      <c r="AD53" s="13">
        <f>IF(OR($A53="",Flows!$C54=""),0,IF(AND(25&lt;=Setup!$B$5,25&gt;=$C53,OR(AND($E53="once",25=$C53),AND($E53="weekly",25&lt;=$D53),AND($E53="biweekly",25&lt;=$D53,MOD(25-$C53,2)=0))),Flows!$C54,0))</f>
        <v/>
      </c>
      <c r="AE53" s="13">
        <f>IF(OR($A53="",Flows!$C54=""),0,IF(AND(26&lt;=Setup!$B$5,26&gt;=$C53,OR(AND($E53="once",26=$C53),AND($E53="weekly",26&lt;=$D53),AND($E53="biweekly",26&lt;=$D53,MOD(26-$C53,2)=0))),Flows!$C54,0))</f>
        <v/>
      </c>
      <c r="AF53" s="13">
        <f>IF(OR($A53="",Flows!$C54=""),0,IF(AND(27&lt;=Setup!$B$5,27&gt;=$C53,OR(AND($E53="once",27=$C53),AND($E53="weekly",27&lt;=$D53),AND($E53="biweekly",27&lt;=$D53,MOD(27-$C53,2)=0))),Flows!$C54,0))</f>
        <v/>
      </c>
      <c r="AG53" s="13">
        <f>IF(OR($A53="",Flows!$C54=""),0,IF(AND(28&lt;=Setup!$B$5,28&gt;=$C53,OR(AND($E53="once",28=$C53),AND($E53="weekly",28&lt;=$D53),AND($E53="biweekly",28&lt;=$D53,MOD(28-$C53,2)=0))),Flows!$C54,0))</f>
        <v/>
      </c>
      <c r="AH53" s="13">
        <f>IF(OR($A53="",Flows!$C54=""),0,IF(AND(29&lt;=Setup!$B$5,29&gt;=$C53,OR(AND($E53="once",29=$C53),AND($E53="weekly",29&lt;=$D53),AND($E53="biweekly",29&lt;=$D53,MOD(29-$C53,2)=0))),Flows!$C54,0))</f>
        <v/>
      </c>
      <c r="AI53" s="13">
        <f>IF(OR($A53="",Flows!$C54=""),0,IF(AND(30&lt;=Setup!$B$5,30&gt;=$C53,OR(AND($E53="once",30=$C53),AND($E53="weekly",30&lt;=$D53),AND($E53="biweekly",30&lt;=$D53,MOD(30-$C53,2)=0))),Flows!$C54,0))</f>
        <v/>
      </c>
      <c r="AJ53" s="13">
        <f>IF(OR($A53="",Flows!$C54=""),0,IF(AND(31&lt;=Setup!$B$5,31&gt;=$C53,OR(AND($E53="once",31=$C53),AND($E53="weekly",31&lt;=$D53),AND($E53="biweekly",31&lt;=$D53,MOD(31-$C53,2)=0))),Flows!$C54,0))</f>
        <v/>
      </c>
      <c r="AK53" s="13">
        <f>IF(OR($A53="",Flows!$C54=""),0,IF(AND(32&lt;=Setup!$B$5,32&gt;=$C53,OR(AND($E53="once",32=$C53),AND($E53="weekly",32&lt;=$D53),AND($E53="biweekly",32&lt;=$D53,MOD(32-$C53,2)=0))),Flows!$C54,0))</f>
        <v/>
      </c>
      <c r="AL53" s="13">
        <f>IF(OR($A53="",Flows!$C54=""),0,IF(AND(33&lt;=Setup!$B$5,33&gt;=$C53,OR(AND($E53="once",33=$C53),AND($E53="weekly",33&lt;=$D53),AND($E53="biweekly",33&lt;=$D53,MOD(33-$C53,2)=0))),Flows!$C54,0))</f>
        <v/>
      </c>
      <c r="AM53" s="13">
        <f>IF(OR($A53="",Flows!$C54=""),0,IF(AND(34&lt;=Setup!$B$5,34&gt;=$C53,OR(AND($E53="once",34=$C53),AND($E53="weekly",34&lt;=$D53),AND($E53="biweekly",34&lt;=$D53,MOD(34-$C53,2)=0))),Flows!$C54,0))</f>
        <v/>
      </c>
      <c r="AN53" s="13">
        <f>IF(OR($A53="",Flows!$C54=""),0,IF(AND(35&lt;=Setup!$B$5,35&gt;=$C53,OR(AND($E53="once",35=$C53),AND($E53="weekly",35&lt;=$D53),AND($E53="biweekly",35&lt;=$D53,MOD(35-$C53,2)=0))),Flows!$C54,0))</f>
        <v/>
      </c>
      <c r="AO53" s="13">
        <f>IF(OR($A53="",Flows!$C54=""),0,IF(AND(36&lt;=Setup!$B$5,36&gt;=$C53,OR(AND($E53="once",36=$C53),AND($E53="weekly",36&lt;=$D53),AND($E53="biweekly",36&lt;=$D53,MOD(36-$C53,2)=0))),Flows!$C54,0))</f>
        <v/>
      </c>
      <c r="AP53" s="13">
        <f>IF(OR($A53="",Flows!$C54=""),0,IF(AND(37&lt;=Setup!$B$5,37&gt;=$C53,OR(AND($E53="once",37=$C53),AND($E53="weekly",37&lt;=$D53),AND($E53="biweekly",37&lt;=$D53,MOD(37-$C53,2)=0))),Flows!$C54,0))</f>
        <v/>
      </c>
      <c r="AQ53" s="13">
        <f>IF(OR($A53="",Flows!$C54=""),0,IF(AND(38&lt;=Setup!$B$5,38&gt;=$C53,OR(AND($E53="once",38=$C53),AND($E53="weekly",38&lt;=$D53),AND($E53="biweekly",38&lt;=$D53,MOD(38-$C53,2)=0))),Flows!$C54,0))</f>
        <v/>
      </c>
      <c r="AR53" s="13">
        <f>IF(OR($A53="",Flows!$C54=""),0,IF(AND(39&lt;=Setup!$B$5,39&gt;=$C53,OR(AND($E53="once",39=$C53),AND($E53="weekly",39&lt;=$D53),AND($E53="biweekly",39&lt;=$D53,MOD(39-$C53,2)=0))),Flows!$C54,0))</f>
        <v/>
      </c>
      <c r="AS53" s="13">
        <f>IF(OR($A53="",Flows!$C54=""),0,IF(AND(40&lt;=Setup!$B$5,40&gt;=$C53,OR(AND($E53="once",40=$C53),AND($E53="weekly",40&lt;=$D53),AND($E53="biweekly",40&lt;=$D53,MOD(40-$C53,2)=0))),Flows!$C54,0))</f>
        <v/>
      </c>
      <c r="AT53" s="13">
        <f>IF(OR($A53="",Flows!$C54=""),0,IF(AND(41&lt;=Setup!$B$5,41&gt;=$C53,OR(AND($E53="once",41=$C53),AND($E53="weekly",41&lt;=$D53),AND($E53="biweekly",41&lt;=$D53,MOD(41-$C53,2)=0))),Flows!$C54,0))</f>
        <v/>
      </c>
      <c r="AU53" s="13">
        <f>IF(OR($A53="",Flows!$C54=""),0,IF(AND(42&lt;=Setup!$B$5,42&gt;=$C53,OR(AND($E53="once",42=$C53),AND($E53="weekly",42&lt;=$D53),AND($E53="biweekly",42&lt;=$D53,MOD(42-$C53,2)=0))),Flows!$C54,0))</f>
        <v/>
      </c>
      <c r="AV53" s="13">
        <f>IF(OR($A53="",Flows!$C54=""),0,IF(AND(43&lt;=Setup!$B$5,43&gt;=$C53,OR(AND($E53="once",43=$C53),AND($E53="weekly",43&lt;=$D53),AND($E53="biweekly",43&lt;=$D53,MOD(43-$C53,2)=0))),Flows!$C54,0))</f>
        <v/>
      </c>
      <c r="AW53" s="13">
        <f>IF(OR($A53="",Flows!$C54=""),0,IF(AND(44&lt;=Setup!$B$5,44&gt;=$C53,OR(AND($E53="once",44=$C53),AND($E53="weekly",44&lt;=$D53),AND($E53="biweekly",44&lt;=$D53,MOD(44-$C53,2)=0))),Flows!$C54,0))</f>
        <v/>
      </c>
      <c r="AX53" s="13">
        <f>IF(OR($A53="",Flows!$C54=""),0,IF(AND(45&lt;=Setup!$B$5,45&gt;=$C53,OR(AND($E53="once",45=$C53),AND($E53="weekly",45&lt;=$D53),AND($E53="biweekly",45&lt;=$D53,MOD(45-$C53,2)=0))),Flows!$C54,0))</f>
        <v/>
      </c>
      <c r="AY53" s="13">
        <f>IF(OR($A53="",Flows!$C54=""),0,IF(AND(46&lt;=Setup!$B$5,46&gt;=$C53,OR(AND($E53="once",46=$C53),AND($E53="weekly",46&lt;=$D53),AND($E53="biweekly",46&lt;=$D53,MOD(46-$C53,2)=0))),Flows!$C54,0))</f>
        <v/>
      </c>
      <c r="AZ53" s="13">
        <f>IF(OR($A53="",Flows!$C54=""),0,IF(AND(47&lt;=Setup!$B$5,47&gt;=$C53,OR(AND($E53="once",47=$C53),AND($E53="weekly",47&lt;=$D53),AND($E53="biweekly",47&lt;=$D53,MOD(47-$C53,2)=0))),Flows!$C54,0))</f>
        <v/>
      </c>
      <c r="BA53" s="13">
        <f>IF(OR($A53="",Flows!$C54=""),0,IF(AND(48&lt;=Setup!$B$5,48&gt;=$C53,OR(AND($E53="once",48=$C53),AND($E53="weekly",48&lt;=$D53),AND($E53="biweekly",48&lt;=$D53,MOD(48-$C53,2)=0))),Flows!$C54,0))</f>
        <v/>
      </c>
      <c r="BB53" s="13">
        <f>IF(OR($A53="",Flows!$C54=""),0,IF(AND(49&lt;=Setup!$B$5,49&gt;=$C53,OR(AND($E53="once",49=$C53),AND($E53="weekly",49&lt;=$D53),AND($E53="biweekly",49&lt;=$D53,MOD(49-$C53,2)=0))),Flows!$C54,0))</f>
        <v/>
      </c>
      <c r="BC53" s="13">
        <f>IF(OR($A53="",Flows!$C54=""),0,IF(AND(50&lt;=Setup!$B$5,50&gt;=$C53,OR(AND($E53="once",50=$C53),AND($E53="weekly",50&lt;=$D53),AND($E53="biweekly",50&lt;=$D53,MOD(50-$C53,2)=0))),Flows!$C54,0))</f>
        <v/>
      </c>
      <c r="BD53" s="13">
        <f>IF(OR($A53="",Flows!$C54=""),0,IF(AND(51&lt;=Setup!$B$5,51&gt;=$C53,OR(AND($E53="once",51=$C53),AND($E53="weekly",51&lt;=$D53),AND($E53="biweekly",51&lt;=$D53,MOD(51-$C53,2)=0))),Flows!$C54,0))</f>
        <v/>
      </c>
      <c r="BE53" s="13">
        <f>IF(OR($A53="",Flows!$C54=""),0,IF(AND(52&lt;=Setup!$B$5,52&gt;=$C53,OR(AND($E53="once",52=$C53),AND($E53="weekly",52&lt;=$D53),AND($E53="biweekly",52&lt;=$D53,MOD(52-$C53,2)=0))),Flows!$C54,0))</f>
        <v/>
      </c>
    </row>
    <row r="54">
      <c r="A54" s="7">
        <f>IF(Flows!A55="","",LOWER(Flows!A55))</f>
        <v/>
      </c>
      <c r="B54" s="7">
        <f>IF(Flows!B55="","",Flows!B55)</f>
        <v/>
      </c>
      <c r="C54" s="7">
        <f>N(Flows!D55)</f>
        <v/>
      </c>
      <c r="D54" s="7">
        <f>IF(Flows!F55="",Setup!$B$5,Flows!F55)</f>
        <v/>
      </c>
      <c r="E54" s="7">
        <f>IF(Flows!E55="","once",LOWER(Flows!E55))</f>
        <v/>
      </c>
      <c r="F54" s="13">
        <f>IF(OR($A54="",Flows!$C55=""),0,IF(AND(1&lt;=Setup!$B$5,1&gt;=$C54,OR(AND($E54="once",1=$C54),AND($E54="weekly",1&lt;=$D54),AND($E54="biweekly",1&lt;=$D54,MOD(1-$C54,2)=0))),Flows!$C55,0))</f>
        <v/>
      </c>
      <c r="G54" s="13">
        <f>IF(OR($A54="",Flows!$C55=""),0,IF(AND(2&lt;=Setup!$B$5,2&gt;=$C54,OR(AND($E54="once",2=$C54),AND($E54="weekly",2&lt;=$D54),AND($E54="biweekly",2&lt;=$D54,MOD(2-$C54,2)=0))),Flows!$C55,0))</f>
        <v/>
      </c>
      <c r="H54" s="13">
        <f>IF(OR($A54="",Flows!$C55=""),0,IF(AND(3&lt;=Setup!$B$5,3&gt;=$C54,OR(AND($E54="once",3=$C54),AND($E54="weekly",3&lt;=$D54),AND($E54="biweekly",3&lt;=$D54,MOD(3-$C54,2)=0))),Flows!$C55,0))</f>
        <v/>
      </c>
      <c r="I54" s="13">
        <f>IF(OR($A54="",Flows!$C55=""),0,IF(AND(4&lt;=Setup!$B$5,4&gt;=$C54,OR(AND($E54="once",4=$C54),AND($E54="weekly",4&lt;=$D54),AND($E54="biweekly",4&lt;=$D54,MOD(4-$C54,2)=0))),Flows!$C55,0))</f>
        <v/>
      </c>
      <c r="J54" s="13">
        <f>IF(OR($A54="",Flows!$C55=""),0,IF(AND(5&lt;=Setup!$B$5,5&gt;=$C54,OR(AND($E54="once",5=$C54),AND($E54="weekly",5&lt;=$D54),AND($E54="biweekly",5&lt;=$D54,MOD(5-$C54,2)=0))),Flows!$C55,0))</f>
        <v/>
      </c>
      <c r="K54" s="13">
        <f>IF(OR($A54="",Flows!$C55=""),0,IF(AND(6&lt;=Setup!$B$5,6&gt;=$C54,OR(AND($E54="once",6=$C54),AND($E54="weekly",6&lt;=$D54),AND($E54="biweekly",6&lt;=$D54,MOD(6-$C54,2)=0))),Flows!$C55,0))</f>
        <v/>
      </c>
      <c r="L54" s="13">
        <f>IF(OR($A54="",Flows!$C55=""),0,IF(AND(7&lt;=Setup!$B$5,7&gt;=$C54,OR(AND($E54="once",7=$C54),AND($E54="weekly",7&lt;=$D54),AND($E54="biweekly",7&lt;=$D54,MOD(7-$C54,2)=0))),Flows!$C55,0))</f>
        <v/>
      </c>
      <c r="M54" s="13">
        <f>IF(OR($A54="",Flows!$C55=""),0,IF(AND(8&lt;=Setup!$B$5,8&gt;=$C54,OR(AND($E54="once",8=$C54),AND($E54="weekly",8&lt;=$D54),AND($E54="biweekly",8&lt;=$D54,MOD(8-$C54,2)=0))),Flows!$C55,0))</f>
        <v/>
      </c>
      <c r="N54" s="13">
        <f>IF(OR($A54="",Flows!$C55=""),0,IF(AND(9&lt;=Setup!$B$5,9&gt;=$C54,OR(AND($E54="once",9=$C54),AND($E54="weekly",9&lt;=$D54),AND($E54="biweekly",9&lt;=$D54,MOD(9-$C54,2)=0))),Flows!$C55,0))</f>
        <v/>
      </c>
      <c r="O54" s="13">
        <f>IF(OR($A54="",Flows!$C55=""),0,IF(AND(10&lt;=Setup!$B$5,10&gt;=$C54,OR(AND($E54="once",10=$C54),AND($E54="weekly",10&lt;=$D54),AND($E54="biweekly",10&lt;=$D54,MOD(10-$C54,2)=0))),Flows!$C55,0))</f>
        <v/>
      </c>
      <c r="P54" s="13">
        <f>IF(OR($A54="",Flows!$C55=""),0,IF(AND(11&lt;=Setup!$B$5,11&gt;=$C54,OR(AND($E54="once",11=$C54),AND($E54="weekly",11&lt;=$D54),AND($E54="biweekly",11&lt;=$D54,MOD(11-$C54,2)=0))),Flows!$C55,0))</f>
        <v/>
      </c>
      <c r="Q54" s="13">
        <f>IF(OR($A54="",Flows!$C55=""),0,IF(AND(12&lt;=Setup!$B$5,12&gt;=$C54,OR(AND($E54="once",12=$C54),AND($E54="weekly",12&lt;=$D54),AND($E54="biweekly",12&lt;=$D54,MOD(12-$C54,2)=0))),Flows!$C55,0))</f>
        <v/>
      </c>
      <c r="R54" s="13">
        <f>IF(OR($A54="",Flows!$C55=""),0,IF(AND(13&lt;=Setup!$B$5,13&gt;=$C54,OR(AND($E54="once",13=$C54),AND($E54="weekly",13&lt;=$D54),AND($E54="biweekly",13&lt;=$D54,MOD(13-$C54,2)=0))),Flows!$C55,0))</f>
        <v/>
      </c>
      <c r="S54" s="13">
        <f>IF(OR($A54="",Flows!$C55=""),0,IF(AND(14&lt;=Setup!$B$5,14&gt;=$C54,OR(AND($E54="once",14=$C54),AND($E54="weekly",14&lt;=$D54),AND($E54="biweekly",14&lt;=$D54,MOD(14-$C54,2)=0))),Flows!$C55,0))</f>
        <v/>
      </c>
      <c r="T54" s="13">
        <f>IF(OR($A54="",Flows!$C55=""),0,IF(AND(15&lt;=Setup!$B$5,15&gt;=$C54,OR(AND($E54="once",15=$C54),AND($E54="weekly",15&lt;=$D54),AND($E54="biweekly",15&lt;=$D54,MOD(15-$C54,2)=0))),Flows!$C55,0))</f>
        <v/>
      </c>
      <c r="U54" s="13">
        <f>IF(OR($A54="",Flows!$C55=""),0,IF(AND(16&lt;=Setup!$B$5,16&gt;=$C54,OR(AND($E54="once",16=$C54),AND($E54="weekly",16&lt;=$D54),AND($E54="biweekly",16&lt;=$D54,MOD(16-$C54,2)=0))),Flows!$C55,0))</f>
        <v/>
      </c>
      <c r="V54" s="13">
        <f>IF(OR($A54="",Flows!$C55=""),0,IF(AND(17&lt;=Setup!$B$5,17&gt;=$C54,OR(AND($E54="once",17=$C54),AND($E54="weekly",17&lt;=$D54),AND($E54="biweekly",17&lt;=$D54,MOD(17-$C54,2)=0))),Flows!$C55,0))</f>
        <v/>
      </c>
      <c r="W54" s="13">
        <f>IF(OR($A54="",Flows!$C55=""),0,IF(AND(18&lt;=Setup!$B$5,18&gt;=$C54,OR(AND($E54="once",18=$C54),AND($E54="weekly",18&lt;=$D54),AND($E54="biweekly",18&lt;=$D54,MOD(18-$C54,2)=0))),Flows!$C55,0))</f>
        <v/>
      </c>
      <c r="X54" s="13">
        <f>IF(OR($A54="",Flows!$C55=""),0,IF(AND(19&lt;=Setup!$B$5,19&gt;=$C54,OR(AND($E54="once",19=$C54),AND($E54="weekly",19&lt;=$D54),AND($E54="biweekly",19&lt;=$D54,MOD(19-$C54,2)=0))),Flows!$C55,0))</f>
        <v/>
      </c>
      <c r="Y54" s="13">
        <f>IF(OR($A54="",Flows!$C55=""),0,IF(AND(20&lt;=Setup!$B$5,20&gt;=$C54,OR(AND($E54="once",20=$C54),AND($E54="weekly",20&lt;=$D54),AND($E54="biweekly",20&lt;=$D54,MOD(20-$C54,2)=0))),Flows!$C55,0))</f>
        <v/>
      </c>
      <c r="Z54" s="13">
        <f>IF(OR($A54="",Flows!$C55=""),0,IF(AND(21&lt;=Setup!$B$5,21&gt;=$C54,OR(AND($E54="once",21=$C54),AND($E54="weekly",21&lt;=$D54),AND($E54="biweekly",21&lt;=$D54,MOD(21-$C54,2)=0))),Flows!$C55,0))</f>
        <v/>
      </c>
      <c r="AA54" s="13">
        <f>IF(OR($A54="",Flows!$C55=""),0,IF(AND(22&lt;=Setup!$B$5,22&gt;=$C54,OR(AND($E54="once",22=$C54),AND($E54="weekly",22&lt;=$D54),AND($E54="biweekly",22&lt;=$D54,MOD(22-$C54,2)=0))),Flows!$C55,0))</f>
        <v/>
      </c>
      <c r="AB54" s="13">
        <f>IF(OR($A54="",Flows!$C55=""),0,IF(AND(23&lt;=Setup!$B$5,23&gt;=$C54,OR(AND($E54="once",23=$C54),AND($E54="weekly",23&lt;=$D54),AND($E54="biweekly",23&lt;=$D54,MOD(23-$C54,2)=0))),Flows!$C55,0))</f>
        <v/>
      </c>
      <c r="AC54" s="13">
        <f>IF(OR($A54="",Flows!$C55=""),0,IF(AND(24&lt;=Setup!$B$5,24&gt;=$C54,OR(AND($E54="once",24=$C54),AND($E54="weekly",24&lt;=$D54),AND($E54="biweekly",24&lt;=$D54,MOD(24-$C54,2)=0))),Flows!$C55,0))</f>
        <v/>
      </c>
      <c r="AD54" s="13">
        <f>IF(OR($A54="",Flows!$C55=""),0,IF(AND(25&lt;=Setup!$B$5,25&gt;=$C54,OR(AND($E54="once",25=$C54),AND($E54="weekly",25&lt;=$D54),AND($E54="biweekly",25&lt;=$D54,MOD(25-$C54,2)=0))),Flows!$C55,0))</f>
        <v/>
      </c>
      <c r="AE54" s="13">
        <f>IF(OR($A54="",Flows!$C55=""),0,IF(AND(26&lt;=Setup!$B$5,26&gt;=$C54,OR(AND($E54="once",26=$C54),AND($E54="weekly",26&lt;=$D54),AND($E54="biweekly",26&lt;=$D54,MOD(26-$C54,2)=0))),Flows!$C55,0))</f>
        <v/>
      </c>
      <c r="AF54" s="13">
        <f>IF(OR($A54="",Flows!$C55=""),0,IF(AND(27&lt;=Setup!$B$5,27&gt;=$C54,OR(AND($E54="once",27=$C54),AND($E54="weekly",27&lt;=$D54),AND($E54="biweekly",27&lt;=$D54,MOD(27-$C54,2)=0))),Flows!$C55,0))</f>
        <v/>
      </c>
      <c r="AG54" s="13">
        <f>IF(OR($A54="",Flows!$C55=""),0,IF(AND(28&lt;=Setup!$B$5,28&gt;=$C54,OR(AND($E54="once",28=$C54),AND($E54="weekly",28&lt;=$D54),AND($E54="biweekly",28&lt;=$D54,MOD(28-$C54,2)=0))),Flows!$C55,0))</f>
        <v/>
      </c>
      <c r="AH54" s="13">
        <f>IF(OR($A54="",Flows!$C55=""),0,IF(AND(29&lt;=Setup!$B$5,29&gt;=$C54,OR(AND($E54="once",29=$C54),AND($E54="weekly",29&lt;=$D54),AND($E54="biweekly",29&lt;=$D54,MOD(29-$C54,2)=0))),Flows!$C55,0))</f>
        <v/>
      </c>
      <c r="AI54" s="13">
        <f>IF(OR($A54="",Flows!$C55=""),0,IF(AND(30&lt;=Setup!$B$5,30&gt;=$C54,OR(AND($E54="once",30=$C54),AND($E54="weekly",30&lt;=$D54),AND($E54="biweekly",30&lt;=$D54,MOD(30-$C54,2)=0))),Flows!$C55,0))</f>
        <v/>
      </c>
      <c r="AJ54" s="13">
        <f>IF(OR($A54="",Flows!$C55=""),0,IF(AND(31&lt;=Setup!$B$5,31&gt;=$C54,OR(AND($E54="once",31=$C54),AND($E54="weekly",31&lt;=$D54),AND($E54="biweekly",31&lt;=$D54,MOD(31-$C54,2)=0))),Flows!$C55,0))</f>
        <v/>
      </c>
      <c r="AK54" s="13">
        <f>IF(OR($A54="",Flows!$C55=""),0,IF(AND(32&lt;=Setup!$B$5,32&gt;=$C54,OR(AND($E54="once",32=$C54),AND($E54="weekly",32&lt;=$D54),AND($E54="biweekly",32&lt;=$D54,MOD(32-$C54,2)=0))),Flows!$C55,0))</f>
        <v/>
      </c>
      <c r="AL54" s="13">
        <f>IF(OR($A54="",Flows!$C55=""),0,IF(AND(33&lt;=Setup!$B$5,33&gt;=$C54,OR(AND($E54="once",33=$C54),AND($E54="weekly",33&lt;=$D54),AND($E54="biweekly",33&lt;=$D54,MOD(33-$C54,2)=0))),Flows!$C55,0))</f>
        <v/>
      </c>
      <c r="AM54" s="13">
        <f>IF(OR($A54="",Flows!$C55=""),0,IF(AND(34&lt;=Setup!$B$5,34&gt;=$C54,OR(AND($E54="once",34=$C54),AND($E54="weekly",34&lt;=$D54),AND($E54="biweekly",34&lt;=$D54,MOD(34-$C54,2)=0))),Flows!$C55,0))</f>
        <v/>
      </c>
      <c r="AN54" s="13">
        <f>IF(OR($A54="",Flows!$C55=""),0,IF(AND(35&lt;=Setup!$B$5,35&gt;=$C54,OR(AND($E54="once",35=$C54),AND($E54="weekly",35&lt;=$D54),AND($E54="biweekly",35&lt;=$D54,MOD(35-$C54,2)=0))),Flows!$C55,0))</f>
        <v/>
      </c>
      <c r="AO54" s="13">
        <f>IF(OR($A54="",Flows!$C55=""),0,IF(AND(36&lt;=Setup!$B$5,36&gt;=$C54,OR(AND($E54="once",36=$C54),AND($E54="weekly",36&lt;=$D54),AND($E54="biweekly",36&lt;=$D54,MOD(36-$C54,2)=0))),Flows!$C55,0))</f>
        <v/>
      </c>
      <c r="AP54" s="13">
        <f>IF(OR($A54="",Flows!$C55=""),0,IF(AND(37&lt;=Setup!$B$5,37&gt;=$C54,OR(AND($E54="once",37=$C54),AND($E54="weekly",37&lt;=$D54),AND($E54="biweekly",37&lt;=$D54,MOD(37-$C54,2)=0))),Flows!$C55,0))</f>
        <v/>
      </c>
      <c r="AQ54" s="13">
        <f>IF(OR($A54="",Flows!$C55=""),0,IF(AND(38&lt;=Setup!$B$5,38&gt;=$C54,OR(AND($E54="once",38=$C54),AND($E54="weekly",38&lt;=$D54),AND($E54="biweekly",38&lt;=$D54,MOD(38-$C54,2)=0))),Flows!$C55,0))</f>
        <v/>
      </c>
      <c r="AR54" s="13">
        <f>IF(OR($A54="",Flows!$C55=""),0,IF(AND(39&lt;=Setup!$B$5,39&gt;=$C54,OR(AND($E54="once",39=$C54),AND($E54="weekly",39&lt;=$D54),AND($E54="biweekly",39&lt;=$D54,MOD(39-$C54,2)=0))),Flows!$C55,0))</f>
        <v/>
      </c>
      <c r="AS54" s="13">
        <f>IF(OR($A54="",Flows!$C55=""),0,IF(AND(40&lt;=Setup!$B$5,40&gt;=$C54,OR(AND($E54="once",40=$C54),AND($E54="weekly",40&lt;=$D54),AND($E54="biweekly",40&lt;=$D54,MOD(40-$C54,2)=0))),Flows!$C55,0))</f>
        <v/>
      </c>
      <c r="AT54" s="13">
        <f>IF(OR($A54="",Flows!$C55=""),0,IF(AND(41&lt;=Setup!$B$5,41&gt;=$C54,OR(AND($E54="once",41=$C54),AND($E54="weekly",41&lt;=$D54),AND($E54="biweekly",41&lt;=$D54,MOD(41-$C54,2)=0))),Flows!$C55,0))</f>
        <v/>
      </c>
      <c r="AU54" s="13">
        <f>IF(OR($A54="",Flows!$C55=""),0,IF(AND(42&lt;=Setup!$B$5,42&gt;=$C54,OR(AND($E54="once",42=$C54),AND($E54="weekly",42&lt;=$D54),AND($E54="biweekly",42&lt;=$D54,MOD(42-$C54,2)=0))),Flows!$C55,0))</f>
        <v/>
      </c>
      <c r="AV54" s="13">
        <f>IF(OR($A54="",Flows!$C55=""),0,IF(AND(43&lt;=Setup!$B$5,43&gt;=$C54,OR(AND($E54="once",43=$C54),AND($E54="weekly",43&lt;=$D54),AND($E54="biweekly",43&lt;=$D54,MOD(43-$C54,2)=0))),Flows!$C55,0))</f>
        <v/>
      </c>
      <c r="AW54" s="13">
        <f>IF(OR($A54="",Flows!$C55=""),0,IF(AND(44&lt;=Setup!$B$5,44&gt;=$C54,OR(AND($E54="once",44=$C54),AND($E54="weekly",44&lt;=$D54),AND($E54="biweekly",44&lt;=$D54,MOD(44-$C54,2)=0))),Flows!$C55,0))</f>
        <v/>
      </c>
      <c r="AX54" s="13">
        <f>IF(OR($A54="",Flows!$C55=""),0,IF(AND(45&lt;=Setup!$B$5,45&gt;=$C54,OR(AND($E54="once",45=$C54),AND($E54="weekly",45&lt;=$D54),AND($E54="biweekly",45&lt;=$D54,MOD(45-$C54,2)=0))),Flows!$C55,0))</f>
        <v/>
      </c>
      <c r="AY54" s="13">
        <f>IF(OR($A54="",Flows!$C55=""),0,IF(AND(46&lt;=Setup!$B$5,46&gt;=$C54,OR(AND($E54="once",46=$C54),AND($E54="weekly",46&lt;=$D54),AND($E54="biweekly",46&lt;=$D54,MOD(46-$C54,2)=0))),Flows!$C55,0))</f>
        <v/>
      </c>
      <c r="AZ54" s="13">
        <f>IF(OR($A54="",Flows!$C55=""),0,IF(AND(47&lt;=Setup!$B$5,47&gt;=$C54,OR(AND($E54="once",47=$C54),AND($E54="weekly",47&lt;=$D54),AND($E54="biweekly",47&lt;=$D54,MOD(47-$C54,2)=0))),Flows!$C55,0))</f>
        <v/>
      </c>
      <c r="BA54" s="13">
        <f>IF(OR($A54="",Flows!$C55=""),0,IF(AND(48&lt;=Setup!$B$5,48&gt;=$C54,OR(AND($E54="once",48=$C54),AND($E54="weekly",48&lt;=$D54),AND($E54="biweekly",48&lt;=$D54,MOD(48-$C54,2)=0))),Flows!$C55,0))</f>
        <v/>
      </c>
      <c r="BB54" s="13">
        <f>IF(OR($A54="",Flows!$C55=""),0,IF(AND(49&lt;=Setup!$B$5,49&gt;=$C54,OR(AND($E54="once",49=$C54),AND($E54="weekly",49&lt;=$D54),AND($E54="biweekly",49&lt;=$D54,MOD(49-$C54,2)=0))),Flows!$C55,0))</f>
        <v/>
      </c>
      <c r="BC54" s="13">
        <f>IF(OR($A54="",Flows!$C55=""),0,IF(AND(50&lt;=Setup!$B$5,50&gt;=$C54,OR(AND($E54="once",50=$C54),AND($E54="weekly",50&lt;=$D54),AND($E54="biweekly",50&lt;=$D54,MOD(50-$C54,2)=0))),Flows!$C55,0))</f>
        <v/>
      </c>
      <c r="BD54" s="13">
        <f>IF(OR($A54="",Flows!$C55=""),0,IF(AND(51&lt;=Setup!$B$5,51&gt;=$C54,OR(AND($E54="once",51=$C54),AND($E54="weekly",51&lt;=$D54),AND($E54="biweekly",51&lt;=$D54,MOD(51-$C54,2)=0))),Flows!$C55,0))</f>
        <v/>
      </c>
      <c r="BE54" s="13">
        <f>IF(OR($A54="",Flows!$C55=""),0,IF(AND(52&lt;=Setup!$B$5,52&gt;=$C54,OR(AND($E54="once",52=$C54),AND($E54="weekly",52&lt;=$D54),AND($E54="biweekly",52&lt;=$D54,MOD(52-$C54,2)=0))),Flows!$C55,0))</f>
        <v/>
      </c>
    </row>
    <row r="55">
      <c r="A55" s="7">
        <f>IF(Flows!A56="","",LOWER(Flows!A56))</f>
        <v/>
      </c>
      <c r="B55" s="7">
        <f>IF(Flows!B56="","",Flows!B56)</f>
        <v/>
      </c>
      <c r="C55" s="7">
        <f>N(Flows!D56)</f>
        <v/>
      </c>
      <c r="D55" s="7">
        <f>IF(Flows!F56="",Setup!$B$5,Flows!F56)</f>
        <v/>
      </c>
      <c r="E55" s="7">
        <f>IF(Flows!E56="","once",LOWER(Flows!E56))</f>
        <v/>
      </c>
      <c r="F55" s="13">
        <f>IF(OR($A55="",Flows!$C56=""),0,IF(AND(1&lt;=Setup!$B$5,1&gt;=$C55,OR(AND($E55="once",1=$C55),AND($E55="weekly",1&lt;=$D55),AND($E55="biweekly",1&lt;=$D55,MOD(1-$C55,2)=0))),Flows!$C56,0))</f>
        <v/>
      </c>
      <c r="G55" s="13">
        <f>IF(OR($A55="",Flows!$C56=""),0,IF(AND(2&lt;=Setup!$B$5,2&gt;=$C55,OR(AND($E55="once",2=$C55),AND($E55="weekly",2&lt;=$D55),AND($E55="biweekly",2&lt;=$D55,MOD(2-$C55,2)=0))),Flows!$C56,0))</f>
        <v/>
      </c>
      <c r="H55" s="13">
        <f>IF(OR($A55="",Flows!$C56=""),0,IF(AND(3&lt;=Setup!$B$5,3&gt;=$C55,OR(AND($E55="once",3=$C55),AND($E55="weekly",3&lt;=$D55),AND($E55="biweekly",3&lt;=$D55,MOD(3-$C55,2)=0))),Flows!$C56,0))</f>
        <v/>
      </c>
      <c r="I55" s="13">
        <f>IF(OR($A55="",Flows!$C56=""),0,IF(AND(4&lt;=Setup!$B$5,4&gt;=$C55,OR(AND($E55="once",4=$C55),AND($E55="weekly",4&lt;=$D55),AND($E55="biweekly",4&lt;=$D55,MOD(4-$C55,2)=0))),Flows!$C56,0))</f>
        <v/>
      </c>
      <c r="J55" s="13">
        <f>IF(OR($A55="",Flows!$C56=""),0,IF(AND(5&lt;=Setup!$B$5,5&gt;=$C55,OR(AND($E55="once",5=$C55),AND($E55="weekly",5&lt;=$D55),AND($E55="biweekly",5&lt;=$D55,MOD(5-$C55,2)=0))),Flows!$C56,0))</f>
        <v/>
      </c>
      <c r="K55" s="13">
        <f>IF(OR($A55="",Flows!$C56=""),0,IF(AND(6&lt;=Setup!$B$5,6&gt;=$C55,OR(AND($E55="once",6=$C55),AND($E55="weekly",6&lt;=$D55),AND($E55="biweekly",6&lt;=$D55,MOD(6-$C55,2)=0))),Flows!$C56,0))</f>
        <v/>
      </c>
      <c r="L55" s="13">
        <f>IF(OR($A55="",Flows!$C56=""),0,IF(AND(7&lt;=Setup!$B$5,7&gt;=$C55,OR(AND($E55="once",7=$C55),AND($E55="weekly",7&lt;=$D55),AND($E55="biweekly",7&lt;=$D55,MOD(7-$C55,2)=0))),Flows!$C56,0))</f>
        <v/>
      </c>
      <c r="M55" s="13">
        <f>IF(OR($A55="",Flows!$C56=""),0,IF(AND(8&lt;=Setup!$B$5,8&gt;=$C55,OR(AND($E55="once",8=$C55),AND($E55="weekly",8&lt;=$D55),AND($E55="biweekly",8&lt;=$D55,MOD(8-$C55,2)=0))),Flows!$C56,0))</f>
        <v/>
      </c>
      <c r="N55" s="13">
        <f>IF(OR($A55="",Flows!$C56=""),0,IF(AND(9&lt;=Setup!$B$5,9&gt;=$C55,OR(AND($E55="once",9=$C55),AND($E55="weekly",9&lt;=$D55),AND($E55="biweekly",9&lt;=$D55,MOD(9-$C55,2)=0))),Flows!$C56,0))</f>
        <v/>
      </c>
      <c r="O55" s="13">
        <f>IF(OR($A55="",Flows!$C56=""),0,IF(AND(10&lt;=Setup!$B$5,10&gt;=$C55,OR(AND($E55="once",10=$C55),AND($E55="weekly",10&lt;=$D55),AND($E55="biweekly",10&lt;=$D55,MOD(10-$C55,2)=0))),Flows!$C56,0))</f>
        <v/>
      </c>
      <c r="P55" s="13">
        <f>IF(OR($A55="",Flows!$C56=""),0,IF(AND(11&lt;=Setup!$B$5,11&gt;=$C55,OR(AND($E55="once",11=$C55),AND($E55="weekly",11&lt;=$D55),AND($E55="biweekly",11&lt;=$D55,MOD(11-$C55,2)=0))),Flows!$C56,0))</f>
        <v/>
      </c>
      <c r="Q55" s="13">
        <f>IF(OR($A55="",Flows!$C56=""),0,IF(AND(12&lt;=Setup!$B$5,12&gt;=$C55,OR(AND($E55="once",12=$C55),AND($E55="weekly",12&lt;=$D55),AND($E55="biweekly",12&lt;=$D55,MOD(12-$C55,2)=0))),Flows!$C56,0))</f>
        <v/>
      </c>
      <c r="R55" s="13">
        <f>IF(OR($A55="",Flows!$C56=""),0,IF(AND(13&lt;=Setup!$B$5,13&gt;=$C55,OR(AND($E55="once",13=$C55),AND($E55="weekly",13&lt;=$D55),AND($E55="biweekly",13&lt;=$D55,MOD(13-$C55,2)=0))),Flows!$C56,0))</f>
        <v/>
      </c>
      <c r="S55" s="13">
        <f>IF(OR($A55="",Flows!$C56=""),0,IF(AND(14&lt;=Setup!$B$5,14&gt;=$C55,OR(AND($E55="once",14=$C55),AND($E55="weekly",14&lt;=$D55),AND($E55="biweekly",14&lt;=$D55,MOD(14-$C55,2)=0))),Flows!$C56,0))</f>
        <v/>
      </c>
      <c r="T55" s="13">
        <f>IF(OR($A55="",Flows!$C56=""),0,IF(AND(15&lt;=Setup!$B$5,15&gt;=$C55,OR(AND($E55="once",15=$C55),AND($E55="weekly",15&lt;=$D55),AND($E55="biweekly",15&lt;=$D55,MOD(15-$C55,2)=0))),Flows!$C56,0))</f>
        <v/>
      </c>
      <c r="U55" s="13">
        <f>IF(OR($A55="",Flows!$C56=""),0,IF(AND(16&lt;=Setup!$B$5,16&gt;=$C55,OR(AND($E55="once",16=$C55),AND($E55="weekly",16&lt;=$D55),AND($E55="biweekly",16&lt;=$D55,MOD(16-$C55,2)=0))),Flows!$C56,0))</f>
        <v/>
      </c>
      <c r="V55" s="13">
        <f>IF(OR($A55="",Flows!$C56=""),0,IF(AND(17&lt;=Setup!$B$5,17&gt;=$C55,OR(AND($E55="once",17=$C55),AND($E55="weekly",17&lt;=$D55),AND($E55="biweekly",17&lt;=$D55,MOD(17-$C55,2)=0))),Flows!$C56,0))</f>
        <v/>
      </c>
      <c r="W55" s="13">
        <f>IF(OR($A55="",Flows!$C56=""),0,IF(AND(18&lt;=Setup!$B$5,18&gt;=$C55,OR(AND($E55="once",18=$C55),AND($E55="weekly",18&lt;=$D55),AND($E55="biweekly",18&lt;=$D55,MOD(18-$C55,2)=0))),Flows!$C56,0))</f>
        <v/>
      </c>
      <c r="X55" s="13">
        <f>IF(OR($A55="",Flows!$C56=""),0,IF(AND(19&lt;=Setup!$B$5,19&gt;=$C55,OR(AND($E55="once",19=$C55),AND($E55="weekly",19&lt;=$D55),AND($E55="biweekly",19&lt;=$D55,MOD(19-$C55,2)=0))),Flows!$C56,0))</f>
        <v/>
      </c>
      <c r="Y55" s="13">
        <f>IF(OR($A55="",Flows!$C56=""),0,IF(AND(20&lt;=Setup!$B$5,20&gt;=$C55,OR(AND($E55="once",20=$C55),AND($E55="weekly",20&lt;=$D55),AND($E55="biweekly",20&lt;=$D55,MOD(20-$C55,2)=0))),Flows!$C56,0))</f>
        <v/>
      </c>
      <c r="Z55" s="13">
        <f>IF(OR($A55="",Flows!$C56=""),0,IF(AND(21&lt;=Setup!$B$5,21&gt;=$C55,OR(AND($E55="once",21=$C55),AND($E55="weekly",21&lt;=$D55),AND($E55="biweekly",21&lt;=$D55,MOD(21-$C55,2)=0))),Flows!$C56,0))</f>
        <v/>
      </c>
      <c r="AA55" s="13">
        <f>IF(OR($A55="",Flows!$C56=""),0,IF(AND(22&lt;=Setup!$B$5,22&gt;=$C55,OR(AND($E55="once",22=$C55),AND($E55="weekly",22&lt;=$D55),AND($E55="biweekly",22&lt;=$D55,MOD(22-$C55,2)=0))),Flows!$C56,0))</f>
        <v/>
      </c>
      <c r="AB55" s="13">
        <f>IF(OR($A55="",Flows!$C56=""),0,IF(AND(23&lt;=Setup!$B$5,23&gt;=$C55,OR(AND($E55="once",23=$C55),AND($E55="weekly",23&lt;=$D55),AND($E55="biweekly",23&lt;=$D55,MOD(23-$C55,2)=0))),Flows!$C56,0))</f>
        <v/>
      </c>
      <c r="AC55" s="13">
        <f>IF(OR($A55="",Flows!$C56=""),0,IF(AND(24&lt;=Setup!$B$5,24&gt;=$C55,OR(AND($E55="once",24=$C55),AND($E55="weekly",24&lt;=$D55),AND($E55="biweekly",24&lt;=$D55,MOD(24-$C55,2)=0))),Flows!$C56,0))</f>
        <v/>
      </c>
      <c r="AD55" s="13">
        <f>IF(OR($A55="",Flows!$C56=""),0,IF(AND(25&lt;=Setup!$B$5,25&gt;=$C55,OR(AND($E55="once",25=$C55),AND($E55="weekly",25&lt;=$D55),AND($E55="biweekly",25&lt;=$D55,MOD(25-$C55,2)=0))),Flows!$C56,0))</f>
        <v/>
      </c>
      <c r="AE55" s="13">
        <f>IF(OR($A55="",Flows!$C56=""),0,IF(AND(26&lt;=Setup!$B$5,26&gt;=$C55,OR(AND($E55="once",26=$C55),AND($E55="weekly",26&lt;=$D55),AND($E55="biweekly",26&lt;=$D55,MOD(26-$C55,2)=0))),Flows!$C56,0))</f>
        <v/>
      </c>
      <c r="AF55" s="13">
        <f>IF(OR($A55="",Flows!$C56=""),0,IF(AND(27&lt;=Setup!$B$5,27&gt;=$C55,OR(AND($E55="once",27=$C55),AND($E55="weekly",27&lt;=$D55),AND($E55="biweekly",27&lt;=$D55,MOD(27-$C55,2)=0))),Flows!$C56,0))</f>
        <v/>
      </c>
      <c r="AG55" s="13">
        <f>IF(OR($A55="",Flows!$C56=""),0,IF(AND(28&lt;=Setup!$B$5,28&gt;=$C55,OR(AND($E55="once",28=$C55),AND($E55="weekly",28&lt;=$D55),AND($E55="biweekly",28&lt;=$D55,MOD(28-$C55,2)=0))),Flows!$C56,0))</f>
        <v/>
      </c>
      <c r="AH55" s="13">
        <f>IF(OR($A55="",Flows!$C56=""),0,IF(AND(29&lt;=Setup!$B$5,29&gt;=$C55,OR(AND($E55="once",29=$C55),AND($E55="weekly",29&lt;=$D55),AND($E55="biweekly",29&lt;=$D55,MOD(29-$C55,2)=0))),Flows!$C56,0))</f>
        <v/>
      </c>
      <c r="AI55" s="13">
        <f>IF(OR($A55="",Flows!$C56=""),0,IF(AND(30&lt;=Setup!$B$5,30&gt;=$C55,OR(AND($E55="once",30=$C55),AND($E55="weekly",30&lt;=$D55),AND($E55="biweekly",30&lt;=$D55,MOD(30-$C55,2)=0))),Flows!$C56,0))</f>
        <v/>
      </c>
      <c r="AJ55" s="13">
        <f>IF(OR($A55="",Flows!$C56=""),0,IF(AND(31&lt;=Setup!$B$5,31&gt;=$C55,OR(AND($E55="once",31=$C55),AND($E55="weekly",31&lt;=$D55),AND($E55="biweekly",31&lt;=$D55,MOD(31-$C55,2)=0))),Flows!$C56,0))</f>
        <v/>
      </c>
      <c r="AK55" s="13">
        <f>IF(OR($A55="",Flows!$C56=""),0,IF(AND(32&lt;=Setup!$B$5,32&gt;=$C55,OR(AND($E55="once",32=$C55),AND($E55="weekly",32&lt;=$D55),AND($E55="biweekly",32&lt;=$D55,MOD(32-$C55,2)=0))),Flows!$C56,0))</f>
        <v/>
      </c>
      <c r="AL55" s="13">
        <f>IF(OR($A55="",Flows!$C56=""),0,IF(AND(33&lt;=Setup!$B$5,33&gt;=$C55,OR(AND($E55="once",33=$C55),AND($E55="weekly",33&lt;=$D55),AND($E55="biweekly",33&lt;=$D55,MOD(33-$C55,2)=0))),Flows!$C56,0))</f>
        <v/>
      </c>
      <c r="AM55" s="13">
        <f>IF(OR($A55="",Flows!$C56=""),0,IF(AND(34&lt;=Setup!$B$5,34&gt;=$C55,OR(AND($E55="once",34=$C55),AND($E55="weekly",34&lt;=$D55),AND($E55="biweekly",34&lt;=$D55,MOD(34-$C55,2)=0))),Flows!$C56,0))</f>
        <v/>
      </c>
      <c r="AN55" s="13">
        <f>IF(OR($A55="",Flows!$C56=""),0,IF(AND(35&lt;=Setup!$B$5,35&gt;=$C55,OR(AND($E55="once",35=$C55),AND($E55="weekly",35&lt;=$D55),AND($E55="biweekly",35&lt;=$D55,MOD(35-$C55,2)=0))),Flows!$C56,0))</f>
        <v/>
      </c>
      <c r="AO55" s="13">
        <f>IF(OR($A55="",Flows!$C56=""),0,IF(AND(36&lt;=Setup!$B$5,36&gt;=$C55,OR(AND($E55="once",36=$C55),AND($E55="weekly",36&lt;=$D55),AND($E55="biweekly",36&lt;=$D55,MOD(36-$C55,2)=0))),Flows!$C56,0))</f>
        <v/>
      </c>
      <c r="AP55" s="13">
        <f>IF(OR($A55="",Flows!$C56=""),0,IF(AND(37&lt;=Setup!$B$5,37&gt;=$C55,OR(AND($E55="once",37=$C55),AND($E55="weekly",37&lt;=$D55),AND($E55="biweekly",37&lt;=$D55,MOD(37-$C55,2)=0))),Flows!$C56,0))</f>
        <v/>
      </c>
      <c r="AQ55" s="13">
        <f>IF(OR($A55="",Flows!$C56=""),0,IF(AND(38&lt;=Setup!$B$5,38&gt;=$C55,OR(AND($E55="once",38=$C55),AND($E55="weekly",38&lt;=$D55),AND($E55="biweekly",38&lt;=$D55,MOD(38-$C55,2)=0))),Flows!$C56,0))</f>
        <v/>
      </c>
      <c r="AR55" s="13">
        <f>IF(OR($A55="",Flows!$C56=""),0,IF(AND(39&lt;=Setup!$B$5,39&gt;=$C55,OR(AND($E55="once",39=$C55),AND($E55="weekly",39&lt;=$D55),AND($E55="biweekly",39&lt;=$D55,MOD(39-$C55,2)=0))),Flows!$C56,0))</f>
        <v/>
      </c>
      <c r="AS55" s="13">
        <f>IF(OR($A55="",Flows!$C56=""),0,IF(AND(40&lt;=Setup!$B$5,40&gt;=$C55,OR(AND($E55="once",40=$C55),AND($E55="weekly",40&lt;=$D55),AND($E55="biweekly",40&lt;=$D55,MOD(40-$C55,2)=0))),Flows!$C56,0))</f>
        <v/>
      </c>
      <c r="AT55" s="13">
        <f>IF(OR($A55="",Flows!$C56=""),0,IF(AND(41&lt;=Setup!$B$5,41&gt;=$C55,OR(AND($E55="once",41=$C55),AND($E55="weekly",41&lt;=$D55),AND($E55="biweekly",41&lt;=$D55,MOD(41-$C55,2)=0))),Flows!$C56,0))</f>
        <v/>
      </c>
      <c r="AU55" s="13">
        <f>IF(OR($A55="",Flows!$C56=""),0,IF(AND(42&lt;=Setup!$B$5,42&gt;=$C55,OR(AND($E55="once",42=$C55),AND($E55="weekly",42&lt;=$D55),AND($E55="biweekly",42&lt;=$D55,MOD(42-$C55,2)=0))),Flows!$C56,0))</f>
        <v/>
      </c>
      <c r="AV55" s="13">
        <f>IF(OR($A55="",Flows!$C56=""),0,IF(AND(43&lt;=Setup!$B$5,43&gt;=$C55,OR(AND($E55="once",43=$C55),AND($E55="weekly",43&lt;=$D55),AND($E55="biweekly",43&lt;=$D55,MOD(43-$C55,2)=0))),Flows!$C56,0))</f>
        <v/>
      </c>
      <c r="AW55" s="13">
        <f>IF(OR($A55="",Flows!$C56=""),0,IF(AND(44&lt;=Setup!$B$5,44&gt;=$C55,OR(AND($E55="once",44=$C55),AND($E55="weekly",44&lt;=$D55),AND($E55="biweekly",44&lt;=$D55,MOD(44-$C55,2)=0))),Flows!$C56,0))</f>
        <v/>
      </c>
      <c r="AX55" s="13">
        <f>IF(OR($A55="",Flows!$C56=""),0,IF(AND(45&lt;=Setup!$B$5,45&gt;=$C55,OR(AND($E55="once",45=$C55),AND($E55="weekly",45&lt;=$D55),AND($E55="biweekly",45&lt;=$D55,MOD(45-$C55,2)=0))),Flows!$C56,0))</f>
        <v/>
      </c>
      <c r="AY55" s="13">
        <f>IF(OR($A55="",Flows!$C56=""),0,IF(AND(46&lt;=Setup!$B$5,46&gt;=$C55,OR(AND($E55="once",46=$C55),AND($E55="weekly",46&lt;=$D55),AND($E55="biweekly",46&lt;=$D55,MOD(46-$C55,2)=0))),Flows!$C56,0))</f>
        <v/>
      </c>
      <c r="AZ55" s="13">
        <f>IF(OR($A55="",Flows!$C56=""),0,IF(AND(47&lt;=Setup!$B$5,47&gt;=$C55,OR(AND($E55="once",47=$C55),AND($E55="weekly",47&lt;=$D55),AND($E55="biweekly",47&lt;=$D55,MOD(47-$C55,2)=0))),Flows!$C56,0))</f>
        <v/>
      </c>
      <c r="BA55" s="13">
        <f>IF(OR($A55="",Flows!$C56=""),0,IF(AND(48&lt;=Setup!$B$5,48&gt;=$C55,OR(AND($E55="once",48=$C55),AND($E55="weekly",48&lt;=$D55),AND($E55="biweekly",48&lt;=$D55,MOD(48-$C55,2)=0))),Flows!$C56,0))</f>
        <v/>
      </c>
      <c r="BB55" s="13">
        <f>IF(OR($A55="",Flows!$C56=""),0,IF(AND(49&lt;=Setup!$B$5,49&gt;=$C55,OR(AND($E55="once",49=$C55),AND($E55="weekly",49&lt;=$D55),AND($E55="biweekly",49&lt;=$D55,MOD(49-$C55,2)=0))),Flows!$C56,0))</f>
        <v/>
      </c>
      <c r="BC55" s="13">
        <f>IF(OR($A55="",Flows!$C56=""),0,IF(AND(50&lt;=Setup!$B$5,50&gt;=$C55,OR(AND($E55="once",50=$C55),AND($E55="weekly",50&lt;=$D55),AND($E55="biweekly",50&lt;=$D55,MOD(50-$C55,2)=0))),Flows!$C56,0))</f>
        <v/>
      </c>
      <c r="BD55" s="13">
        <f>IF(OR($A55="",Flows!$C56=""),0,IF(AND(51&lt;=Setup!$B$5,51&gt;=$C55,OR(AND($E55="once",51=$C55),AND($E55="weekly",51&lt;=$D55),AND($E55="biweekly",51&lt;=$D55,MOD(51-$C55,2)=0))),Flows!$C56,0))</f>
        <v/>
      </c>
      <c r="BE55" s="13">
        <f>IF(OR($A55="",Flows!$C56=""),0,IF(AND(52&lt;=Setup!$B$5,52&gt;=$C55,OR(AND($E55="once",52=$C55),AND($E55="weekly",52&lt;=$D55),AND($E55="biweekly",52&lt;=$D55,MOD(52-$C55,2)=0))),Flows!$C56,0))</f>
        <v/>
      </c>
    </row>
    <row r="56">
      <c r="A56" s="7">
        <f>IF(Flows!A57="","",LOWER(Flows!A57))</f>
        <v/>
      </c>
      <c r="B56" s="7">
        <f>IF(Flows!B57="","",Flows!B57)</f>
        <v/>
      </c>
      <c r="C56" s="7">
        <f>N(Flows!D57)</f>
        <v/>
      </c>
      <c r="D56" s="7">
        <f>IF(Flows!F57="",Setup!$B$5,Flows!F57)</f>
        <v/>
      </c>
      <c r="E56" s="7">
        <f>IF(Flows!E57="","once",LOWER(Flows!E57))</f>
        <v/>
      </c>
      <c r="F56" s="13">
        <f>IF(OR($A56="",Flows!$C57=""),0,IF(AND(1&lt;=Setup!$B$5,1&gt;=$C56,OR(AND($E56="once",1=$C56),AND($E56="weekly",1&lt;=$D56),AND($E56="biweekly",1&lt;=$D56,MOD(1-$C56,2)=0))),Flows!$C57,0))</f>
        <v/>
      </c>
      <c r="G56" s="13">
        <f>IF(OR($A56="",Flows!$C57=""),0,IF(AND(2&lt;=Setup!$B$5,2&gt;=$C56,OR(AND($E56="once",2=$C56),AND($E56="weekly",2&lt;=$D56),AND($E56="biweekly",2&lt;=$D56,MOD(2-$C56,2)=0))),Flows!$C57,0))</f>
        <v/>
      </c>
      <c r="H56" s="13">
        <f>IF(OR($A56="",Flows!$C57=""),0,IF(AND(3&lt;=Setup!$B$5,3&gt;=$C56,OR(AND($E56="once",3=$C56),AND($E56="weekly",3&lt;=$D56),AND($E56="biweekly",3&lt;=$D56,MOD(3-$C56,2)=0))),Flows!$C57,0))</f>
        <v/>
      </c>
      <c r="I56" s="13">
        <f>IF(OR($A56="",Flows!$C57=""),0,IF(AND(4&lt;=Setup!$B$5,4&gt;=$C56,OR(AND($E56="once",4=$C56),AND($E56="weekly",4&lt;=$D56),AND($E56="biweekly",4&lt;=$D56,MOD(4-$C56,2)=0))),Flows!$C57,0))</f>
        <v/>
      </c>
      <c r="J56" s="13">
        <f>IF(OR($A56="",Flows!$C57=""),0,IF(AND(5&lt;=Setup!$B$5,5&gt;=$C56,OR(AND($E56="once",5=$C56),AND($E56="weekly",5&lt;=$D56),AND($E56="biweekly",5&lt;=$D56,MOD(5-$C56,2)=0))),Flows!$C57,0))</f>
        <v/>
      </c>
      <c r="K56" s="13">
        <f>IF(OR($A56="",Flows!$C57=""),0,IF(AND(6&lt;=Setup!$B$5,6&gt;=$C56,OR(AND($E56="once",6=$C56),AND($E56="weekly",6&lt;=$D56),AND($E56="biweekly",6&lt;=$D56,MOD(6-$C56,2)=0))),Flows!$C57,0))</f>
        <v/>
      </c>
      <c r="L56" s="13">
        <f>IF(OR($A56="",Flows!$C57=""),0,IF(AND(7&lt;=Setup!$B$5,7&gt;=$C56,OR(AND($E56="once",7=$C56),AND($E56="weekly",7&lt;=$D56),AND($E56="biweekly",7&lt;=$D56,MOD(7-$C56,2)=0))),Flows!$C57,0))</f>
        <v/>
      </c>
      <c r="M56" s="13">
        <f>IF(OR($A56="",Flows!$C57=""),0,IF(AND(8&lt;=Setup!$B$5,8&gt;=$C56,OR(AND($E56="once",8=$C56),AND($E56="weekly",8&lt;=$D56),AND($E56="biweekly",8&lt;=$D56,MOD(8-$C56,2)=0))),Flows!$C57,0))</f>
        <v/>
      </c>
      <c r="N56" s="13">
        <f>IF(OR($A56="",Flows!$C57=""),0,IF(AND(9&lt;=Setup!$B$5,9&gt;=$C56,OR(AND($E56="once",9=$C56),AND($E56="weekly",9&lt;=$D56),AND($E56="biweekly",9&lt;=$D56,MOD(9-$C56,2)=0))),Flows!$C57,0))</f>
        <v/>
      </c>
      <c r="O56" s="13">
        <f>IF(OR($A56="",Flows!$C57=""),0,IF(AND(10&lt;=Setup!$B$5,10&gt;=$C56,OR(AND($E56="once",10=$C56),AND($E56="weekly",10&lt;=$D56),AND($E56="biweekly",10&lt;=$D56,MOD(10-$C56,2)=0))),Flows!$C57,0))</f>
        <v/>
      </c>
      <c r="P56" s="13">
        <f>IF(OR($A56="",Flows!$C57=""),0,IF(AND(11&lt;=Setup!$B$5,11&gt;=$C56,OR(AND($E56="once",11=$C56),AND($E56="weekly",11&lt;=$D56),AND($E56="biweekly",11&lt;=$D56,MOD(11-$C56,2)=0))),Flows!$C57,0))</f>
        <v/>
      </c>
      <c r="Q56" s="13">
        <f>IF(OR($A56="",Flows!$C57=""),0,IF(AND(12&lt;=Setup!$B$5,12&gt;=$C56,OR(AND($E56="once",12=$C56),AND($E56="weekly",12&lt;=$D56),AND($E56="biweekly",12&lt;=$D56,MOD(12-$C56,2)=0))),Flows!$C57,0))</f>
        <v/>
      </c>
      <c r="R56" s="13">
        <f>IF(OR($A56="",Flows!$C57=""),0,IF(AND(13&lt;=Setup!$B$5,13&gt;=$C56,OR(AND($E56="once",13=$C56),AND($E56="weekly",13&lt;=$D56),AND($E56="biweekly",13&lt;=$D56,MOD(13-$C56,2)=0))),Flows!$C57,0))</f>
        <v/>
      </c>
      <c r="S56" s="13">
        <f>IF(OR($A56="",Flows!$C57=""),0,IF(AND(14&lt;=Setup!$B$5,14&gt;=$C56,OR(AND($E56="once",14=$C56),AND($E56="weekly",14&lt;=$D56),AND($E56="biweekly",14&lt;=$D56,MOD(14-$C56,2)=0))),Flows!$C57,0))</f>
        <v/>
      </c>
      <c r="T56" s="13">
        <f>IF(OR($A56="",Flows!$C57=""),0,IF(AND(15&lt;=Setup!$B$5,15&gt;=$C56,OR(AND($E56="once",15=$C56),AND($E56="weekly",15&lt;=$D56),AND($E56="biweekly",15&lt;=$D56,MOD(15-$C56,2)=0))),Flows!$C57,0))</f>
        <v/>
      </c>
      <c r="U56" s="13">
        <f>IF(OR($A56="",Flows!$C57=""),0,IF(AND(16&lt;=Setup!$B$5,16&gt;=$C56,OR(AND($E56="once",16=$C56),AND($E56="weekly",16&lt;=$D56),AND($E56="biweekly",16&lt;=$D56,MOD(16-$C56,2)=0))),Flows!$C57,0))</f>
        <v/>
      </c>
      <c r="V56" s="13">
        <f>IF(OR($A56="",Flows!$C57=""),0,IF(AND(17&lt;=Setup!$B$5,17&gt;=$C56,OR(AND($E56="once",17=$C56),AND($E56="weekly",17&lt;=$D56),AND($E56="biweekly",17&lt;=$D56,MOD(17-$C56,2)=0))),Flows!$C57,0))</f>
        <v/>
      </c>
      <c r="W56" s="13">
        <f>IF(OR($A56="",Flows!$C57=""),0,IF(AND(18&lt;=Setup!$B$5,18&gt;=$C56,OR(AND($E56="once",18=$C56),AND($E56="weekly",18&lt;=$D56),AND($E56="biweekly",18&lt;=$D56,MOD(18-$C56,2)=0))),Flows!$C57,0))</f>
        <v/>
      </c>
      <c r="X56" s="13">
        <f>IF(OR($A56="",Flows!$C57=""),0,IF(AND(19&lt;=Setup!$B$5,19&gt;=$C56,OR(AND($E56="once",19=$C56),AND($E56="weekly",19&lt;=$D56),AND($E56="biweekly",19&lt;=$D56,MOD(19-$C56,2)=0))),Flows!$C57,0))</f>
        <v/>
      </c>
      <c r="Y56" s="13">
        <f>IF(OR($A56="",Flows!$C57=""),0,IF(AND(20&lt;=Setup!$B$5,20&gt;=$C56,OR(AND($E56="once",20=$C56),AND($E56="weekly",20&lt;=$D56),AND($E56="biweekly",20&lt;=$D56,MOD(20-$C56,2)=0))),Flows!$C57,0))</f>
        <v/>
      </c>
      <c r="Z56" s="13">
        <f>IF(OR($A56="",Flows!$C57=""),0,IF(AND(21&lt;=Setup!$B$5,21&gt;=$C56,OR(AND($E56="once",21=$C56),AND($E56="weekly",21&lt;=$D56),AND($E56="biweekly",21&lt;=$D56,MOD(21-$C56,2)=0))),Flows!$C57,0))</f>
        <v/>
      </c>
      <c r="AA56" s="13">
        <f>IF(OR($A56="",Flows!$C57=""),0,IF(AND(22&lt;=Setup!$B$5,22&gt;=$C56,OR(AND($E56="once",22=$C56),AND($E56="weekly",22&lt;=$D56),AND($E56="biweekly",22&lt;=$D56,MOD(22-$C56,2)=0))),Flows!$C57,0))</f>
        <v/>
      </c>
      <c r="AB56" s="13">
        <f>IF(OR($A56="",Flows!$C57=""),0,IF(AND(23&lt;=Setup!$B$5,23&gt;=$C56,OR(AND($E56="once",23=$C56),AND($E56="weekly",23&lt;=$D56),AND($E56="biweekly",23&lt;=$D56,MOD(23-$C56,2)=0))),Flows!$C57,0))</f>
        <v/>
      </c>
      <c r="AC56" s="13">
        <f>IF(OR($A56="",Flows!$C57=""),0,IF(AND(24&lt;=Setup!$B$5,24&gt;=$C56,OR(AND($E56="once",24=$C56),AND($E56="weekly",24&lt;=$D56),AND($E56="biweekly",24&lt;=$D56,MOD(24-$C56,2)=0))),Flows!$C57,0))</f>
        <v/>
      </c>
      <c r="AD56" s="13">
        <f>IF(OR($A56="",Flows!$C57=""),0,IF(AND(25&lt;=Setup!$B$5,25&gt;=$C56,OR(AND($E56="once",25=$C56),AND($E56="weekly",25&lt;=$D56),AND($E56="biweekly",25&lt;=$D56,MOD(25-$C56,2)=0))),Flows!$C57,0))</f>
        <v/>
      </c>
      <c r="AE56" s="13">
        <f>IF(OR($A56="",Flows!$C57=""),0,IF(AND(26&lt;=Setup!$B$5,26&gt;=$C56,OR(AND($E56="once",26=$C56),AND($E56="weekly",26&lt;=$D56),AND($E56="biweekly",26&lt;=$D56,MOD(26-$C56,2)=0))),Flows!$C57,0))</f>
        <v/>
      </c>
      <c r="AF56" s="13">
        <f>IF(OR($A56="",Flows!$C57=""),0,IF(AND(27&lt;=Setup!$B$5,27&gt;=$C56,OR(AND($E56="once",27=$C56),AND($E56="weekly",27&lt;=$D56),AND($E56="biweekly",27&lt;=$D56,MOD(27-$C56,2)=0))),Flows!$C57,0))</f>
        <v/>
      </c>
      <c r="AG56" s="13">
        <f>IF(OR($A56="",Flows!$C57=""),0,IF(AND(28&lt;=Setup!$B$5,28&gt;=$C56,OR(AND($E56="once",28=$C56),AND($E56="weekly",28&lt;=$D56),AND($E56="biweekly",28&lt;=$D56,MOD(28-$C56,2)=0))),Flows!$C57,0))</f>
        <v/>
      </c>
      <c r="AH56" s="13">
        <f>IF(OR($A56="",Flows!$C57=""),0,IF(AND(29&lt;=Setup!$B$5,29&gt;=$C56,OR(AND($E56="once",29=$C56),AND($E56="weekly",29&lt;=$D56),AND($E56="biweekly",29&lt;=$D56,MOD(29-$C56,2)=0))),Flows!$C57,0))</f>
        <v/>
      </c>
      <c r="AI56" s="13">
        <f>IF(OR($A56="",Flows!$C57=""),0,IF(AND(30&lt;=Setup!$B$5,30&gt;=$C56,OR(AND($E56="once",30=$C56),AND($E56="weekly",30&lt;=$D56),AND($E56="biweekly",30&lt;=$D56,MOD(30-$C56,2)=0))),Flows!$C57,0))</f>
        <v/>
      </c>
      <c r="AJ56" s="13">
        <f>IF(OR($A56="",Flows!$C57=""),0,IF(AND(31&lt;=Setup!$B$5,31&gt;=$C56,OR(AND($E56="once",31=$C56),AND($E56="weekly",31&lt;=$D56),AND($E56="biweekly",31&lt;=$D56,MOD(31-$C56,2)=0))),Flows!$C57,0))</f>
        <v/>
      </c>
      <c r="AK56" s="13">
        <f>IF(OR($A56="",Flows!$C57=""),0,IF(AND(32&lt;=Setup!$B$5,32&gt;=$C56,OR(AND($E56="once",32=$C56),AND($E56="weekly",32&lt;=$D56),AND($E56="biweekly",32&lt;=$D56,MOD(32-$C56,2)=0))),Flows!$C57,0))</f>
        <v/>
      </c>
      <c r="AL56" s="13">
        <f>IF(OR($A56="",Flows!$C57=""),0,IF(AND(33&lt;=Setup!$B$5,33&gt;=$C56,OR(AND($E56="once",33=$C56),AND($E56="weekly",33&lt;=$D56),AND($E56="biweekly",33&lt;=$D56,MOD(33-$C56,2)=0))),Flows!$C57,0))</f>
        <v/>
      </c>
      <c r="AM56" s="13">
        <f>IF(OR($A56="",Flows!$C57=""),0,IF(AND(34&lt;=Setup!$B$5,34&gt;=$C56,OR(AND($E56="once",34=$C56),AND($E56="weekly",34&lt;=$D56),AND($E56="biweekly",34&lt;=$D56,MOD(34-$C56,2)=0))),Flows!$C57,0))</f>
        <v/>
      </c>
      <c r="AN56" s="13">
        <f>IF(OR($A56="",Flows!$C57=""),0,IF(AND(35&lt;=Setup!$B$5,35&gt;=$C56,OR(AND($E56="once",35=$C56),AND($E56="weekly",35&lt;=$D56),AND($E56="biweekly",35&lt;=$D56,MOD(35-$C56,2)=0))),Flows!$C57,0))</f>
        <v/>
      </c>
      <c r="AO56" s="13">
        <f>IF(OR($A56="",Flows!$C57=""),0,IF(AND(36&lt;=Setup!$B$5,36&gt;=$C56,OR(AND($E56="once",36=$C56),AND($E56="weekly",36&lt;=$D56),AND($E56="biweekly",36&lt;=$D56,MOD(36-$C56,2)=0))),Flows!$C57,0))</f>
        <v/>
      </c>
      <c r="AP56" s="13">
        <f>IF(OR($A56="",Flows!$C57=""),0,IF(AND(37&lt;=Setup!$B$5,37&gt;=$C56,OR(AND($E56="once",37=$C56),AND($E56="weekly",37&lt;=$D56),AND($E56="biweekly",37&lt;=$D56,MOD(37-$C56,2)=0))),Flows!$C57,0))</f>
        <v/>
      </c>
      <c r="AQ56" s="13">
        <f>IF(OR($A56="",Flows!$C57=""),0,IF(AND(38&lt;=Setup!$B$5,38&gt;=$C56,OR(AND($E56="once",38=$C56),AND($E56="weekly",38&lt;=$D56),AND($E56="biweekly",38&lt;=$D56,MOD(38-$C56,2)=0))),Flows!$C57,0))</f>
        <v/>
      </c>
      <c r="AR56" s="13">
        <f>IF(OR($A56="",Flows!$C57=""),0,IF(AND(39&lt;=Setup!$B$5,39&gt;=$C56,OR(AND($E56="once",39=$C56),AND($E56="weekly",39&lt;=$D56),AND($E56="biweekly",39&lt;=$D56,MOD(39-$C56,2)=0))),Flows!$C57,0))</f>
        <v/>
      </c>
      <c r="AS56" s="13">
        <f>IF(OR($A56="",Flows!$C57=""),0,IF(AND(40&lt;=Setup!$B$5,40&gt;=$C56,OR(AND($E56="once",40=$C56),AND($E56="weekly",40&lt;=$D56),AND($E56="biweekly",40&lt;=$D56,MOD(40-$C56,2)=0))),Flows!$C57,0))</f>
        <v/>
      </c>
      <c r="AT56" s="13">
        <f>IF(OR($A56="",Flows!$C57=""),0,IF(AND(41&lt;=Setup!$B$5,41&gt;=$C56,OR(AND($E56="once",41=$C56),AND($E56="weekly",41&lt;=$D56),AND($E56="biweekly",41&lt;=$D56,MOD(41-$C56,2)=0))),Flows!$C57,0))</f>
        <v/>
      </c>
      <c r="AU56" s="13">
        <f>IF(OR($A56="",Flows!$C57=""),0,IF(AND(42&lt;=Setup!$B$5,42&gt;=$C56,OR(AND($E56="once",42=$C56),AND($E56="weekly",42&lt;=$D56),AND($E56="biweekly",42&lt;=$D56,MOD(42-$C56,2)=0))),Flows!$C57,0))</f>
        <v/>
      </c>
      <c r="AV56" s="13">
        <f>IF(OR($A56="",Flows!$C57=""),0,IF(AND(43&lt;=Setup!$B$5,43&gt;=$C56,OR(AND($E56="once",43=$C56),AND($E56="weekly",43&lt;=$D56),AND($E56="biweekly",43&lt;=$D56,MOD(43-$C56,2)=0))),Flows!$C57,0))</f>
        <v/>
      </c>
      <c r="AW56" s="13">
        <f>IF(OR($A56="",Flows!$C57=""),0,IF(AND(44&lt;=Setup!$B$5,44&gt;=$C56,OR(AND($E56="once",44=$C56),AND($E56="weekly",44&lt;=$D56),AND($E56="biweekly",44&lt;=$D56,MOD(44-$C56,2)=0))),Flows!$C57,0))</f>
        <v/>
      </c>
      <c r="AX56" s="13">
        <f>IF(OR($A56="",Flows!$C57=""),0,IF(AND(45&lt;=Setup!$B$5,45&gt;=$C56,OR(AND($E56="once",45=$C56),AND($E56="weekly",45&lt;=$D56),AND($E56="biweekly",45&lt;=$D56,MOD(45-$C56,2)=0))),Flows!$C57,0))</f>
        <v/>
      </c>
      <c r="AY56" s="13">
        <f>IF(OR($A56="",Flows!$C57=""),0,IF(AND(46&lt;=Setup!$B$5,46&gt;=$C56,OR(AND($E56="once",46=$C56),AND($E56="weekly",46&lt;=$D56),AND($E56="biweekly",46&lt;=$D56,MOD(46-$C56,2)=0))),Flows!$C57,0))</f>
        <v/>
      </c>
      <c r="AZ56" s="13">
        <f>IF(OR($A56="",Flows!$C57=""),0,IF(AND(47&lt;=Setup!$B$5,47&gt;=$C56,OR(AND($E56="once",47=$C56),AND($E56="weekly",47&lt;=$D56),AND($E56="biweekly",47&lt;=$D56,MOD(47-$C56,2)=0))),Flows!$C57,0))</f>
        <v/>
      </c>
      <c r="BA56" s="13">
        <f>IF(OR($A56="",Flows!$C57=""),0,IF(AND(48&lt;=Setup!$B$5,48&gt;=$C56,OR(AND($E56="once",48=$C56),AND($E56="weekly",48&lt;=$D56),AND($E56="biweekly",48&lt;=$D56,MOD(48-$C56,2)=0))),Flows!$C57,0))</f>
        <v/>
      </c>
      <c r="BB56" s="13">
        <f>IF(OR($A56="",Flows!$C57=""),0,IF(AND(49&lt;=Setup!$B$5,49&gt;=$C56,OR(AND($E56="once",49=$C56),AND($E56="weekly",49&lt;=$D56),AND($E56="biweekly",49&lt;=$D56,MOD(49-$C56,2)=0))),Flows!$C57,0))</f>
        <v/>
      </c>
      <c r="BC56" s="13">
        <f>IF(OR($A56="",Flows!$C57=""),0,IF(AND(50&lt;=Setup!$B$5,50&gt;=$C56,OR(AND($E56="once",50=$C56),AND($E56="weekly",50&lt;=$D56),AND($E56="biweekly",50&lt;=$D56,MOD(50-$C56,2)=0))),Flows!$C57,0))</f>
        <v/>
      </c>
      <c r="BD56" s="13">
        <f>IF(OR($A56="",Flows!$C57=""),0,IF(AND(51&lt;=Setup!$B$5,51&gt;=$C56,OR(AND($E56="once",51=$C56),AND($E56="weekly",51&lt;=$D56),AND($E56="biweekly",51&lt;=$D56,MOD(51-$C56,2)=0))),Flows!$C57,0))</f>
        <v/>
      </c>
      <c r="BE56" s="13">
        <f>IF(OR($A56="",Flows!$C57=""),0,IF(AND(52&lt;=Setup!$B$5,52&gt;=$C56,OR(AND($E56="once",52=$C56),AND($E56="weekly",52&lt;=$D56),AND($E56="biweekly",52&lt;=$D56,MOD(52-$C56,2)=0))),Flows!$C57,0))</f>
        <v/>
      </c>
    </row>
    <row r="57">
      <c r="A57" s="7">
        <f>IF(Flows!A58="","",LOWER(Flows!A58))</f>
        <v/>
      </c>
      <c r="B57" s="7">
        <f>IF(Flows!B58="","",Flows!B58)</f>
        <v/>
      </c>
      <c r="C57" s="7">
        <f>N(Flows!D58)</f>
        <v/>
      </c>
      <c r="D57" s="7">
        <f>IF(Flows!F58="",Setup!$B$5,Flows!F58)</f>
        <v/>
      </c>
      <c r="E57" s="7">
        <f>IF(Flows!E58="","once",LOWER(Flows!E58))</f>
        <v/>
      </c>
      <c r="F57" s="13">
        <f>IF(OR($A57="",Flows!$C58=""),0,IF(AND(1&lt;=Setup!$B$5,1&gt;=$C57,OR(AND($E57="once",1=$C57),AND($E57="weekly",1&lt;=$D57),AND($E57="biweekly",1&lt;=$D57,MOD(1-$C57,2)=0))),Flows!$C58,0))</f>
        <v/>
      </c>
      <c r="G57" s="13">
        <f>IF(OR($A57="",Flows!$C58=""),0,IF(AND(2&lt;=Setup!$B$5,2&gt;=$C57,OR(AND($E57="once",2=$C57),AND($E57="weekly",2&lt;=$D57),AND($E57="biweekly",2&lt;=$D57,MOD(2-$C57,2)=0))),Flows!$C58,0))</f>
        <v/>
      </c>
      <c r="H57" s="13">
        <f>IF(OR($A57="",Flows!$C58=""),0,IF(AND(3&lt;=Setup!$B$5,3&gt;=$C57,OR(AND($E57="once",3=$C57),AND($E57="weekly",3&lt;=$D57),AND($E57="biweekly",3&lt;=$D57,MOD(3-$C57,2)=0))),Flows!$C58,0))</f>
        <v/>
      </c>
      <c r="I57" s="13">
        <f>IF(OR($A57="",Flows!$C58=""),0,IF(AND(4&lt;=Setup!$B$5,4&gt;=$C57,OR(AND($E57="once",4=$C57),AND($E57="weekly",4&lt;=$D57),AND($E57="biweekly",4&lt;=$D57,MOD(4-$C57,2)=0))),Flows!$C58,0))</f>
        <v/>
      </c>
      <c r="J57" s="13">
        <f>IF(OR($A57="",Flows!$C58=""),0,IF(AND(5&lt;=Setup!$B$5,5&gt;=$C57,OR(AND($E57="once",5=$C57),AND($E57="weekly",5&lt;=$D57),AND($E57="biweekly",5&lt;=$D57,MOD(5-$C57,2)=0))),Flows!$C58,0))</f>
        <v/>
      </c>
      <c r="K57" s="13">
        <f>IF(OR($A57="",Flows!$C58=""),0,IF(AND(6&lt;=Setup!$B$5,6&gt;=$C57,OR(AND($E57="once",6=$C57),AND($E57="weekly",6&lt;=$D57),AND($E57="biweekly",6&lt;=$D57,MOD(6-$C57,2)=0))),Flows!$C58,0))</f>
        <v/>
      </c>
      <c r="L57" s="13">
        <f>IF(OR($A57="",Flows!$C58=""),0,IF(AND(7&lt;=Setup!$B$5,7&gt;=$C57,OR(AND($E57="once",7=$C57),AND($E57="weekly",7&lt;=$D57),AND($E57="biweekly",7&lt;=$D57,MOD(7-$C57,2)=0))),Flows!$C58,0))</f>
        <v/>
      </c>
      <c r="M57" s="13">
        <f>IF(OR($A57="",Flows!$C58=""),0,IF(AND(8&lt;=Setup!$B$5,8&gt;=$C57,OR(AND($E57="once",8=$C57),AND($E57="weekly",8&lt;=$D57),AND($E57="biweekly",8&lt;=$D57,MOD(8-$C57,2)=0))),Flows!$C58,0))</f>
        <v/>
      </c>
      <c r="N57" s="13">
        <f>IF(OR($A57="",Flows!$C58=""),0,IF(AND(9&lt;=Setup!$B$5,9&gt;=$C57,OR(AND($E57="once",9=$C57),AND($E57="weekly",9&lt;=$D57),AND($E57="biweekly",9&lt;=$D57,MOD(9-$C57,2)=0))),Flows!$C58,0))</f>
        <v/>
      </c>
      <c r="O57" s="13">
        <f>IF(OR($A57="",Flows!$C58=""),0,IF(AND(10&lt;=Setup!$B$5,10&gt;=$C57,OR(AND($E57="once",10=$C57),AND($E57="weekly",10&lt;=$D57),AND($E57="biweekly",10&lt;=$D57,MOD(10-$C57,2)=0))),Flows!$C58,0))</f>
        <v/>
      </c>
      <c r="P57" s="13">
        <f>IF(OR($A57="",Flows!$C58=""),0,IF(AND(11&lt;=Setup!$B$5,11&gt;=$C57,OR(AND($E57="once",11=$C57),AND($E57="weekly",11&lt;=$D57),AND($E57="biweekly",11&lt;=$D57,MOD(11-$C57,2)=0))),Flows!$C58,0))</f>
        <v/>
      </c>
      <c r="Q57" s="13">
        <f>IF(OR($A57="",Flows!$C58=""),0,IF(AND(12&lt;=Setup!$B$5,12&gt;=$C57,OR(AND($E57="once",12=$C57),AND($E57="weekly",12&lt;=$D57),AND($E57="biweekly",12&lt;=$D57,MOD(12-$C57,2)=0))),Flows!$C58,0))</f>
        <v/>
      </c>
      <c r="R57" s="13">
        <f>IF(OR($A57="",Flows!$C58=""),0,IF(AND(13&lt;=Setup!$B$5,13&gt;=$C57,OR(AND($E57="once",13=$C57),AND($E57="weekly",13&lt;=$D57),AND($E57="biweekly",13&lt;=$D57,MOD(13-$C57,2)=0))),Flows!$C58,0))</f>
        <v/>
      </c>
      <c r="S57" s="13">
        <f>IF(OR($A57="",Flows!$C58=""),0,IF(AND(14&lt;=Setup!$B$5,14&gt;=$C57,OR(AND($E57="once",14=$C57),AND($E57="weekly",14&lt;=$D57),AND($E57="biweekly",14&lt;=$D57,MOD(14-$C57,2)=0))),Flows!$C58,0))</f>
        <v/>
      </c>
      <c r="T57" s="13">
        <f>IF(OR($A57="",Flows!$C58=""),0,IF(AND(15&lt;=Setup!$B$5,15&gt;=$C57,OR(AND($E57="once",15=$C57),AND($E57="weekly",15&lt;=$D57),AND($E57="biweekly",15&lt;=$D57,MOD(15-$C57,2)=0))),Flows!$C58,0))</f>
        <v/>
      </c>
      <c r="U57" s="13">
        <f>IF(OR($A57="",Flows!$C58=""),0,IF(AND(16&lt;=Setup!$B$5,16&gt;=$C57,OR(AND($E57="once",16=$C57),AND($E57="weekly",16&lt;=$D57),AND($E57="biweekly",16&lt;=$D57,MOD(16-$C57,2)=0))),Flows!$C58,0))</f>
        <v/>
      </c>
      <c r="V57" s="13">
        <f>IF(OR($A57="",Flows!$C58=""),0,IF(AND(17&lt;=Setup!$B$5,17&gt;=$C57,OR(AND($E57="once",17=$C57),AND($E57="weekly",17&lt;=$D57),AND($E57="biweekly",17&lt;=$D57,MOD(17-$C57,2)=0))),Flows!$C58,0))</f>
        <v/>
      </c>
      <c r="W57" s="13">
        <f>IF(OR($A57="",Flows!$C58=""),0,IF(AND(18&lt;=Setup!$B$5,18&gt;=$C57,OR(AND($E57="once",18=$C57),AND($E57="weekly",18&lt;=$D57),AND($E57="biweekly",18&lt;=$D57,MOD(18-$C57,2)=0))),Flows!$C58,0))</f>
        <v/>
      </c>
      <c r="X57" s="13">
        <f>IF(OR($A57="",Flows!$C58=""),0,IF(AND(19&lt;=Setup!$B$5,19&gt;=$C57,OR(AND($E57="once",19=$C57),AND($E57="weekly",19&lt;=$D57),AND($E57="biweekly",19&lt;=$D57,MOD(19-$C57,2)=0))),Flows!$C58,0))</f>
        <v/>
      </c>
      <c r="Y57" s="13">
        <f>IF(OR($A57="",Flows!$C58=""),0,IF(AND(20&lt;=Setup!$B$5,20&gt;=$C57,OR(AND($E57="once",20=$C57),AND($E57="weekly",20&lt;=$D57),AND($E57="biweekly",20&lt;=$D57,MOD(20-$C57,2)=0))),Flows!$C58,0))</f>
        <v/>
      </c>
      <c r="Z57" s="13">
        <f>IF(OR($A57="",Flows!$C58=""),0,IF(AND(21&lt;=Setup!$B$5,21&gt;=$C57,OR(AND($E57="once",21=$C57),AND($E57="weekly",21&lt;=$D57),AND($E57="biweekly",21&lt;=$D57,MOD(21-$C57,2)=0))),Flows!$C58,0))</f>
        <v/>
      </c>
      <c r="AA57" s="13">
        <f>IF(OR($A57="",Flows!$C58=""),0,IF(AND(22&lt;=Setup!$B$5,22&gt;=$C57,OR(AND($E57="once",22=$C57),AND($E57="weekly",22&lt;=$D57),AND($E57="biweekly",22&lt;=$D57,MOD(22-$C57,2)=0))),Flows!$C58,0))</f>
        <v/>
      </c>
      <c r="AB57" s="13">
        <f>IF(OR($A57="",Flows!$C58=""),0,IF(AND(23&lt;=Setup!$B$5,23&gt;=$C57,OR(AND($E57="once",23=$C57),AND($E57="weekly",23&lt;=$D57),AND($E57="biweekly",23&lt;=$D57,MOD(23-$C57,2)=0))),Flows!$C58,0))</f>
        <v/>
      </c>
      <c r="AC57" s="13">
        <f>IF(OR($A57="",Flows!$C58=""),0,IF(AND(24&lt;=Setup!$B$5,24&gt;=$C57,OR(AND($E57="once",24=$C57),AND($E57="weekly",24&lt;=$D57),AND($E57="biweekly",24&lt;=$D57,MOD(24-$C57,2)=0))),Flows!$C58,0))</f>
        <v/>
      </c>
      <c r="AD57" s="13">
        <f>IF(OR($A57="",Flows!$C58=""),0,IF(AND(25&lt;=Setup!$B$5,25&gt;=$C57,OR(AND($E57="once",25=$C57),AND($E57="weekly",25&lt;=$D57),AND($E57="biweekly",25&lt;=$D57,MOD(25-$C57,2)=0))),Flows!$C58,0))</f>
        <v/>
      </c>
      <c r="AE57" s="13">
        <f>IF(OR($A57="",Flows!$C58=""),0,IF(AND(26&lt;=Setup!$B$5,26&gt;=$C57,OR(AND($E57="once",26=$C57),AND($E57="weekly",26&lt;=$D57),AND($E57="biweekly",26&lt;=$D57,MOD(26-$C57,2)=0))),Flows!$C58,0))</f>
        <v/>
      </c>
      <c r="AF57" s="13">
        <f>IF(OR($A57="",Flows!$C58=""),0,IF(AND(27&lt;=Setup!$B$5,27&gt;=$C57,OR(AND($E57="once",27=$C57),AND($E57="weekly",27&lt;=$D57),AND($E57="biweekly",27&lt;=$D57,MOD(27-$C57,2)=0))),Flows!$C58,0))</f>
        <v/>
      </c>
      <c r="AG57" s="13">
        <f>IF(OR($A57="",Flows!$C58=""),0,IF(AND(28&lt;=Setup!$B$5,28&gt;=$C57,OR(AND($E57="once",28=$C57),AND($E57="weekly",28&lt;=$D57),AND($E57="biweekly",28&lt;=$D57,MOD(28-$C57,2)=0))),Flows!$C58,0))</f>
        <v/>
      </c>
      <c r="AH57" s="13">
        <f>IF(OR($A57="",Flows!$C58=""),0,IF(AND(29&lt;=Setup!$B$5,29&gt;=$C57,OR(AND($E57="once",29=$C57),AND($E57="weekly",29&lt;=$D57),AND($E57="biweekly",29&lt;=$D57,MOD(29-$C57,2)=0))),Flows!$C58,0))</f>
        <v/>
      </c>
      <c r="AI57" s="13">
        <f>IF(OR($A57="",Flows!$C58=""),0,IF(AND(30&lt;=Setup!$B$5,30&gt;=$C57,OR(AND($E57="once",30=$C57),AND($E57="weekly",30&lt;=$D57),AND($E57="biweekly",30&lt;=$D57,MOD(30-$C57,2)=0))),Flows!$C58,0))</f>
        <v/>
      </c>
      <c r="AJ57" s="13">
        <f>IF(OR($A57="",Flows!$C58=""),0,IF(AND(31&lt;=Setup!$B$5,31&gt;=$C57,OR(AND($E57="once",31=$C57),AND($E57="weekly",31&lt;=$D57),AND($E57="biweekly",31&lt;=$D57,MOD(31-$C57,2)=0))),Flows!$C58,0))</f>
        <v/>
      </c>
      <c r="AK57" s="13">
        <f>IF(OR($A57="",Flows!$C58=""),0,IF(AND(32&lt;=Setup!$B$5,32&gt;=$C57,OR(AND($E57="once",32=$C57),AND($E57="weekly",32&lt;=$D57),AND($E57="biweekly",32&lt;=$D57,MOD(32-$C57,2)=0))),Flows!$C58,0))</f>
        <v/>
      </c>
      <c r="AL57" s="13">
        <f>IF(OR($A57="",Flows!$C58=""),0,IF(AND(33&lt;=Setup!$B$5,33&gt;=$C57,OR(AND($E57="once",33=$C57),AND($E57="weekly",33&lt;=$D57),AND($E57="biweekly",33&lt;=$D57,MOD(33-$C57,2)=0))),Flows!$C58,0))</f>
        <v/>
      </c>
      <c r="AM57" s="13">
        <f>IF(OR($A57="",Flows!$C58=""),0,IF(AND(34&lt;=Setup!$B$5,34&gt;=$C57,OR(AND($E57="once",34=$C57),AND($E57="weekly",34&lt;=$D57),AND($E57="biweekly",34&lt;=$D57,MOD(34-$C57,2)=0))),Flows!$C58,0))</f>
        <v/>
      </c>
      <c r="AN57" s="13">
        <f>IF(OR($A57="",Flows!$C58=""),0,IF(AND(35&lt;=Setup!$B$5,35&gt;=$C57,OR(AND($E57="once",35=$C57),AND($E57="weekly",35&lt;=$D57),AND($E57="biweekly",35&lt;=$D57,MOD(35-$C57,2)=0))),Flows!$C58,0))</f>
        <v/>
      </c>
      <c r="AO57" s="13">
        <f>IF(OR($A57="",Flows!$C58=""),0,IF(AND(36&lt;=Setup!$B$5,36&gt;=$C57,OR(AND($E57="once",36=$C57),AND($E57="weekly",36&lt;=$D57),AND($E57="biweekly",36&lt;=$D57,MOD(36-$C57,2)=0))),Flows!$C58,0))</f>
        <v/>
      </c>
      <c r="AP57" s="13">
        <f>IF(OR($A57="",Flows!$C58=""),0,IF(AND(37&lt;=Setup!$B$5,37&gt;=$C57,OR(AND($E57="once",37=$C57),AND($E57="weekly",37&lt;=$D57),AND($E57="biweekly",37&lt;=$D57,MOD(37-$C57,2)=0))),Flows!$C58,0))</f>
        <v/>
      </c>
      <c r="AQ57" s="13">
        <f>IF(OR($A57="",Flows!$C58=""),0,IF(AND(38&lt;=Setup!$B$5,38&gt;=$C57,OR(AND($E57="once",38=$C57),AND($E57="weekly",38&lt;=$D57),AND($E57="biweekly",38&lt;=$D57,MOD(38-$C57,2)=0))),Flows!$C58,0))</f>
        <v/>
      </c>
      <c r="AR57" s="13">
        <f>IF(OR($A57="",Flows!$C58=""),0,IF(AND(39&lt;=Setup!$B$5,39&gt;=$C57,OR(AND($E57="once",39=$C57),AND($E57="weekly",39&lt;=$D57),AND($E57="biweekly",39&lt;=$D57,MOD(39-$C57,2)=0))),Flows!$C58,0))</f>
        <v/>
      </c>
      <c r="AS57" s="13">
        <f>IF(OR($A57="",Flows!$C58=""),0,IF(AND(40&lt;=Setup!$B$5,40&gt;=$C57,OR(AND($E57="once",40=$C57),AND($E57="weekly",40&lt;=$D57),AND($E57="biweekly",40&lt;=$D57,MOD(40-$C57,2)=0))),Flows!$C58,0))</f>
        <v/>
      </c>
      <c r="AT57" s="13">
        <f>IF(OR($A57="",Flows!$C58=""),0,IF(AND(41&lt;=Setup!$B$5,41&gt;=$C57,OR(AND($E57="once",41=$C57),AND($E57="weekly",41&lt;=$D57),AND($E57="biweekly",41&lt;=$D57,MOD(41-$C57,2)=0))),Flows!$C58,0))</f>
        <v/>
      </c>
      <c r="AU57" s="13">
        <f>IF(OR($A57="",Flows!$C58=""),0,IF(AND(42&lt;=Setup!$B$5,42&gt;=$C57,OR(AND($E57="once",42=$C57),AND($E57="weekly",42&lt;=$D57),AND($E57="biweekly",42&lt;=$D57,MOD(42-$C57,2)=0))),Flows!$C58,0))</f>
        <v/>
      </c>
      <c r="AV57" s="13">
        <f>IF(OR($A57="",Flows!$C58=""),0,IF(AND(43&lt;=Setup!$B$5,43&gt;=$C57,OR(AND($E57="once",43=$C57),AND($E57="weekly",43&lt;=$D57),AND($E57="biweekly",43&lt;=$D57,MOD(43-$C57,2)=0))),Flows!$C58,0))</f>
        <v/>
      </c>
      <c r="AW57" s="13">
        <f>IF(OR($A57="",Flows!$C58=""),0,IF(AND(44&lt;=Setup!$B$5,44&gt;=$C57,OR(AND($E57="once",44=$C57),AND($E57="weekly",44&lt;=$D57),AND($E57="biweekly",44&lt;=$D57,MOD(44-$C57,2)=0))),Flows!$C58,0))</f>
        <v/>
      </c>
      <c r="AX57" s="13">
        <f>IF(OR($A57="",Flows!$C58=""),0,IF(AND(45&lt;=Setup!$B$5,45&gt;=$C57,OR(AND($E57="once",45=$C57),AND($E57="weekly",45&lt;=$D57),AND($E57="biweekly",45&lt;=$D57,MOD(45-$C57,2)=0))),Flows!$C58,0))</f>
        <v/>
      </c>
      <c r="AY57" s="13">
        <f>IF(OR($A57="",Flows!$C58=""),0,IF(AND(46&lt;=Setup!$B$5,46&gt;=$C57,OR(AND($E57="once",46=$C57),AND($E57="weekly",46&lt;=$D57),AND($E57="biweekly",46&lt;=$D57,MOD(46-$C57,2)=0))),Flows!$C58,0))</f>
        <v/>
      </c>
      <c r="AZ57" s="13">
        <f>IF(OR($A57="",Flows!$C58=""),0,IF(AND(47&lt;=Setup!$B$5,47&gt;=$C57,OR(AND($E57="once",47=$C57),AND($E57="weekly",47&lt;=$D57),AND($E57="biweekly",47&lt;=$D57,MOD(47-$C57,2)=0))),Flows!$C58,0))</f>
        <v/>
      </c>
      <c r="BA57" s="13">
        <f>IF(OR($A57="",Flows!$C58=""),0,IF(AND(48&lt;=Setup!$B$5,48&gt;=$C57,OR(AND($E57="once",48=$C57),AND($E57="weekly",48&lt;=$D57),AND($E57="biweekly",48&lt;=$D57,MOD(48-$C57,2)=0))),Flows!$C58,0))</f>
        <v/>
      </c>
      <c r="BB57" s="13">
        <f>IF(OR($A57="",Flows!$C58=""),0,IF(AND(49&lt;=Setup!$B$5,49&gt;=$C57,OR(AND($E57="once",49=$C57),AND($E57="weekly",49&lt;=$D57),AND($E57="biweekly",49&lt;=$D57,MOD(49-$C57,2)=0))),Flows!$C58,0))</f>
        <v/>
      </c>
      <c r="BC57" s="13">
        <f>IF(OR($A57="",Flows!$C58=""),0,IF(AND(50&lt;=Setup!$B$5,50&gt;=$C57,OR(AND($E57="once",50=$C57),AND($E57="weekly",50&lt;=$D57),AND($E57="biweekly",50&lt;=$D57,MOD(50-$C57,2)=0))),Flows!$C58,0))</f>
        <v/>
      </c>
      <c r="BD57" s="13">
        <f>IF(OR($A57="",Flows!$C58=""),0,IF(AND(51&lt;=Setup!$B$5,51&gt;=$C57,OR(AND($E57="once",51=$C57),AND($E57="weekly",51&lt;=$D57),AND($E57="biweekly",51&lt;=$D57,MOD(51-$C57,2)=0))),Flows!$C58,0))</f>
        <v/>
      </c>
      <c r="BE57" s="13">
        <f>IF(OR($A57="",Flows!$C58=""),0,IF(AND(52&lt;=Setup!$B$5,52&gt;=$C57,OR(AND($E57="once",52=$C57),AND($E57="weekly",52&lt;=$D57),AND($E57="biweekly",52&lt;=$D57,MOD(52-$C57,2)=0))),Flows!$C58,0))</f>
        <v/>
      </c>
    </row>
    <row r="58">
      <c r="A58" s="7">
        <f>IF(Flows!A59="","",LOWER(Flows!A59))</f>
        <v/>
      </c>
      <c r="B58" s="7">
        <f>IF(Flows!B59="","",Flows!B59)</f>
        <v/>
      </c>
      <c r="C58" s="7">
        <f>N(Flows!D59)</f>
        <v/>
      </c>
      <c r="D58" s="7">
        <f>IF(Flows!F59="",Setup!$B$5,Flows!F59)</f>
        <v/>
      </c>
      <c r="E58" s="7">
        <f>IF(Flows!E59="","once",LOWER(Flows!E59))</f>
        <v/>
      </c>
      <c r="F58" s="13">
        <f>IF(OR($A58="",Flows!$C59=""),0,IF(AND(1&lt;=Setup!$B$5,1&gt;=$C58,OR(AND($E58="once",1=$C58),AND($E58="weekly",1&lt;=$D58),AND($E58="biweekly",1&lt;=$D58,MOD(1-$C58,2)=0))),Flows!$C59,0))</f>
        <v/>
      </c>
      <c r="G58" s="13">
        <f>IF(OR($A58="",Flows!$C59=""),0,IF(AND(2&lt;=Setup!$B$5,2&gt;=$C58,OR(AND($E58="once",2=$C58),AND($E58="weekly",2&lt;=$D58),AND($E58="biweekly",2&lt;=$D58,MOD(2-$C58,2)=0))),Flows!$C59,0))</f>
        <v/>
      </c>
      <c r="H58" s="13">
        <f>IF(OR($A58="",Flows!$C59=""),0,IF(AND(3&lt;=Setup!$B$5,3&gt;=$C58,OR(AND($E58="once",3=$C58),AND($E58="weekly",3&lt;=$D58),AND($E58="biweekly",3&lt;=$D58,MOD(3-$C58,2)=0))),Flows!$C59,0))</f>
        <v/>
      </c>
      <c r="I58" s="13">
        <f>IF(OR($A58="",Flows!$C59=""),0,IF(AND(4&lt;=Setup!$B$5,4&gt;=$C58,OR(AND($E58="once",4=$C58),AND($E58="weekly",4&lt;=$D58),AND($E58="biweekly",4&lt;=$D58,MOD(4-$C58,2)=0))),Flows!$C59,0))</f>
        <v/>
      </c>
      <c r="J58" s="13">
        <f>IF(OR($A58="",Flows!$C59=""),0,IF(AND(5&lt;=Setup!$B$5,5&gt;=$C58,OR(AND($E58="once",5=$C58),AND($E58="weekly",5&lt;=$D58),AND($E58="biweekly",5&lt;=$D58,MOD(5-$C58,2)=0))),Flows!$C59,0))</f>
        <v/>
      </c>
      <c r="K58" s="13">
        <f>IF(OR($A58="",Flows!$C59=""),0,IF(AND(6&lt;=Setup!$B$5,6&gt;=$C58,OR(AND($E58="once",6=$C58),AND($E58="weekly",6&lt;=$D58),AND($E58="biweekly",6&lt;=$D58,MOD(6-$C58,2)=0))),Flows!$C59,0))</f>
        <v/>
      </c>
      <c r="L58" s="13">
        <f>IF(OR($A58="",Flows!$C59=""),0,IF(AND(7&lt;=Setup!$B$5,7&gt;=$C58,OR(AND($E58="once",7=$C58),AND($E58="weekly",7&lt;=$D58),AND($E58="biweekly",7&lt;=$D58,MOD(7-$C58,2)=0))),Flows!$C59,0))</f>
        <v/>
      </c>
      <c r="M58" s="13">
        <f>IF(OR($A58="",Flows!$C59=""),0,IF(AND(8&lt;=Setup!$B$5,8&gt;=$C58,OR(AND($E58="once",8=$C58),AND($E58="weekly",8&lt;=$D58),AND($E58="biweekly",8&lt;=$D58,MOD(8-$C58,2)=0))),Flows!$C59,0))</f>
        <v/>
      </c>
      <c r="N58" s="13">
        <f>IF(OR($A58="",Flows!$C59=""),0,IF(AND(9&lt;=Setup!$B$5,9&gt;=$C58,OR(AND($E58="once",9=$C58),AND($E58="weekly",9&lt;=$D58),AND($E58="biweekly",9&lt;=$D58,MOD(9-$C58,2)=0))),Flows!$C59,0))</f>
        <v/>
      </c>
      <c r="O58" s="13">
        <f>IF(OR($A58="",Flows!$C59=""),0,IF(AND(10&lt;=Setup!$B$5,10&gt;=$C58,OR(AND($E58="once",10=$C58),AND($E58="weekly",10&lt;=$D58),AND($E58="biweekly",10&lt;=$D58,MOD(10-$C58,2)=0))),Flows!$C59,0))</f>
        <v/>
      </c>
      <c r="P58" s="13">
        <f>IF(OR($A58="",Flows!$C59=""),0,IF(AND(11&lt;=Setup!$B$5,11&gt;=$C58,OR(AND($E58="once",11=$C58),AND($E58="weekly",11&lt;=$D58),AND($E58="biweekly",11&lt;=$D58,MOD(11-$C58,2)=0))),Flows!$C59,0))</f>
        <v/>
      </c>
      <c r="Q58" s="13">
        <f>IF(OR($A58="",Flows!$C59=""),0,IF(AND(12&lt;=Setup!$B$5,12&gt;=$C58,OR(AND($E58="once",12=$C58),AND($E58="weekly",12&lt;=$D58),AND($E58="biweekly",12&lt;=$D58,MOD(12-$C58,2)=0))),Flows!$C59,0))</f>
        <v/>
      </c>
      <c r="R58" s="13">
        <f>IF(OR($A58="",Flows!$C59=""),0,IF(AND(13&lt;=Setup!$B$5,13&gt;=$C58,OR(AND($E58="once",13=$C58),AND($E58="weekly",13&lt;=$D58),AND($E58="biweekly",13&lt;=$D58,MOD(13-$C58,2)=0))),Flows!$C59,0))</f>
        <v/>
      </c>
      <c r="S58" s="13">
        <f>IF(OR($A58="",Flows!$C59=""),0,IF(AND(14&lt;=Setup!$B$5,14&gt;=$C58,OR(AND($E58="once",14=$C58),AND($E58="weekly",14&lt;=$D58),AND($E58="biweekly",14&lt;=$D58,MOD(14-$C58,2)=0))),Flows!$C59,0))</f>
        <v/>
      </c>
      <c r="T58" s="13">
        <f>IF(OR($A58="",Flows!$C59=""),0,IF(AND(15&lt;=Setup!$B$5,15&gt;=$C58,OR(AND($E58="once",15=$C58),AND($E58="weekly",15&lt;=$D58),AND($E58="biweekly",15&lt;=$D58,MOD(15-$C58,2)=0))),Flows!$C59,0))</f>
        <v/>
      </c>
      <c r="U58" s="13">
        <f>IF(OR($A58="",Flows!$C59=""),0,IF(AND(16&lt;=Setup!$B$5,16&gt;=$C58,OR(AND($E58="once",16=$C58),AND($E58="weekly",16&lt;=$D58),AND($E58="biweekly",16&lt;=$D58,MOD(16-$C58,2)=0))),Flows!$C59,0))</f>
        <v/>
      </c>
      <c r="V58" s="13">
        <f>IF(OR($A58="",Flows!$C59=""),0,IF(AND(17&lt;=Setup!$B$5,17&gt;=$C58,OR(AND($E58="once",17=$C58),AND($E58="weekly",17&lt;=$D58),AND($E58="biweekly",17&lt;=$D58,MOD(17-$C58,2)=0))),Flows!$C59,0))</f>
        <v/>
      </c>
      <c r="W58" s="13">
        <f>IF(OR($A58="",Flows!$C59=""),0,IF(AND(18&lt;=Setup!$B$5,18&gt;=$C58,OR(AND($E58="once",18=$C58),AND($E58="weekly",18&lt;=$D58),AND($E58="biweekly",18&lt;=$D58,MOD(18-$C58,2)=0))),Flows!$C59,0))</f>
        <v/>
      </c>
      <c r="X58" s="13">
        <f>IF(OR($A58="",Flows!$C59=""),0,IF(AND(19&lt;=Setup!$B$5,19&gt;=$C58,OR(AND($E58="once",19=$C58),AND($E58="weekly",19&lt;=$D58),AND($E58="biweekly",19&lt;=$D58,MOD(19-$C58,2)=0))),Flows!$C59,0))</f>
        <v/>
      </c>
      <c r="Y58" s="13">
        <f>IF(OR($A58="",Flows!$C59=""),0,IF(AND(20&lt;=Setup!$B$5,20&gt;=$C58,OR(AND($E58="once",20=$C58),AND($E58="weekly",20&lt;=$D58),AND($E58="biweekly",20&lt;=$D58,MOD(20-$C58,2)=0))),Flows!$C59,0))</f>
        <v/>
      </c>
      <c r="Z58" s="13">
        <f>IF(OR($A58="",Flows!$C59=""),0,IF(AND(21&lt;=Setup!$B$5,21&gt;=$C58,OR(AND($E58="once",21=$C58),AND($E58="weekly",21&lt;=$D58),AND($E58="biweekly",21&lt;=$D58,MOD(21-$C58,2)=0))),Flows!$C59,0))</f>
        <v/>
      </c>
      <c r="AA58" s="13">
        <f>IF(OR($A58="",Flows!$C59=""),0,IF(AND(22&lt;=Setup!$B$5,22&gt;=$C58,OR(AND($E58="once",22=$C58),AND($E58="weekly",22&lt;=$D58),AND($E58="biweekly",22&lt;=$D58,MOD(22-$C58,2)=0))),Flows!$C59,0))</f>
        <v/>
      </c>
      <c r="AB58" s="13">
        <f>IF(OR($A58="",Flows!$C59=""),0,IF(AND(23&lt;=Setup!$B$5,23&gt;=$C58,OR(AND($E58="once",23=$C58),AND($E58="weekly",23&lt;=$D58),AND($E58="biweekly",23&lt;=$D58,MOD(23-$C58,2)=0))),Flows!$C59,0))</f>
        <v/>
      </c>
      <c r="AC58" s="13">
        <f>IF(OR($A58="",Flows!$C59=""),0,IF(AND(24&lt;=Setup!$B$5,24&gt;=$C58,OR(AND($E58="once",24=$C58),AND($E58="weekly",24&lt;=$D58),AND($E58="biweekly",24&lt;=$D58,MOD(24-$C58,2)=0))),Flows!$C59,0))</f>
        <v/>
      </c>
      <c r="AD58" s="13">
        <f>IF(OR($A58="",Flows!$C59=""),0,IF(AND(25&lt;=Setup!$B$5,25&gt;=$C58,OR(AND($E58="once",25=$C58),AND($E58="weekly",25&lt;=$D58),AND($E58="biweekly",25&lt;=$D58,MOD(25-$C58,2)=0))),Flows!$C59,0))</f>
        <v/>
      </c>
      <c r="AE58" s="13">
        <f>IF(OR($A58="",Flows!$C59=""),0,IF(AND(26&lt;=Setup!$B$5,26&gt;=$C58,OR(AND($E58="once",26=$C58),AND($E58="weekly",26&lt;=$D58),AND($E58="biweekly",26&lt;=$D58,MOD(26-$C58,2)=0))),Flows!$C59,0))</f>
        <v/>
      </c>
      <c r="AF58" s="13">
        <f>IF(OR($A58="",Flows!$C59=""),0,IF(AND(27&lt;=Setup!$B$5,27&gt;=$C58,OR(AND($E58="once",27=$C58),AND($E58="weekly",27&lt;=$D58),AND($E58="biweekly",27&lt;=$D58,MOD(27-$C58,2)=0))),Flows!$C59,0))</f>
        <v/>
      </c>
      <c r="AG58" s="13">
        <f>IF(OR($A58="",Flows!$C59=""),0,IF(AND(28&lt;=Setup!$B$5,28&gt;=$C58,OR(AND($E58="once",28=$C58),AND($E58="weekly",28&lt;=$D58),AND($E58="biweekly",28&lt;=$D58,MOD(28-$C58,2)=0))),Flows!$C59,0))</f>
        <v/>
      </c>
      <c r="AH58" s="13">
        <f>IF(OR($A58="",Flows!$C59=""),0,IF(AND(29&lt;=Setup!$B$5,29&gt;=$C58,OR(AND($E58="once",29=$C58),AND($E58="weekly",29&lt;=$D58),AND($E58="biweekly",29&lt;=$D58,MOD(29-$C58,2)=0))),Flows!$C59,0))</f>
        <v/>
      </c>
      <c r="AI58" s="13">
        <f>IF(OR($A58="",Flows!$C59=""),0,IF(AND(30&lt;=Setup!$B$5,30&gt;=$C58,OR(AND($E58="once",30=$C58),AND($E58="weekly",30&lt;=$D58),AND($E58="biweekly",30&lt;=$D58,MOD(30-$C58,2)=0))),Flows!$C59,0))</f>
        <v/>
      </c>
      <c r="AJ58" s="13">
        <f>IF(OR($A58="",Flows!$C59=""),0,IF(AND(31&lt;=Setup!$B$5,31&gt;=$C58,OR(AND($E58="once",31=$C58),AND($E58="weekly",31&lt;=$D58),AND($E58="biweekly",31&lt;=$D58,MOD(31-$C58,2)=0))),Flows!$C59,0))</f>
        <v/>
      </c>
      <c r="AK58" s="13">
        <f>IF(OR($A58="",Flows!$C59=""),0,IF(AND(32&lt;=Setup!$B$5,32&gt;=$C58,OR(AND($E58="once",32=$C58),AND($E58="weekly",32&lt;=$D58),AND($E58="biweekly",32&lt;=$D58,MOD(32-$C58,2)=0))),Flows!$C59,0))</f>
        <v/>
      </c>
      <c r="AL58" s="13">
        <f>IF(OR($A58="",Flows!$C59=""),0,IF(AND(33&lt;=Setup!$B$5,33&gt;=$C58,OR(AND($E58="once",33=$C58),AND($E58="weekly",33&lt;=$D58),AND($E58="biweekly",33&lt;=$D58,MOD(33-$C58,2)=0))),Flows!$C59,0))</f>
        <v/>
      </c>
      <c r="AM58" s="13">
        <f>IF(OR($A58="",Flows!$C59=""),0,IF(AND(34&lt;=Setup!$B$5,34&gt;=$C58,OR(AND($E58="once",34=$C58),AND($E58="weekly",34&lt;=$D58),AND($E58="biweekly",34&lt;=$D58,MOD(34-$C58,2)=0))),Flows!$C59,0))</f>
        <v/>
      </c>
      <c r="AN58" s="13">
        <f>IF(OR($A58="",Flows!$C59=""),0,IF(AND(35&lt;=Setup!$B$5,35&gt;=$C58,OR(AND($E58="once",35=$C58),AND($E58="weekly",35&lt;=$D58),AND($E58="biweekly",35&lt;=$D58,MOD(35-$C58,2)=0))),Flows!$C59,0))</f>
        <v/>
      </c>
      <c r="AO58" s="13">
        <f>IF(OR($A58="",Flows!$C59=""),0,IF(AND(36&lt;=Setup!$B$5,36&gt;=$C58,OR(AND($E58="once",36=$C58),AND($E58="weekly",36&lt;=$D58),AND($E58="biweekly",36&lt;=$D58,MOD(36-$C58,2)=0))),Flows!$C59,0))</f>
        <v/>
      </c>
      <c r="AP58" s="13">
        <f>IF(OR($A58="",Flows!$C59=""),0,IF(AND(37&lt;=Setup!$B$5,37&gt;=$C58,OR(AND($E58="once",37=$C58),AND($E58="weekly",37&lt;=$D58),AND($E58="biweekly",37&lt;=$D58,MOD(37-$C58,2)=0))),Flows!$C59,0))</f>
        <v/>
      </c>
      <c r="AQ58" s="13">
        <f>IF(OR($A58="",Flows!$C59=""),0,IF(AND(38&lt;=Setup!$B$5,38&gt;=$C58,OR(AND($E58="once",38=$C58),AND($E58="weekly",38&lt;=$D58),AND($E58="biweekly",38&lt;=$D58,MOD(38-$C58,2)=0))),Flows!$C59,0))</f>
        <v/>
      </c>
      <c r="AR58" s="13">
        <f>IF(OR($A58="",Flows!$C59=""),0,IF(AND(39&lt;=Setup!$B$5,39&gt;=$C58,OR(AND($E58="once",39=$C58),AND($E58="weekly",39&lt;=$D58),AND($E58="biweekly",39&lt;=$D58,MOD(39-$C58,2)=0))),Flows!$C59,0))</f>
        <v/>
      </c>
      <c r="AS58" s="13">
        <f>IF(OR($A58="",Flows!$C59=""),0,IF(AND(40&lt;=Setup!$B$5,40&gt;=$C58,OR(AND($E58="once",40=$C58),AND($E58="weekly",40&lt;=$D58),AND($E58="biweekly",40&lt;=$D58,MOD(40-$C58,2)=0))),Flows!$C59,0))</f>
        <v/>
      </c>
      <c r="AT58" s="13">
        <f>IF(OR($A58="",Flows!$C59=""),0,IF(AND(41&lt;=Setup!$B$5,41&gt;=$C58,OR(AND($E58="once",41=$C58),AND($E58="weekly",41&lt;=$D58),AND($E58="biweekly",41&lt;=$D58,MOD(41-$C58,2)=0))),Flows!$C59,0))</f>
        <v/>
      </c>
      <c r="AU58" s="13">
        <f>IF(OR($A58="",Flows!$C59=""),0,IF(AND(42&lt;=Setup!$B$5,42&gt;=$C58,OR(AND($E58="once",42=$C58),AND($E58="weekly",42&lt;=$D58),AND($E58="biweekly",42&lt;=$D58,MOD(42-$C58,2)=0))),Flows!$C59,0))</f>
        <v/>
      </c>
      <c r="AV58" s="13">
        <f>IF(OR($A58="",Flows!$C59=""),0,IF(AND(43&lt;=Setup!$B$5,43&gt;=$C58,OR(AND($E58="once",43=$C58),AND($E58="weekly",43&lt;=$D58),AND($E58="biweekly",43&lt;=$D58,MOD(43-$C58,2)=0))),Flows!$C59,0))</f>
        <v/>
      </c>
      <c r="AW58" s="13">
        <f>IF(OR($A58="",Flows!$C59=""),0,IF(AND(44&lt;=Setup!$B$5,44&gt;=$C58,OR(AND($E58="once",44=$C58),AND($E58="weekly",44&lt;=$D58),AND($E58="biweekly",44&lt;=$D58,MOD(44-$C58,2)=0))),Flows!$C59,0))</f>
        <v/>
      </c>
      <c r="AX58" s="13">
        <f>IF(OR($A58="",Flows!$C59=""),0,IF(AND(45&lt;=Setup!$B$5,45&gt;=$C58,OR(AND($E58="once",45=$C58),AND($E58="weekly",45&lt;=$D58),AND($E58="biweekly",45&lt;=$D58,MOD(45-$C58,2)=0))),Flows!$C59,0))</f>
        <v/>
      </c>
      <c r="AY58" s="13">
        <f>IF(OR($A58="",Flows!$C59=""),0,IF(AND(46&lt;=Setup!$B$5,46&gt;=$C58,OR(AND($E58="once",46=$C58),AND($E58="weekly",46&lt;=$D58),AND($E58="biweekly",46&lt;=$D58,MOD(46-$C58,2)=0))),Flows!$C59,0))</f>
        <v/>
      </c>
      <c r="AZ58" s="13">
        <f>IF(OR($A58="",Flows!$C59=""),0,IF(AND(47&lt;=Setup!$B$5,47&gt;=$C58,OR(AND($E58="once",47=$C58),AND($E58="weekly",47&lt;=$D58),AND($E58="biweekly",47&lt;=$D58,MOD(47-$C58,2)=0))),Flows!$C59,0))</f>
        <v/>
      </c>
      <c r="BA58" s="13">
        <f>IF(OR($A58="",Flows!$C59=""),0,IF(AND(48&lt;=Setup!$B$5,48&gt;=$C58,OR(AND($E58="once",48=$C58),AND($E58="weekly",48&lt;=$D58),AND($E58="biweekly",48&lt;=$D58,MOD(48-$C58,2)=0))),Flows!$C59,0))</f>
        <v/>
      </c>
      <c r="BB58" s="13">
        <f>IF(OR($A58="",Flows!$C59=""),0,IF(AND(49&lt;=Setup!$B$5,49&gt;=$C58,OR(AND($E58="once",49=$C58),AND($E58="weekly",49&lt;=$D58),AND($E58="biweekly",49&lt;=$D58,MOD(49-$C58,2)=0))),Flows!$C59,0))</f>
        <v/>
      </c>
      <c r="BC58" s="13">
        <f>IF(OR($A58="",Flows!$C59=""),0,IF(AND(50&lt;=Setup!$B$5,50&gt;=$C58,OR(AND($E58="once",50=$C58),AND($E58="weekly",50&lt;=$D58),AND($E58="biweekly",50&lt;=$D58,MOD(50-$C58,2)=0))),Flows!$C59,0))</f>
        <v/>
      </c>
      <c r="BD58" s="13">
        <f>IF(OR($A58="",Flows!$C59=""),0,IF(AND(51&lt;=Setup!$B$5,51&gt;=$C58,OR(AND($E58="once",51=$C58),AND($E58="weekly",51&lt;=$D58),AND($E58="biweekly",51&lt;=$D58,MOD(51-$C58,2)=0))),Flows!$C59,0))</f>
        <v/>
      </c>
      <c r="BE58" s="13">
        <f>IF(OR($A58="",Flows!$C59=""),0,IF(AND(52&lt;=Setup!$B$5,52&gt;=$C58,OR(AND($E58="once",52=$C58),AND($E58="weekly",52&lt;=$D58),AND($E58="biweekly",52&lt;=$D58,MOD(52-$C58,2)=0))),Flows!$C59,0))</f>
        <v/>
      </c>
    </row>
    <row r="59">
      <c r="A59" s="7">
        <f>IF(Flows!A60="","",LOWER(Flows!A60))</f>
        <v/>
      </c>
      <c r="B59" s="7">
        <f>IF(Flows!B60="","",Flows!B60)</f>
        <v/>
      </c>
      <c r="C59" s="7">
        <f>N(Flows!D60)</f>
        <v/>
      </c>
      <c r="D59" s="7">
        <f>IF(Flows!F60="",Setup!$B$5,Flows!F60)</f>
        <v/>
      </c>
      <c r="E59" s="7">
        <f>IF(Flows!E60="","once",LOWER(Flows!E60))</f>
        <v/>
      </c>
      <c r="F59" s="13">
        <f>IF(OR($A59="",Flows!$C60=""),0,IF(AND(1&lt;=Setup!$B$5,1&gt;=$C59,OR(AND($E59="once",1=$C59),AND($E59="weekly",1&lt;=$D59),AND($E59="biweekly",1&lt;=$D59,MOD(1-$C59,2)=0))),Flows!$C60,0))</f>
        <v/>
      </c>
      <c r="G59" s="13">
        <f>IF(OR($A59="",Flows!$C60=""),0,IF(AND(2&lt;=Setup!$B$5,2&gt;=$C59,OR(AND($E59="once",2=$C59),AND($E59="weekly",2&lt;=$D59),AND($E59="biweekly",2&lt;=$D59,MOD(2-$C59,2)=0))),Flows!$C60,0))</f>
        <v/>
      </c>
      <c r="H59" s="13">
        <f>IF(OR($A59="",Flows!$C60=""),0,IF(AND(3&lt;=Setup!$B$5,3&gt;=$C59,OR(AND($E59="once",3=$C59),AND($E59="weekly",3&lt;=$D59),AND($E59="biweekly",3&lt;=$D59,MOD(3-$C59,2)=0))),Flows!$C60,0))</f>
        <v/>
      </c>
      <c r="I59" s="13">
        <f>IF(OR($A59="",Flows!$C60=""),0,IF(AND(4&lt;=Setup!$B$5,4&gt;=$C59,OR(AND($E59="once",4=$C59),AND($E59="weekly",4&lt;=$D59),AND($E59="biweekly",4&lt;=$D59,MOD(4-$C59,2)=0))),Flows!$C60,0))</f>
        <v/>
      </c>
      <c r="J59" s="13">
        <f>IF(OR($A59="",Flows!$C60=""),0,IF(AND(5&lt;=Setup!$B$5,5&gt;=$C59,OR(AND($E59="once",5=$C59),AND($E59="weekly",5&lt;=$D59),AND($E59="biweekly",5&lt;=$D59,MOD(5-$C59,2)=0))),Flows!$C60,0))</f>
        <v/>
      </c>
      <c r="K59" s="13">
        <f>IF(OR($A59="",Flows!$C60=""),0,IF(AND(6&lt;=Setup!$B$5,6&gt;=$C59,OR(AND($E59="once",6=$C59),AND($E59="weekly",6&lt;=$D59),AND($E59="biweekly",6&lt;=$D59,MOD(6-$C59,2)=0))),Flows!$C60,0))</f>
        <v/>
      </c>
      <c r="L59" s="13">
        <f>IF(OR($A59="",Flows!$C60=""),0,IF(AND(7&lt;=Setup!$B$5,7&gt;=$C59,OR(AND($E59="once",7=$C59),AND($E59="weekly",7&lt;=$D59),AND($E59="biweekly",7&lt;=$D59,MOD(7-$C59,2)=0))),Flows!$C60,0))</f>
        <v/>
      </c>
      <c r="M59" s="13">
        <f>IF(OR($A59="",Flows!$C60=""),0,IF(AND(8&lt;=Setup!$B$5,8&gt;=$C59,OR(AND($E59="once",8=$C59),AND($E59="weekly",8&lt;=$D59),AND($E59="biweekly",8&lt;=$D59,MOD(8-$C59,2)=0))),Flows!$C60,0))</f>
        <v/>
      </c>
      <c r="N59" s="13">
        <f>IF(OR($A59="",Flows!$C60=""),0,IF(AND(9&lt;=Setup!$B$5,9&gt;=$C59,OR(AND($E59="once",9=$C59),AND($E59="weekly",9&lt;=$D59),AND($E59="biweekly",9&lt;=$D59,MOD(9-$C59,2)=0))),Flows!$C60,0))</f>
        <v/>
      </c>
      <c r="O59" s="13">
        <f>IF(OR($A59="",Flows!$C60=""),0,IF(AND(10&lt;=Setup!$B$5,10&gt;=$C59,OR(AND($E59="once",10=$C59),AND($E59="weekly",10&lt;=$D59),AND($E59="biweekly",10&lt;=$D59,MOD(10-$C59,2)=0))),Flows!$C60,0))</f>
        <v/>
      </c>
      <c r="P59" s="13">
        <f>IF(OR($A59="",Flows!$C60=""),0,IF(AND(11&lt;=Setup!$B$5,11&gt;=$C59,OR(AND($E59="once",11=$C59),AND($E59="weekly",11&lt;=$D59),AND($E59="biweekly",11&lt;=$D59,MOD(11-$C59,2)=0))),Flows!$C60,0))</f>
        <v/>
      </c>
      <c r="Q59" s="13">
        <f>IF(OR($A59="",Flows!$C60=""),0,IF(AND(12&lt;=Setup!$B$5,12&gt;=$C59,OR(AND($E59="once",12=$C59),AND($E59="weekly",12&lt;=$D59),AND($E59="biweekly",12&lt;=$D59,MOD(12-$C59,2)=0))),Flows!$C60,0))</f>
        <v/>
      </c>
      <c r="R59" s="13">
        <f>IF(OR($A59="",Flows!$C60=""),0,IF(AND(13&lt;=Setup!$B$5,13&gt;=$C59,OR(AND($E59="once",13=$C59),AND($E59="weekly",13&lt;=$D59),AND($E59="biweekly",13&lt;=$D59,MOD(13-$C59,2)=0))),Flows!$C60,0))</f>
        <v/>
      </c>
      <c r="S59" s="13">
        <f>IF(OR($A59="",Flows!$C60=""),0,IF(AND(14&lt;=Setup!$B$5,14&gt;=$C59,OR(AND($E59="once",14=$C59),AND($E59="weekly",14&lt;=$D59),AND($E59="biweekly",14&lt;=$D59,MOD(14-$C59,2)=0))),Flows!$C60,0))</f>
        <v/>
      </c>
      <c r="T59" s="13">
        <f>IF(OR($A59="",Flows!$C60=""),0,IF(AND(15&lt;=Setup!$B$5,15&gt;=$C59,OR(AND($E59="once",15=$C59),AND($E59="weekly",15&lt;=$D59),AND($E59="biweekly",15&lt;=$D59,MOD(15-$C59,2)=0))),Flows!$C60,0))</f>
        <v/>
      </c>
      <c r="U59" s="13">
        <f>IF(OR($A59="",Flows!$C60=""),0,IF(AND(16&lt;=Setup!$B$5,16&gt;=$C59,OR(AND($E59="once",16=$C59),AND($E59="weekly",16&lt;=$D59),AND($E59="biweekly",16&lt;=$D59,MOD(16-$C59,2)=0))),Flows!$C60,0))</f>
        <v/>
      </c>
      <c r="V59" s="13">
        <f>IF(OR($A59="",Flows!$C60=""),0,IF(AND(17&lt;=Setup!$B$5,17&gt;=$C59,OR(AND($E59="once",17=$C59),AND($E59="weekly",17&lt;=$D59),AND($E59="biweekly",17&lt;=$D59,MOD(17-$C59,2)=0))),Flows!$C60,0))</f>
        <v/>
      </c>
      <c r="W59" s="13">
        <f>IF(OR($A59="",Flows!$C60=""),0,IF(AND(18&lt;=Setup!$B$5,18&gt;=$C59,OR(AND($E59="once",18=$C59),AND($E59="weekly",18&lt;=$D59),AND($E59="biweekly",18&lt;=$D59,MOD(18-$C59,2)=0))),Flows!$C60,0))</f>
        <v/>
      </c>
      <c r="X59" s="13">
        <f>IF(OR($A59="",Flows!$C60=""),0,IF(AND(19&lt;=Setup!$B$5,19&gt;=$C59,OR(AND($E59="once",19=$C59),AND($E59="weekly",19&lt;=$D59),AND($E59="biweekly",19&lt;=$D59,MOD(19-$C59,2)=0))),Flows!$C60,0))</f>
        <v/>
      </c>
      <c r="Y59" s="13">
        <f>IF(OR($A59="",Flows!$C60=""),0,IF(AND(20&lt;=Setup!$B$5,20&gt;=$C59,OR(AND($E59="once",20=$C59),AND($E59="weekly",20&lt;=$D59),AND($E59="biweekly",20&lt;=$D59,MOD(20-$C59,2)=0))),Flows!$C60,0))</f>
        <v/>
      </c>
      <c r="Z59" s="13">
        <f>IF(OR($A59="",Flows!$C60=""),0,IF(AND(21&lt;=Setup!$B$5,21&gt;=$C59,OR(AND($E59="once",21=$C59),AND($E59="weekly",21&lt;=$D59),AND($E59="biweekly",21&lt;=$D59,MOD(21-$C59,2)=0))),Flows!$C60,0))</f>
        <v/>
      </c>
      <c r="AA59" s="13">
        <f>IF(OR($A59="",Flows!$C60=""),0,IF(AND(22&lt;=Setup!$B$5,22&gt;=$C59,OR(AND($E59="once",22=$C59),AND($E59="weekly",22&lt;=$D59),AND($E59="biweekly",22&lt;=$D59,MOD(22-$C59,2)=0))),Flows!$C60,0))</f>
        <v/>
      </c>
      <c r="AB59" s="13">
        <f>IF(OR($A59="",Flows!$C60=""),0,IF(AND(23&lt;=Setup!$B$5,23&gt;=$C59,OR(AND($E59="once",23=$C59),AND($E59="weekly",23&lt;=$D59),AND($E59="biweekly",23&lt;=$D59,MOD(23-$C59,2)=0))),Flows!$C60,0))</f>
        <v/>
      </c>
      <c r="AC59" s="13">
        <f>IF(OR($A59="",Flows!$C60=""),0,IF(AND(24&lt;=Setup!$B$5,24&gt;=$C59,OR(AND($E59="once",24=$C59),AND($E59="weekly",24&lt;=$D59),AND($E59="biweekly",24&lt;=$D59,MOD(24-$C59,2)=0))),Flows!$C60,0))</f>
        <v/>
      </c>
      <c r="AD59" s="13">
        <f>IF(OR($A59="",Flows!$C60=""),0,IF(AND(25&lt;=Setup!$B$5,25&gt;=$C59,OR(AND($E59="once",25=$C59),AND($E59="weekly",25&lt;=$D59),AND($E59="biweekly",25&lt;=$D59,MOD(25-$C59,2)=0))),Flows!$C60,0))</f>
        <v/>
      </c>
      <c r="AE59" s="13">
        <f>IF(OR($A59="",Flows!$C60=""),0,IF(AND(26&lt;=Setup!$B$5,26&gt;=$C59,OR(AND($E59="once",26=$C59),AND($E59="weekly",26&lt;=$D59),AND($E59="biweekly",26&lt;=$D59,MOD(26-$C59,2)=0))),Flows!$C60,0))</f>
        <v/>
      </c>
      <c r="AF59" s="13">
        <f>IF(OR($A59="",Flows!$C60=""),0,IF(AND(27&lt;=Setup!$B$5,27&gt;=$C59,OR(AND($E59="once",27=$C59),AND($E59="weekly",27&lt;=$D59),AND($E59="biweekly",27&lt;=$D59,MOD(27-$C59,2)=0))),Flows!$C60,0))</f>
        <v/>
      </c>
      <c r="AG59" s="13">
        <f>IF(OR($A59="",Flows!$C60=""),0,IF(AND(28&lt;=Setup!$B$5,28&gt;=$C59,OR(AND($E59="once",28=$C59),AND($E59="weekly",28&lt;=$D59),AND($E59="biweekly",28&lt;=$D59,MOD(28-$C59,2)=0))),Flows!$C60,0))</f>
        <v/>
      </c>
      <c r="AH59" s="13">
        <f>IF(OR($A59="",Flows!$C60=""),0,IF(AND(29&lt;=Setup!$B$5,29&gt;=$C59,OR(AND($E59="once",29=$C59),AND($E59="weekly",29&lt;=$D59),AND($E59="biweekly",29&lt;=$D59,MOD(29-$C59,2)=0))),Flows!$C60,0))</f>
        <v/>
      </c>
      <c r="AI59" s="13">
        <f>IF(OR($A59="",Flows!$C60=""),0,IF(AND(30&lt;=Setup!$B$5,30&gt;=$C59,OR(AND($E59="once",30=$C59),AND($E59="weekly",30&lt;=$D59),AND($E59="biweekly",30&lt;=$D59,MOD(30-$C59,2)=0))),Flows!$C60,0))</f>
        <v/>
      </c>
      <c r="AJ59" s="13">
        <f>IF(OR($A59="",Flows!$C60=""),0,IF(AND(31&lt;=Setup!$B$5,31&gt;=$C59,OR(AND($E59="once",31=$C59),AND($E59="weekly",31&lt;=$D59),AND($E59="biweekly",31&lt;=$D59,MOD(31-$C59,2)=0))),Flows!$C60,0))</f>
        <v/>
      </c>
      <c r="AK59" s="13">
        <f>IF(OR($A59="",Flows!$C60=""),0,IF(AND(32&lt;=Setup!$B$5,32&gt;=$C59,OR(AND($E59="once",32=$C59),AND($E59="weekly",32&lt;=$D59),AND($E59="biweekly",32&lt;=$D59,MOD(32-$C59,2)=0))),Flows!$C60,0))</f>
        <v/>
      </c>
      <c r="AL59" s="13">
        <f>IF(OR($A59="",Flows!$C60=""),0,IF(AND(33&lt;=Setup!$B$5,33&gt;=$C59,OR(AND($E59="once",33=$C59),AND($E59="weekly",33&lt;=$D59),AND($E59="biweekly",33&lt;=$D59,MOD(33-$C59,2)=0))),Flows!$C60,0))</f>
        <v/>
      </c>
      <c r="AM59" s="13">
        <f>IF(OR($A59="",Flows!$C60=""),0,IF(AND(34&lt;=Setup!$B$5,34&gt;=$C59,OR(AND($E59="once",34=$C59),AND($E59="weekly",34&lt;=$D59),AND($E59="biweekly",34&lt;=$D59,MOD(34-$C59,2)=0))),Flows!$C60,0))</f>
        <v/>
      </c>
      <c r="AN59" s="13">
        <f>IF(OR($A59="",Flows!$C60=""),0,IF(AND(35&lt;=Setup!$B$5,35&gt;=$C59,OR(AND($E59="once",35=$C59),AND($E59="weekly",35&lt;=$D59),AND($E59="biweekly",35&lt;=$D59,MOD(35-$C59,2)=0))),Flows!$C60,0))</f>
        <v/>
      </c>
      <c r="AO59" s="13">
        <f>IF(OR($A59="",Flows!$C60=""),0,IF(AND(36&lt;=Setup!$B$5,36&gt;=$C59,OR(AND($E59="once",36=$C59),AND($E59="weekly",36&lt;=$D59),AND($E59="biweekly",36&lt;=$D59,MOD(36-$C59,2)=0))),Flows!$C60,0))</f>
        <v/>
      </c>
      <c r="AP59" s="13">
        <f>IF(OR($A59="",Flows!$C60=""),0,IF(AND(37&lt;=Setup!$B$5,37&gt;=$C59,OR(AND($E59="once",37=$C59),AND($E59="weekly",37&lt;=$D59),AND($E59="biweekly",37&lt;=$D59,MOD(37-$C59,2)=0))),Flows!$C60,0))</f>
        <v/>
      </c>
      <c r="AQ59" s="13">
        <f>IF(OR($A59="",Flows!$C60=""),0,IF(AND(38&lt;=Setup!$B$5,38&gt;=$C59,OR(AND($E59="once",38=$C59),AND($E59="weekly",38&lt;=$D59),AND($E59="biweekly",38&lt;=$D59,MOD(38-$C59,2)=0))),Flows!$C60,0))</f>
        <v/>
      </c>
      <c r="AR59" s="13">
        <f>IF(OR($A59="",Flows!$C60=""),0,IF(AND(39&lt;=Setup!$B$5,39&gt;=$C59,OR(AND($E59="once",39=$C59),AND($E59="weekly",39&lt;=$D59),AND($E59="biweekly",39&lt;=$D59,MOD(39-$C59,2)=0))),Flows!$C60,0))</f>
        <v/>
      </c>
      <c r="AS59" s="13">
        <f>IF(OR($A59="",Flows!$C60=""),0,IF(AND(40&lt;=Setup!$B$5,40&gt;=$C59,OR(AND($E59="once",40=$C59),AND($E59="weekly",40&lt;=$D59),AND($E59="biweekly",40&lt;=$D59,MOD(40-$C59,2)=0))),Flows!$C60,0))</f>
        <v/>
      </c>
      <c r="AT59" s="13">
        <f>IF(OR($A59="",Flows!$C60=""),0,IF(AND(41&lt;=Setup!$B$5,41&gt;=$C59,OR(AND($E59="once",41=$C59),AND($E59="weekly",41&lt;=$D59),AND($E59="biweekly",41&lt;=$D59,MOD(41-$C59,2)=0))),Flows!$C60,0))</f>
        <v/>
      </c>
      <c r="AU59" s="13">
        <f>IF(OR($A59="",Flows!$C60=""),0,IF(AND(42&lt;=Setup!$B$5,42&gt;=$C59,OR(AND($E59="once",42=$C59),AND($E59="weekly",42&lt;=$D59),AND($E59="biweekly",42&lt;=$D59,MOD(42-$C59,2)=0))),Flows!$C60,0))</f>
        <v/>
      </c>
      <c r="AV59" s="13">
        <f>IF(OR($A59="",Flows!$C60=""),0,IF(AND(43&lt;=Setup!$B$5,43&gt;=$C59,OR(AND($E59="once",43=$C59),AND($E59="weekly",43&lt;=$D59),AND($E59="biweekly",43&lt;=$D59,MOD(43-$C59,2)=0))),Flows!$C60,0))</f>
        <v/>
      </c>
      <c r="AW59" s="13">
        <f>IF(OR($A59="",Flows!$C60=""),0,IF(AND(44&lt;=Setup!$B$5,44&gt;=$C59,OR(AND($E59="once",44=$C59),AND($E59="weekly",44&lt;=$D59),AND($E59="biweekly",44&lt;=$D59,MOD(44-$C59,2)=0))),Flows!$C60,0))</f>
        <v/>
      </c>
      <c r="AX59" s="13">
        <f>IF(OR($A59="",Flows!$C60=""),0,IF(AND(45&lt;=Setup!$B$5,45&gt;=$C59,OR(AND($E59="once",45=$C59),AND($E59="weekly",45&lt;=$D59),AND($E59="biweekly",45&lt;=$D59,MOD(45-$C59,2)=0))),Flows!$C60,0))</f>
        <v/>
      </c>
      <c r="AY59" s="13">
        <f>IF(OR($A59="",Flows!$C60=""),0,IF(AND(46&lt;=Setup!$B$5,46&gt;=$C59,OR(AND($E59="once",46=$C59),AND($E59="weekly",46&lt;=$D59),AND($E59="biweekly",46&lt;=$D59,MOD(46-$C59,2)=0))),Flows!$C60,0))</f>
        <v/>
      </c>
      <c r="AZ59" s="13">
        <f>IF(OR($A59="",Flows!$C60=""),0,IF(AND(47&lt;=Setup!$B$5,47&gt;=$C59,OR(AND($E59="once",47=$C59),AND($E59="weekly",47&lt;=$D59),AND($E59="biweekly",47&lt;=$D59,MOD(47-$C59,2)=0))),Flows!$C60,0))</f>
        <v/>
      </c>
      <c r="BA59" s="13">
        <f>IF(OR($A59="",Flows!$C60=""),0,IF(AND(48&lt;=Setup!$B$5,48&gt;=$C59,OR(AND($E59="once",48=$C59),AND($E59="weekly",48&lt;=$D59),AND($E59="biweekly",48&lt;=$D59,MOD(48-$C59,2)=0))),Flows!$C60,0))</f>
        <v/>
      </c>
      <c r="BB59" s="13">
        <f>IF(OR($A59="",Flows!$C60=""),0,IF(AND(49&lt;=Setup!$B$5,49&gt;=$C59,OR(AND($E59="once",49=$C59),AND($E59="weekly",49&lt;=$D59),AND($E59="biweekly",49&lt;=$D59,MOD(49-$C59,2)=0))),Flows!$C60,0))</f>
        <v/>
      </c>
      <c r="BC59" s="13">
        <f>IF(OR($A59="",Flows!$C60=""),0,IF(AND(50&lt;=Setup!$B$5,50&gt;=$C59,OR(AND($E59="once",50=$C59),AND($E59="weekly",50&lt;=$D59),AND($E59="biweekly",50&lt;=$D59,MOD(50-$C59,2)=0))),Flows!$C60,0))</f>
        <v/>
      </c>
      <c r="BD59" s="13">
        <f>IF(OR($A59="",Flows!$C60=""),0,IF(AND(51&lt;=Setup!$B$5,51&gt;=$C59,OR(AND($E59="once",51=$C59),AND($E59="weekly",51&lt;=$D59),AND($E59="biweekly",51&lt;=$D59,MOD(51-$C59,2)=0))),Flows!$C60,0))</f>
        <v/>
      </c>
      <c r="BE59" s="13">
        <f>IF(OR($A59="",Flows!$C60=""),0,IF(AND(52&lt;=Setup!$B$5,52&gt;=$C59,OR(AND($E59="once",52=$C59),AND($E59="weekly",52&lt;=$D59),AND($E59="biweekly",52&lt;=$D59,MOD(52-$C59,2)=0))),Flows!$C60,0))</f>
        <v/>
      </c>
    </row>
    <row r="60">
      <c r="A60" s="7">
        <f>IF(Flows!A61="","",LOWER(Flows!A61))</f>
        <v/>
      </c>
      <c r="B60" s="7">
        <f>IF(Flows!B61="","",Flows!B61)</f>
        <v/>
      </c>
      <c r="C60" s="7">
        <f>N(Flows!D61)</f>
        <v/>
      </c>
      <c r="D60" s="7">
        <f>IF(Flows!F61="",Setup!$B$5,Flows!F61)</f>
        <v/>
      </c>
      <c r="E60" s="7">
        <f>IF(Flows!E61="","once",LOWER(Flows!E61))</f>
        <v/>
      </c>
      <c r="F60" s="13">
        <f>IF(OR($A60="",Flows!$C61=""),0,IF(AND(1&lt;=Setup!$B$5,1&gt;=$C60,OR(AND($E60="once",1=$C60),AND($E60="weekly",1&lt;=$D60),AND($E60="biweekly",1&lt;=$D60,MOD(1-$C60,2)=0))),Flows!$C61,0))</f>
        <v/>
      </c>
      <c r="G60" s="13">
        <f>IF(OR($A60="",Flows!$C61=""),0,IF(AND(2&lt;=Setup!$B$5,2&gt;=$C60,OR(AND($E60="once",2=$C60),AND($E60="weekly",2&lt;=$D60),AND($E60="biweekly",2&lt;=$D60,MOD(2-$C60,2)=0))),Flows!$C61,0))</f>
        <v/>
      </c>
      <c r="H60" s="13">
        <f>IF(OR($A60="",Flows!$C61=""),0,IF(AND(3&lt;=Setup!$B$5,3&gt;=$C60,OR(AND($E60="once",3=$C60),AND($E60="weekly",3&lt;=$D60),AND($E60="biweekly",3&lt;=$D60,MOD(3-$C60,2)=0))),Flows!$C61,0))</f>
        <v/>
      </c>
      <c r="I60" s="13">
        <f>IF(OR($A60="",Flows!$C61=""),0,IF(AND(4&lt;=Setup!$B$5,4&gt;=$C60,OR(AND($E60="once",4=$C60),AND($E60="weekly",4&lt;=$D60),AND($E60="biweekly",4&lt;=$D60,MOD(4-$C60,2)=0))),Flows!$C61,0))</f>
        <v/>
      </c>
      <c r="J60" s="13">
        <f>IF(OR($A60="",Flows!$C61=""),0,IF(AND(5&lt;=Setup!$B$5,5&gt;=$C60,OR(AND($E60="once",5=$C60),AND($E60="weekly",5&lt;=$D60),AND($E60="biweekly",5&lt;=$D60,MOD(5-$C60,2)=0))),Flows!$C61,0))</f>
        <v/>
      </c>
      <c r="K60" s="13">
        <f>IF(OR($A60="",Flows!$C61=""),0,IF(AND(6&lt;=Setup!$B$5,6&gt;=$C60,OR(AND($E60="once",6=$C60),AND($E60="weekly",6&lt;=$D60),AND($E60="biweekly",6&lt;=$D60,MOD(6-$C60,2)=0))),Flows!$C61,0))</f>
        <v/>
      </c>
      <c r="L60" s="13">
        <f>IF(OR($A60="",Flows!$C61=""),0,IF(AND(7&lt;=Setup!$B$5,7&gt;=$C60,OR(AND($E60="once",7=$C60),AND($E60="weekly",7&lt;=$D60),AND($E60="biweekly",7&lt;=$D60,MOD(7-$C60,2)=0))),Flows!$C61,0))</f>
        <v/>
      </c>
      <c r="M60" s="13">
        <f>IF(OR($A60="",Flows!$C61=""),0,IF(AND(8&lt;=Setup!$B$5,8&gt;=$C60,OR(AND($E60="once",8=$C60),AND($E60="weekly",8&lt;=$D60),AND($E60="biweekly",8&lt;=$D60,MOD(8-$C60,2)=0))),Flows!$C61,0))</f>
        <v/>
      </c>
      <c r="N60" s="13">
        <f>IF(OR($A60="",Flows!$C61=""),0,IF(AND(9&lt;=Setup!$B$5,9&gt;=$C60,OR(AND($E60="once",9=$C60),AND($E60="weekly",9&lt;=$D60),AND($E60="biweekly",9&lt;=$D60,MOD(9-$C60,2)=0))),Flows!$C61,0))</f>
        <v/>
      </c>
      <c r="O60" s="13">
        <f>IF(OR($A60="",Flows!$C61=""),0,IF(AND(10&lt;=Setup!$B$5,10&gt;=$C60,OR(AND($E60="once",10=$C60),AND($E60="weekly",10&lt;=$D60),AND($E60="biweekly",10&lt;=$D60,MOD(10-$C60,2)=0))),Flows!$C61,0))</f>
        <v/>
      </c>
      <c r="P60" s="13">
        <f>IF(OR($A60="",Flows!$C61=""),0,IF(AND(11&lt;=Setup!$B$5,11&gt;=$C60,OR(AND($E60="once",11=$C60),AND($E60="weekly",11&lt;=$D60),AND($E60="biweekly",11&lt;=$D60,MOD(11-$C60,2)=0))),Flows!$C61,0))</f>
        <v/>
      </c>
      <c r="Q60" s="13">
        <f>IF(OR($A60="",Flows!$C61=""),0,IF(AND(12&lt;=Setup!$B$5,12&gt;=$C60,OR(AND($E60="once",12=$C60),AND($E60="weekly",12&lt;=$D60),AND($E60="biweekly",12&lt;=$D60,MOD(12-$C60,2)=0))),Flows!$C61,0))</f>
        <v/>
      </c>
      <c r="R60" s="13">
        <f>IF(OR($A60="",Flows!$C61=""),0,IF(AND(13&lt;=Setup!$B$5,13&gt;=$C60,OR(AND($E60="once",13=$C60),AND($E60="weekly",13&lt;=$D60),AND($E60="biweekly",13&lt;=$D60,MOD(13-$C60,2)=0))),Flows!$C61,0))</f>
        <v/>
      </c>
      <c r="S60" s="13">
        <f>IF(OR($A60="",Flows!$C61=""),0,IF(AND(14&lt;=Setup!$B$5,14&gt;=$C60,OR(AND($E60="once",14=$C60),AND($E60="weekly",14&lt;=$D60),AND($E60="biweekly",14&lt;=$D60,MOD(14-$C60,2)=0))),Flows!$C61,0))</f>
        <v/>
      </c>
      <c r="T60" s="13">
        <f>IF(OR($A60="",Flows!$C61=""),0,IF(AND(15&lt;=Setup!$B$5,15&gt;=$C60,OR(AND($E60="once",15=$C60),AND($E60="weekly",15&lt;=$D60),AND($E60="biweekly",15&lt;=$D60,MOD(15-$C60,2)=0))),Flows!$C61,0))</f>
        <v/>
      </c>
      <c r="U60" s="13">
        <f>IF(OR($A60="",Flows!$C61=""),0,IF(AND(16&lt;=Setup!$B$5,16&gt;=$C60,OR(AND($E60="once",16=$C60),AND($E60="weekly",16&lt;=$D60),AND($E60="biweekly",16&lt;=$D60,MOD(16-$C60,2)=0))),Flows!$C61,0))</f>
        <v/>
      </c>
      <c r="V60" s="13">
        <f>IF(OR($A60="",Flows!$C61=""),0,IF(AND(17&lt;=Setup!$B$5,17&gt;=$C60,OR(AND($E60="once",17=$C60),AND($E60="weekly",17&lt;=$D60),AND($E60="biweekly",17&lt;=$D60,MOD(17-$C60,2)=0))),Flows!$C61,0))</f>
        <v/>
      </c>
      <c r="W60" s="13">
        <f>IF(OR($A60="",Flows!$C61=""),0,IF(AND(18&lt;=Setup!$B$5,18&gt;=$C60,OR(AND($E60="once",18=$C60),AND($E60="weekly",18&lt;=$D60),AND($E60="biweekly",18&lt;=$D60,MOD(18-$C60,2)=0))),Flows!$C61,0))</f>
        <v/>
      </c>
      <c r="X60" s="13">
        <f>IF(OR($A60="",Flows!$C61=""),0,IF(AND(19&lt;=Setup!$B$5,19&gt;=$C60,OR(AND($E60="once",19=$C60),AND($E60="weekly",19&lt;=$D60),AND($E60="biweekly",19&lt;=$D60,MOD(19-$C60,2)=0))),Flows!$C61,0))</f>
        <v/>
      </c>
      <c r="Y60" s="13">
        <f>IF(OR($A60="",Flows!$C61=""),0,IF(AND(20&lt;=Setup!$B$5,20&gt;=$C60,OR(AND($E60="once",20=$C60),AND($E60="weekly",20&lt;=$D60),AND($E60="biweekly",20&lt;=$D60,MOD(20-$C60,2)=0))),Flows!$C61,0))</f>
        <v/>
      </c>
      <c r="Z60" s="13">
        <f>IF(OR($A60="",Flows!$C61=""),0,IF(AND(21&lt;=Setup!$B$5,21&gt;=$C60,OR(AND($E60="once",21=$C60),AND($E60="weekly",21&lt;=$D60),AND($E60="biweekly",21&lt;=$D60,MOD(21-$C60,2)=0))),Flows!$C61,0))</f>
        <v/>
      </c>
      <c r="AA60" s="13">
        <f>IF(OR($A60="",Flows!$C61=""),0,IF(AND(22&lt;=Setup!$B$5,22&gt;=$C60,OR(AND($E60="once",22=$C60),AND($E60="weekly",22&lt;=$D60),AND($E60="biweekly",22&lt;=$D60,MOD(22-$C60,2)=0))),Flows!$C61,0))</f>
        <v/>
      </c>
      <c r="AB60" s="13">
        <f>IF(OR($A60="",Flows!$C61=""),0,IF(AND(23&lt;=Setup!$B$5,23&gt;=$C60,OR(AND($E60="once",23=$C60),AND($E60="weekly",23&lt;=$D60),AND($E60="biweekly",23&lt;=$D60,MOD(23-$C60,2)=0))),Flows!$C61,0))</f>
        <v/>
      </c>
      <c r="AC60" s="13">
        <f>IF(OR($A60="",Flows!$C61=""),0,IF(AND(24&lt;=Setup!$B$5,24&gt;=$C60,OR(AND($E60="once",24=$C60),AND($E60="weekly",24&lt;=$D60),AND($E60="biweekly",24&lt;=$D60,MOD(24-$C60,2)=0))),Flows!$C61,0))</f>
        <v/>
      </c>
      <c r="AD60" s="13">
        <f>IF(OR($A60="",Flows!$C61=""),0,IF(AND(25&lt;=Setup!$B$5,25&gt;=$C60,OR(AND($E60="once",25=$C60),AND($E60="weekly",25&lt;=$D60),AND($E60="biweekly",25&lt;=$D60,MOD(25-$C60,2)=0))),Flows!$C61,0))</f>
        <v/>
      </c>
      <c r="AE60" s="13">
        <f>IF(OR($A60="",Flows!$C61=""),0,IF(AND(26&lt;=Setup!$B$5,26&gt;=$C60,OR(AND($E60="once",26=$C60),AND($E60="weekly",26&lt;=$D60),AND($E60="biweekly",26&lt;=$D60,MOD(26-$C60,2)=0))),Flows!$C61,0))</f>
        <v/>
      </c>
      <c r="AF60" s="13">
        <f>IF(OR($A60="",Flows!$C61=""),0,IF(AND(27&lt;=Setup!$B$5,27&gt;=$C60,OR(AND($E60="once",27=$C60),AND($E60="weekly",27&lt;=$D60),AND($E60="biweekly",27&lt;=$D60,MOD(27-$C60,2)=0))),Flows!$C61,0))</f>
        <v/>
      </c>
      <c r="AG60" s="13">
        <f>IF(OR($A60="",Flows!$C61=""),0,IF(AND(28&lt;=Setup!$B$5,28&gt;=$C60,OR(AND($E60="once",28=$C60),AND($E60="weekly",28&lt;=$D60),AND($E60="biweekly",28&lt;=$D60,MOD(28-$C60,2)=0))),Flows!$C61,0))</f>
        <v/>
      </c>
      <c r="AH60" s="13">
        <f>IF(OR($A60="",Flows!$C61=""),0,IF(AND(29&lt;=Setup!$B$5,29&gt;=$C60,OR(AND($E60="once",29=$C60),AND($E60="weekly",29&lt;=$D60),AND($E60="biweekly",29&lt;=$D60,MOD(29-$C60,2)=0))),Flows!$C61,0))</f>
        <v/>
      </c>
      <c r="AI60" s="13">
        <f>IF(OR($A60="",Flows!$C61=""),0,IF(AND(30&lt;=Setup!$B$5,30&gt;=$C60,OR(AND($E60="once",30=$C60),AND($E60="weekly",30&lt;=$D60),AND($E60="biweekly",30&lt;=$D60,MOD(30-$C60,2)=0))),Flows!$C61,0))</f>
        <v/>
      </c>
      <c r="AJ60" s="13">
        <f>IF(OR($A60="",Flows!$C61=""),0,IF(AND(31&lt;=Setup!$B$5,31&gt;=$C60,OR(AND($E60="once",31=$C60),AND($E60="weekly",31&lt;=$D60),AND($E60="biweekly",31&lt;=$D60,MOD(31-$C60,2)=0))),Flows!$C61,0))</f>
        <v/>
      </c>
      <c r="AK60" s="13">
        <f>IF(OR($A60="",Flows!$C61=""),0,IF(AND(32&lt;=Setup!$B$5,32&gt;=$C60,OR(AND($E60="once",32=$C60),AND($E60="weekly",32&lt;=$D60),AND($E60="biweekly",32&lt;=$D60,MOD(32-$C60,2)=0))),Flows!$C61,0))</f>
        <v/>
      </c>
      <c r="AL60" s="13">
        <f>IF(OR($A60="",Flows!$C61=""),0,IF(AND(33&lt;=Setup!$B$5,33&gt;=$C60,OR(AND($E60="once",33=$C60),AND($E60="weekly",33&lt;=$D60),AND($E60="biweekly",33&lt;=$D60,MOD(33-$C60,2)=0))),Flows!$C61,0))</f>
        <v/>
      </c>
      <c r="AM60" s="13">
        <f>IF(OR($A60="",Flows!$C61=""),0,IF(AND(34&lt;=Setup!$B$5,34&gt;=$C60,OR(AND($E60="once",34=$C60),AND($E60="weekly",34&lt;=$D60),AND($E60="biweekly",34&lt;=$D60,MOD(34-$C60,2)=0))),Flows!$C61,0))</f>
        <v/>
      </c>
      <c r="AN60" s="13">
        <f>IF(OR($A60="",Flows!$C61=""),0,IF(AND(35&lt;=Setup!$B$5,35&gt;=$C60,OR(AND($E60="once",35=$C60),AND($E60="weekly",35&lt;=$D60),AND($E60="biweekly",35&lt;=$D60,MOD(35-$C60,2)=0))),Flows!$C61,0))</f>
        <v/>
      </c>
      <c r="AO60" s="13">
        <f>IF(OR($A60="",Flows!$C61=""),0,IF(AND(36&lt;=Setup!$B$5,36&gt;=$C60,OR(AND($E60="once",36=$C60),AND($E60="weekly",36&lt;=$D60),AND($E60="biweekly",36&lt;=$D60,MOD(36-$C60,2)=0))),Flows!$C61,0))</f>
        <v/>
      </c>
      <c r="AP60" s="13">
        <f>IF(OR($A60="",Flows!$C61=""),0,IF(AND(37&lt;=Setup!$B$5,37&gt;=$C60,OR(AND($E60="once",37=$C60),AND($E60="weekly",37&lt;=$D60),AND($E60="biweekly",37&lt;=$D60,MOD(37-$C60,2)=0))),Flows!$C61,0))</f>
        <v/>
      </c>
      <c r="AQ60" s="13">
        <f>IF(OR($A60="",Flows!$C61=""),0,IF(AND(38&lt;=Setup!$B$5,38&gt;=$C60,OR(AND($E60="once",38=$C60),AND($E60="weekly",38&lt;=$D60),AND($E60="biweekly",38&lt;=$D60,MOD(38-$C60,2)=0))),Flows!$C61,0))</f>
        <v/>
      </c>
      <c r="AR60" s="13">
        <f>IF(OR($A60="",Flows!$C61=""),0,IF(AND(39&lt;=Setup!$B$5,39&gt;=$C60,OR(AND($E60="once",39=$C60),AND($E60="weekly",39&lt;=$D60),AND($E60="biweekly",39&lt;=$D60,MOD(39-$C60,2)=0))),Flows!$C61,0))</f>
        <v/>
      </c>
      <c r="AS60" s="13">
        <f>IF(OR($A60="",Flows!$C61=""),0,IF(AND(40&lt;=Setup!$B$5,40&gt;=$C60,OR(AND($E60="once",40=$C60),AND($E60="weekly",40&lt;=$D60),AND($E60="biweekly",40&lt;=$D60,MOD(40-$C60,2)=0))),Flows!$C61,0))</f>
        <v/>
      </c>
      <c r="AT60" s="13">
        <f>IF(OR($A60="",Flows!$C61=""),0,IF(AND(41&lt;=Setup!$B$5,41&gt;=$C60,OR(AND($E60="once",41=$C60),AND($E60="weekly",41&lt;=$D60),AND($E60="biweekly",41&lt;=$D60,MOD(41-$C60,2)=0))),Flows!$C61,0))</f>
        <v/>
      </c>
      <c r="AU60" s="13">
        <f>IF(OR($A60="",Flows!$C61=""),0,IF(AND(42&lt;=Setup!$B$5,42&gt;=$C60,OR(AND($E60="once",42=$C60),AND($E60="weekly",42&lt;=$D60),AND($E60="biweekly",42&lt;=$D60,MOD(42-$C60,2)=0))),Flows!$C61,0))</f>
        <v/>
      </c>
      <c r="AV60" s="13">
        <f>IF(OR($A60="",Flows!$C61=""),0,IF(AND(43&lt;=Setup!$B$5,43&gt;=$C60,OR(AND($E60="once",43=$C60),AND($E60="weekly",43&lt;=$D60),AND($E60="biweekly",43&lt;=$D60,MOD(43-$C60,2)=0))),Flows!$C61,0))</f>
        <v/>
      </c>
      <c r="AW60" s="13">
        <f>IF(OR($A60="",Flows!$C61=""),0,IF(AND(44&lt;=Setup!$B$5,44&gt;=$C60,OR(AND($E60="once",44=$C60),AND($E60="weekly",44&lt;=$D60),AND($E60="biweekly",44&lt;=$D60,MOD(44-$C60,2)=0))),Flows!$C61,0))</f>
        <v/>
      </c>
      <c r="AX60" s="13">
        <f>IF(OR($A60="",Flows!$C61=""),0,IF(AND(45&lt;=Setup!$B$5,45&gt;=$C60,OR(AND($E60="once",45=$C60),AND($E60="weekly",45&lt;=$D60),AND($E60="biweekly",45&lt;=$D60,MOD(45-$C60,2)=0))),Flows!$C61,0))</f>
        <v/>
      </c>
      <c r="AY60" s="13">
        <f>IF(OR($A60="",Flows!$C61=""),0,IF(AND(46&lt;=Setup!$B$5,46&gt;=$C60,OR(AND($E60="once",46=$C60),AND($E60="weekly",46&lt;=$D60),AND($E60="biweekly",46&lt;=$D60,MOD(46-$C60,2)=0))),Flows!$C61,0))</f>
        <v/>
      </c>
      <c r="AZ60" s="13">
        <f>IF(OR($A60="",Flows!$C61=""),0,IF(AND(47&lt;=Setup!$B$5,47&gt;=$C60,OR(AND($E60="once",47=$C60),AND($E60="weekly",47&lt;=$D60),AND($E60="biweekly",47&lt;=$D60,MOD(47-$C60,2)=0))),Flows!$C61,0))</f>
        <v/>
      </c>
      <c r="BA60" s="13">
        <f>IF(OR($A60="",Flows!$C61=""),0,IF(AND(48&lt;=Setup!$B$5,48&gt;=$C60,OR(AND($E60="once",48=$C60),AND($E60="weekly",48&lt;=$D60),AND($E60="biweekly",48&lt;=$D60,MOD(48-$C60,2)=0))),Flows!$C61,0))</f>
        <v/>
      </c>
      <c r="BB60" s="13">
        <f>IF(OR($A60="",Flows!$C61=""),0,IF(AND(49&lt;=Setup!$B$5,49&gt;=$C60,OR(AND($E60="once",49=$C60),AND($E60="weekly",49&lt;=$D60),AND($E60="biweekly",49&lt;=$D60,MOD(49-$C60,2)=0))),Flows!$C61,0))</f>
        <v/>
      </c>
      <c r="BC60" s="13">
        <f>IF(OR($A60="",Flows!$C61=""),0,IF(AND(50&lt;=Setup!$B$5,50&gt;=$C60,OR(AND($E60="once",50=$C60),AND($E60="weekly",50&lt;=$D60),AND($E60="biweekly",50&lt;=$D60,MOD(50-$C60,2)=0))),Flows!$C61,0))</f>
        <v/>
      </c>
      <c r="BD60" s="13">
        <f>IF(OR($A60="",Flows!$C61=""),0,IF(AND(51&lt;=Setup!$B$5,51&gt;=$C60,OR(AND($E60="once",51=$C60),AND($E60="weekly",51&lt;=$D60),AND($E60="biweekly",51&lt;=$D60,MOD(51-$C60,2)=0))),Flows!$C61,0))</f>
        <v/>
      </c>
      <c r="BE60" s="13">
        <f>IF(OR($A60="",Flows!$C61=""),0,IF(AND(52&lt;=Setup!$B$5,52&gt;=$C60,OR(AND($E60="once",52=$C60),AND($E60="weekly",52&lt;=$D60),AND($E60="biweekly",52&lt;=$D60,MOD(52-$C60,2)=0))),Flows!$C61,0))</f>
        <v/>
      </c>
    </row>
    <row r="61">
      <c r="A61" s="7">
        <f>IF(Flows!A62="","",LOWER(Flows!A62))</f>
        <v/>
      </c>
      <c r="B61" s="7">
        <f>IF(Flows!B62="","",Flows!B62)</f>
        <v/>
      </c>
      <c r="C61" s="7">
        <f>N(Flows!D62)</f>
        <v/>
      </c>
      <c r="D61" s="7">
        <f>IF(Flows!F62="",Setup!$B$5,Flows!F62)</f>
        <v/>
      </c>
      <c r="E61" s="7">
        <f>IF(Flows!E62="","once",LOWER(Flows!E62))</f>
        <v/>
      </c>
      <c r="F61" s="13">
        <f>IF(OR($A61="",Flows!$C62=""),0,IF(AND(1&lt;=Setup!$B$5,1&gt;=$C61,OR(AND($E61="once",1=$C61),AND($E61="weekly",1&lt;=$D61),AND($E61="biweekly",1&lt;=$D61,MOD(1-$C61,2)=0))),Flows!$C62,0))</f>
        <v/>
      </c>
      <c r="G61" s="13">
        <f>IF(OR($A61="",Flows!$C62=""),0,IF(AND(2&lt;=Setup!$B$5,2&gt;=$C61,OR(AND($E61="once",2=$C61),AND($E61="weekly",2&lt;=$D61),AND($E61="biweekly",2&lt;=$D61,MOD(2-$C61,2)=0))),Flows!$C62,0))</f>
        <v/>
      </c>
      <c r="H61" s="13">
        <f>IF(OR($A61="",Flows!$C62=""),0,IF(AND(3&lt;=Setup!$B$5,3&gt;=$C61,OR(AND($E61="once",3=$C61),AND($E61="weekly",3&lt;=$D61),AND($E61="biweekly",3&lt;=$D61,MOD(3-$C61,2)=0))),Flows!$C62,0))</f>
        <v/>
      </c>
      <c r="I61" s="13">
        <f>IF(OR($A61="",Flows!$C62=""),0,IF(AND(4&lt;=Setup!$B$5,4&gt;=$C61,OR(AND($E61="once",4=$C61),AND($E61="weekly",4&lt;=$D61),AND($E61="biweekly",4&lt;=$D61,MOD(4-$C61,2)=0))),Flows!$C62,0))</f>
        <v/>
      </c>
      <c r="J61" s="13">
        <f>IF(OR($A61="",Flows!$C62=""),0,IF(AND(5&lt;=Setup!$B$5,5&gt;=$C61,OR(AND($E61="once",5=$C61),AND($E61="weekly",5&lt;=$D61),AND($E61="biweekly",5&lt;=$D61,MOD(5-$C61,2)=0))),Flows!$C62,0))</f>
        <v/>
      </c>
      <c r="K61" s="13">
        <f>IF(OR($A61="",Flows!$C62=""),0,IF(AND(6&lt;=Setup!$B$5,6&gt;=$C61,OR(AND($E61="once",6=$C61),AND($E61="weekly",6&lt;=$D61),AND($E61="biweekly",6&lt;=$D61,MOD(6-$C61,2)=0))),Flows!$C62,0))</f>
        <v/>
      </c>
      <c r="L61" s="13">
        <f>IF(OR($A61="",Flows!$C62=""),0,IF(AND(7&lt;=Setup!$B$5,7&gt;=$C61,OR(AND($E61="once",7=$C61),AND($E61="weekly",7&lt;=$D61),AND($E61="biweekly",7&lt;=$D61,MOD(7-$C61,2)=0))),Flows!$C62,0))</f>
        <v/>
      </c>
      <c r="M61" s="13">
        <f>IF(OR($A61="",Flows!$C62=""),0,IF(AND(8&lt;=Setup!$B$5,8&gt;=$C61,OR(AND($E61="once",8=$C61),AND($E61="weekly",8&lt;=$D61),AND($E61="biweekly",8&lt;=$D61,MOD(8-$C61,2)=0))),Flows!$C62,0))</f>
        <v/>
      </c>
      <c r="N61" s="13">
        <f>IF(OR($A61="",Flows!$C62=""),0,IF(AND(9&lt;=Setup!$B$5,9&gt;=$C61,OR(AND($E61="once",9=$C61),AND($E61="weekly",9&lt;=$D61),AND($E61="biweekly",9&lt;=$D61,MOD(9-$C61,2)=0))),Flows!$C62,0))</f>
        <v/>
      </c>
      <c r="O61" s="13">
        <f>IF(OR($A61="",Flows!$C62=""),0,IF(AND(10&lt;=Setup!$B$5,10&gt;=$C61,OR(AND($E61="once",10=$C61),AND($E61="weekly",10&lt;=$D61),AND($E61="biweekly",10&lt;=$D61,MOD(10-$C61,2)=0))),Flows!$C62,0))</f>
        <v/>
      </c>
      <c r="P61" s="13">
        <f>IF(OR($A61="",Flows!$C62=""),0,IF(AND(11&lt;=Setup!$B$5,11&gt;=$C61,OR(AND($E61="once",11=$C61),AND($E61="weekly",11&lt;=$D61),AND($E61="biweekly",11&lt;=$D61,MOD(11-$C61,2)=0))),Flows!$C62,0))</f>
        <v/>
      </c>
      <c r="Q61" s="13">
        <f>IF(OR($A61="",Flows!$C62=""),0,IF(AND(12&lt;=Setup!$B$5,12&gt;=$C61,OR(AND($E61="once",12=$C61),AND($E61="weekly",12&lt;=$D61),AND($E61="biweekly",12&lt;=$D61,MOD(12-$C61,2)=0))),Flows!$C62,0))</f>
        <v/>
      </c>
      <c r="R61" s="13">
        <f>IF(OR($A61="",Flows!$C62=""),0,IF(AND(13&lt;=Setup!$B$5,13&gt;=$C61,OR(AND($E61="once",13=$C61),AND($E61="weekly",13&lt;=$D61),AND($E61="biweekly",13&lt;=$D61,MOD(13-$C61,2)=0))),Flows!$C62,0))</f>
        <v/>
      </c>
      <c r="S61" s="13">
        <f>IF(OR($A61="",Flows!$C62=""),0,IF(AND(14&lt;=Setup!$B$5,14&gt;=$C61,OR(AND($E61="once",14=$C61),AND($E61="weekly",14&lt;=$D61),AND($E61="biweekly",14&lt;=$D61,MOD(14-$C61,2)=0))),Flows!$C62,0))</f>
        <v/>
      </c>
      <c r="T61" s="13">
        <f>IF(OR($A61="",Flows!$C62=""),0,IF(AND(15&lt;=Setup!$B$5,15&gt;=$C61,OR(AND($E61="once",15=$C61),AND($E61="weekly",15&lt;=$D61),AND($E61="biweekly",15&lt;=$D61,MOD(15-$C61,2)=0))),Flows!$C62,0))</f>
        <v/>
      </c>
      <c r="U61" s="13">
        <f>IF(OR($A61="",Flows!$C62=""),0,IF(AND(16&lt;=Setup!$B$5,16&gt;=$C61,OR(AND($E61="once",16=$C61),AND($E61="weekly",16&lt;=$D61),AND($E61="biweekly",16&lt;=$D61,MOD(16-$C61,2)=0))),Flows!$C62,0))</f>
        <v/>
      </c>
      <c r="V61" s="13">
        <f>IF(OR($A61="",Flows!$C62=""),0,IF(AND(17&lt;=Setup!$B$5,17&gt;=$C61,OR(AND($E61="once",17=$C61),AND($E61="weekly",17&lt;=$D61),AND($E61="biweekly",17&lt;=$D61,MOD(17-$C61,2)=0))),Flows!$C62,0))</f>
        <v/>
      </c>
      <c r="W61" s="13">
        <f>IF(OR($A61="",Flows!$C62=""),0,IF(AND(18&lt;=Setup!$B$5,18&gt;=$C61,OR(AND($E61="once",18=$C61),AND($E61="weekly",18&lt;=$D61),AND($E61="biweekly",18&lt;=$D61,MOD(18-$C61,2)=0))),Flows!$C62,0))</f>
        <v/>
      </c>
      <c r="X61" s="13">
        <f>IF(OR($A61="",Flows!$C62=""),0,IF(AND(19&lt;=Setup!$B$5,19&gt;=$C61,OR(AND($E61="once",19=$C61),AND($E61="weekly",19&lt;=$D61),AND($E61="biweekly",19&lt;=$D61,MOD(19-$C61,2)=0))),Flows!$C62,0))</f>
        <v/>
      </c>
      <c r="Y61" s="13">
        <f>IF(OR($A61="",Flows!$C62=""),0,IF(AND(20&lt;=Setup!$B$5,20&gt;=$C61,OR(AND($E61="once",20=$C61),AND($E61="weekly",20&lt;=$D61),AND($E61="biweekly",20&lt;=$D61,MOD(20-$C61,2)=0))),Flows!$C62,0))</f>
        <v/>
      </c>
      <c r="Z61" s="13">
        <f>IF(OR($A61="",Flows!$C62=""),0,IF(AND(21&lt;=Setup!$B$5,21&gt;=$C61,OR(AND($E61="once",21=$C61),AND($E61="weekly",21&lt;=$D61),AND($E61="biweekly",21&lt;=$D61,MOD(21-$C61,2)=0))),Flows!$C62,0))</f>
        <v/>
      </c>
      <c r="AA61" s="13">
        <f>IF(OR($A61="",Flows!$C62=""),0,IF(AND(22&lt;=Setup!$B$5,22&gt;=$C61,OR(AND($E61="once",22=$C61),AND($E61="weekly",22&lt;=$D61),AND($E61="biweekly",22&lt;=$D61,MOD(22-$C61,2)=0))),Flows!$C62,0))</f>
        <v/>
      </c>
      <c r="AB61" s="13">
        <f>IF(OR($A61="",Flows!$C62=""),0,IF(AND(23&lt;=Setup!$B$5,23&gt;=$C61,OR(AND($E61="once",23=$C61),AND($E61="weekly",23&lt;=$D61),AND($E61="biweekly",23&lt;=$D61,MOD(23-$C61,2)=0))),Flows!$C62,0))</f>
        <v/>
      </c>
      <c r="AC61" s="13">
        <f>IF(OR($A61="",Flows!$C62=""),0,IF(AND(24&lt;=Setup!$B$5,24&gt;=$C61,OR(AND($E61="once",24=$C61),AND($E61="weekly",24&lt;=$D61),AND($E61="biweekly",24&lt;=$D61,MOD(24-$C61,2)=0))),Flows!$C62,0))</f>
        <v/>
      </c>
      <c r="AD61" s="13">
        <f>IF(OR($A61="",Flows!$C62=""),0,IF(AND(25&lt;=Setup!$B$5,25&gt;=$C61,OR(AND($E61="once",25=$C61),AND($E61="weekly",25&lt;=$D61),AND($E61="biweekly",25&lt;=$D61,MOD(25-$C61,2)=0))),Flows!$C62,0))</f>
        <v/>
      </c>
      <c r="AE61" s="13">
        <f>IF(OR($A61="",Flows!$C62=""),0,IF(AND(26&lt;=Setup!$B$5,26&gt;=$C61,OR(AND($E61="once",26=$C61),AND($E61="weekly",26&lt;=$D61),AND($E61="biweekly",26&lt;=$D61,MOD(26-$C61,2)=0))),Flows!$C62,0))</f>
        <v/>
      </c>
      <c r="AF61" s="13">
        <f>IF(OR($A61="",Flows!$C62=""),0,IF(AND(27&lt;=Setup!$B$5,27&gt;=$C61,OR(AND($E61="once",27=$C61),AND($E61="weekly",27&lt;=$D61),AND($E61="biweekly",27&lt;=$D61,MOD(27-$C61,2)=0))),Flows!$C62,0))</f>
        <v/>
      </c>
      <c r="AG61" s="13">
        <f>IF(OR($A61="",Flows!$C62=""),0,IF(AND(28&lt;=Setup!$B$5,28&gt;=$C61,OR(AND($E61="once",28=$C61),AND($E61="weekly",28&lt;=$D61),AND($E61="biweekly",28&lt;=$D61,MOD(28-$C61,2)=0))),Flows!$C62,0))</f>
        <v/>
      </c>
      <c r="AH61" s="13">
        <f>IF(OR($A61="",Flows!$C62=""),0,IF(AND(29&lt;=Setup!$B$5,29&gt;=$C61,OR(AND($E61="once",29=$C61),AND($E61="weekly",29&lt;=$D61),AND($E61="biweekly",29&lt;=$D61,MOD(29-$C61,2)=0))),Flows!$C62,0))</f>
        <v/>
      </c>
      <c r="AI61" s="13">
        <f>IF(OR($A61="",Flows!$C62=""),0,IF(AND(30&lt;=Setup!$B$5,30&gt;=$C61,OR(AND($E61="once",30=$C61),AND($E61="weekly",30&lt;=$D61),AND($E61="biweekly",30&lt;=$D61,MOD(30-$C61,2)=0))),Flows!$C62,0))</f>
        <v/>
      </c>
      <c r="AJ61" s="13">
        <f>IF(OR($A61="",Flows!$C62=""),0,IF(AND(31&lt;=Setup!$B$5,31&gt;=$C61,OR(AND($E61="once",31=$C61),AND($E61="weekly",31&lt;=$D61),AND($E61="biweekly",31&lt;=$D61,MOD(31-$C61,2)=0))),Flows!$C62,0))</f>
        <v/>
      </c>
      <c r="AK61" s="13">
        <f>IF(OR($A61="",Flows!$C62=""),0,IF(AND(32&lt;=Setup!$B$5,32&gt;=$C61,OR(AND($E61="once",32=$C61),AND($E61="weekly",32&lt;=$D61),AND($E61="biweekly",32&lt;=$D61,MOD(32-$C61,2)=0))),Flows!$C62,0))</f>
        <v/>
      </c>
      <c r="AL61" s="13">
        <f>IF(OR($A61="",Flows!$C62=""),0,IF(AND(33&lt;=Setup!$B$5,33&gt;=$C61,OR(AND($E61="once",33=$C61),AND($E61="weekly",33&lt;=$D61),AND($E61="biweekly",33&lt;=$D61,MOD(33-$C61,2)=0))),Flows!$C62,0))</f>
        <v/>
      </c>
      <c r="AM61" s="13">
        <f>IF(OR($A61="",Flows!$C62=""),0,IF(AND(34&lt;=Setup!$B$5,34&gt;=$C61,OR(AND($E61="once",34=$C61),AND($E61="weekly",34&lt;=$D61),AND($E61="biweekly",34&lt;=$D61,MOD(34-$C61,2)=0))),Flows!$C62,0))</f>
        <v/>
      </c>
      <c r="AN61" s="13">
        <f>IF(OR($A61="",Flows!$C62=""),0,IF(AND(35&lt;=Setup!$B$5,35&gt;=$C61,OR(AND($E61="once",35=$C61),AND($E61="weekly",35&lt;=$D61),AND($E61="biweekly",35&lt;=$D61,MOD(35-$C61,2)=0))),Flows!$C62,0))</f>
        <v/>
      </c>
      <c r="AO61" s="13">
        <f>IF(OR($A61="",Flows!$C62=""),0,IF(AND(36&lt;=Setup!$B$5,36&gt;=$C61,OR(AND($E61="once",36=$C61),AND($E61="weekly",36&lt;=$D61),AND($E61="biweekly",36&lt;=$D61,MOD(36-$C61,2)=0))),Flows!$C62,0))</f>
        <v/>
      </c>
      <c r="AP61" s="13">
        <f>IF(OR($A61="",Flows!$C62=""),0,IF(AND(37&lt;=Setup!$B$5,37&gt;=$C61,OR(AND($E61="once",37=$C61),AND($E61="weekly",37&lt;=$D61),AND($E61="biweekly",37&lt;=$D61,MOD(37-$C61,2)=0))),Flows!$C62,0))</f>
        <v/>
      </c>
      <c r="AQ61" s="13">
        <f>IF(OR($A61="",Flows!$C62=""),0,IF(AND(38&lt;=Setup!$B$5,38&gt;=$C61,OR(AND($E61="once",38=$C61),AND($E61="weekly",38&lt;=$D61),AND($E61="biweekly",38&lt;=$D61,MOD(38-$C61,2)=0))),Flows!$C62,0))</f>
        <v/>
      </c>
      <c r="AR61" s="13">
        <f>IF(OR($A61="",Flows!$C62=""),0,IF(AND(39&lt;=Setup!$B$5,39&gt;=$C61,OR(AND($E61="once",39=$C61),AND($E61="weekly",39&lt;=$D61),AND($E61="biweekly",39&lt;=$D61,MOD(39-$C61,2)=0))),Flows!$C62,0))</f>
        <v/>
      </c>
      <c r="AS61" s="13">
        <f>IF(OR($A61="",Flows!$C62=""),0,IF(AND(40&lt;=Setup!$B$5,40&gt;=$C61,OR(AND($E61="once",40=$C61),AND($E61="weekly",40&lt;=$D61),AND($E61="biweekly",40&lt;=$D61,MOD(40-$C61,2)=0))),Flows!$C62,0))</f>
        <v/>
      </c>
      <c r="AT61" s="13">
        <f>IF(OR($A61="",Flows!$C62=""),0,IF(AND(41&lt;=Setup!$B$5,41&gt;=$C61,OR(AND($E61="once",41=$C61),AND($E61="weekly",41&lt;=$D61),AND($E61="biweekly",41&lt;=$D61,MOD(41-$C61,2)=0))),Flows!$C62,0))</f>
        <v/>
      </c>
      <c r="AU61" s="13">
        <f>IF(OR($A61="",Flows!$C62=""),0,IF(AND(42&lt;=Setup!$B$5,42&gt;=$C61,OR(AND($E61="once",42=$C61),AND($E61="weekly",42&lt;=$D61),AND($E61="biweekly",42&lt;=$D61,MOD(42-$C61,2)=0))),Flows!$C62,0))</f>
        <v/>
      </c>
      <c r="AV61" s="13">
        <f>IF(OR($A61="",Flows!$C62=""),0,IF(AND(43&lt;=Setup!$B$5,43&gt;=$C61,OR(AND($E61="once",43=$C61),AND($E61="weekly",43&lt;=$D61),AND($E61="biweekly",43&lt;=$D61,MOD(43-$C61,2)=0))),Flows!$C62,0))</f>
        <v/>
      </c>
      <c r="AW61" s="13">
        <f>IF(OR($A61="",Flows!$C62=""),0,IF(AND(44&lt;=Setup!$B$5,44&gt;=$C61,OR(AND($E61="once",44=$C61),AND($E61="weekly",44&lt;=$D61),AND($E61="biweekly",44&lt;=$D61,MOD(44-$C61,2)=0))),Flows!$C62,0))</f>
        <v/>
      </c>
      <c r="AX61" s="13">
        <f>IF(OR($A61="",Flows!$C62=""),0,IF(AND(45&lt;=Setup!$B$5,45&gt;=$C61,OR(AND($E61="once",45=$C61),AND($E61="weekly",45&lt;=$D61),AND($E61="biweekly",45&lt;=$D61,MOD(45-$C61,2)=0))),Flows!$C62,0))</f>
        <v/>
      </c>
      <c r="AY61" s="13">
        <f>IF(OR($A61="",Flows!$C62=""),0,IF(AND(46&lt;=Setup!$B$5,46&gt;=$C61,OR(AND($E61="once",46=$C61),AND($E61="weekly",46&lt;=$D61),AND($E61="biweekly",46&lt;=$D61,MOD(46-$C61,2)=0))),Flows!$C62,0))</f>
        <v/>
      </c>
      <c r="AZ61" s="13">
        <f>IF(OR($A61="",Flows!$C62=""),0,IF(AND(47&lt;=Setup!$B$5,47&gt;=$C61,OR(AND($E61="once",47=$C61),AND($E61="weekly",47&lt;=$D61),AND($E61="biweekly",47&lt;=$D61,MOD(47-$C61,2)=0))),Flows!$C62,0))</f>
        <v/>
      </c>
      <c r="BA61" s="13">
        <f>IF(OR($A61="",Flows!$C62=""),0,IF(AND(48&lt;=Setup!$B$5,48&gt;=$C61,OR(AND($E61="once",48=$C61),AND($E61="weekly",48&lt;=$D61),AND($E61="biweekly",48&lt;=$D61,MOD(48-$C61,2)=0))),Flows!$C62,0))</f>
        <v/>
      </c>
      <c r="BB61" s="13">
        <f>IF(OR($A61="",Flows!$C62=""),0,IF(AND(49&lt;=Setup!$B$5,49&gt;=$C61,OR(AND($E61="once",49=$C61),AND($E61="weekly",49&lt;=$D61),AND($E61="biweekly",49&lt;=$D61,MOD(49-$C61,2)=0))),Flows!$C62,0))</f>
        <v/>
      </c>
      <c r="BC61" s="13">
        <f>IF(OR($A61="",Flows!$C62=""),0,IF(AND(50&lt;=Setup!$B$5,50&gt;=$C61,OR(AND($E61="once",50=$C61),AND($E61="weekly",50&lt;=$D61),AND($E61="biweekly",50&lt;=$D61,MOD(50-$C61,2)=0))),Flows!$C62,0))</f>
        <v/>
      </c>
      <c r="BD61" s="13">
        <f>IF(OR($A61="",Flows!$C62=""),0,IF(AND(51&lt;=Setup!$B$5,51&gt;=$C61,OR(AND($E61="once",51=$C61),AND($E61="weekly",51&lt;=$D61),AND($E61="biweekly",51&lt;=$D61,MOD(51-$C61,2)=0))),Flows!$C62,0))</f>
        <v/>
      </c>
      <c r="BE61" s="13">
        <f>IF(OR($A61="",Flows!$C62=""),0,IF(AND(52&lt;=Setup!$B$5,52&gt;=$C61,OR(AND($E61="once",52=$C61),AND($E61="weekly",52&lt;=$D61),AND($E61="biweekly",52&lt;=$D61,MOD(52-$C61,2)=0))),Flows!$C62,0))</f>
        <v/>
      </c>
    </row>
    <row r="62">
      <c r="A62" s="7">
        <f>IF(Flows!A63="","",LOWER(Flows!A63))</f>
        <v/>
      </c>
      <c r="B62" s="7">
        <f>IF(Flows!B63="","",Flows!B63)</f>
        <v/>
      </c>
      <c r="C62" s="7">
        <f>N(Flows!D63)</f>
        <v/>
      </c>
      <c r="D62" s="7">
        <f>IF(Flows!F63="",Setup!$B$5,Flows!F63)</f>
        <v/>
      </c>
      <c r="E62" s="7">
        <f>IF(Flows!E63="","once",LOWER(Flows!E63))</f>
        <v/>
      </c>
      <c r="F62" s="13">
        <f>IF(OR($A62="",Flows!$C63=""),0,IF(AND(1&lt;=Setup!$B$5,1&gt;=$C62,OR(AND($E62="once",1=$C62),AND($E62="weekly",1&lt;=$D62),AND($E62="biweekly",1&lt;=$D62,MOD(1-$C62,2)=0))),Flows!$C63,0))</f>
        <v/>
      </c>
      <c r="G62" s="13">
        <f>IF(OR($A62="",Flows!$C63=""),0,IF(AND(2&lt;=Setup!$B$5,2&gt;=$C62,OR(AND($E62="once",2=$C62),AND($E62="weekly",2&lt;=$D62),AND($E62="biweekly",2&lt;=$D62,MOD(2-$C62,2)=0))),Flows!$C63,0))</f>
        <v/>
      </c>
      <c r="H62" s="13">
        <f>IF(OR($A62="",Flows!$C63=""),0,IF(AND(3&lt;=Setup!$B$5,3&gt;=$C62,OR(AND($E62="once",3=$C62),AND($E62="weekly",3&lt;=$D62),AND($E62="biweekly",3&lt;=$D62,MOD(3-$C62,2)=0))),Flows!$C63,0))</f>
        <v/>
      </c>
      <c r="I62" s="13">
        <f>IF(OR($A62="",Flows!$C63=""),0,IF(AND(4&lt;=Setup!$B$5,4&gt;=$C62,OR(AND($E62="once",4=$C62),AND($E62="weekly",4&lt;=$D62),AND($E62="biweekly",4&lt;=$D62,MOD(4-$C62,2)=0))),Flows!$C63,0))</f>
        <v/>
      </c>
      <c r="J62" s="13">
        <f>IF(OR($A62="",Flows!$C63=""),0,IF(AND(5&lt;=Setup!$B$5,5&gt;=$C62,OR(AND($E62="once",5=$C62),AND($E62="weekly",5&lt;=$D62),AND($E62="biweekly",5&lt;=$D62,MOD(5-$C62,2)=0))),Flows!$C63,0))</f>
        <v/>
      </c>
      <c r="K62" s="13">
        <f>IF(OR($A62="",Flows!$C63=""),0,IF(AND(6&lt;=Setup!$B$5,6&gt;=$C62,OR(AND($E62="once",6=$C62),AND($E62="weekly",6&lt;=$D62),AND($E62="biweekly",6&lt;=$D62,MOD(6-$C62,2)=0))),Flows!$C63,0))</f>
        <v/>
      </c>
      <c r="L62" s="13">
        <f>IF(OR($A62="",Flows!$C63=""),0,IF(AND(7&lt;=Setup!$B$5,7&gt;=$C62,OR(AND($E62="once",7=$C62),AND($E62="weekly",7&lt;=$D62),AND($E62="biweekly",7&lt;=$D62,MOD(7-$C62,2)=0))),Flows!$C63,0))</f>
        <v/>
      </c>
      <c r="M62" s="13">
        <f>IF(OR($A62="",Flows!$C63=""),0,IF(AND(8&lt;=Setup!$B$5,8&gt;=$C62,OR(AND($E62="once",8=$C62),AND($E62="weekly",8&lt;=$D62),AND($E62="biweekly",8&lt;=$D62,MOD(8-$C62,2)=0))),Flows!$C63,0))</f>
        <v/>
      </c>
      <c r="N62" s="13">
        <f>IF(OR($A62="",Flows!$C63=""),0,IF(AND(9&lt;=Setup!$B$5,9&gt;=$C62,OR(AND($E62="once",9=$C62),AND($E62="weekly",9&lt;=$D62),AND($E62="biweekly",9&lt;=$D62,MOD(9-$C62,2)=0))),Flows!$C63,0))</f>
        <v/>
      </c>
      <c r="O62" s="13">
        <f>IF(OR($A62="",Flows!$C63=""),0,IF(AND(10&lt;=Setup!$B$5,10&gt;=$C62,OR(AND($E62="once",10=$C62),AND($E62="weekly",10&lt;=$D62),AND($E62="biweekly",10&lt;=$D62,MOD(10-$C62,2)=0))),Flows!$C63,0))</f>
        <v/>
      </c>
      <c r="P62" s="13">
        <f>IF(OR($A62="",Flows!$C63=""),0,IF(AND(11&lt;=Setup!$B$5,11&gt;=$C62,OR(AND($E62="once",11=$C62),AND($E62="weekly",11&lt;=$D62),AND($E62="biweekly",11&lt;=$D62,MOD(11-$C62,2)=0))),Flows!$C63,0))</f>
        <v/>
      </c>
      <c r="Q62" s="13">
        <f>IF(OR($A62="",Flows!$C63=""),0,IF(AND(12&lt;=Setup!$B$5,12&gt;=$C62,OR(AND($E62="once",12=$C62),AND($E62="weekly",12&lt;=$D62),AND($E62="biweekly",12&lt;=$D62,MOD(12-$C62,2)=0))),Flows!$C63,0))</f>
        <v/>
      </c>
      <c r="R62" s="13">
        <f>IF(OR($A62="",Flows!$C63=""),0,IF(AND(13&lt;=Setup!$B$5,13&gt;=$C62,OR(AND($E62="once",13=$C62),AND($E62="weekly",13&lt;=$D62),AND($E62="biweekly",13&lt;=$D62,MOD(13-$C62,2)=0))),Flows!$C63,0))</f>
        <v/>
      </c>
      <c r="S62" s="13">
        <f>IF(OR($A62="",Flows!$C63=""),0,IF(AND(14&lt;=Setup!$B$5,14&gt;=$C62,OR(AND($E62="once",14=$C62),AND($E62="weekly",14&lt;=$D62),AND($E62="biweekly",14&lt;=$D62,MOD(14-$C62,2)=0))),Flows!$C63,0))</f>
        <v/>
      </c>
      <c r="T62" s="13">
        <f>IF(OR($A62="",Flows!$C63=""),0,IF(AND(15&lt;=Setup!$B$5,15&gt;=$C62,OR(AND($E62="once",15=$C62),AND($E62="weekly",15&lt;=$D62),AND($E62="biweekly",15&lt;=$D62,MOD(15-$C62,2)=0))),Flows!$C63,0))</f>
        <v/>
      </c>
      <c r="U62" s="13">
        <f>IF(OR($A62="",Flows!$C63=""),0,IF(AND(16&lt;=Setup!$B$5,16&gt;=$C62,OR(AND($E62="once",16=$C62),AND($E62="weekly",16&lt;=$D62),AND($E62="biweekly",16&lt;=$D62,MOD(16-$C62,2)=0))),Flows!$C63,0))</f>
        <v/>
      </c>
      <c r="V62" s="13">
        <f>IF(OR($A62="",Flows!$C63=""),0,IF(AND(17&lt;=Setup!$B$5,17&gt;=$C62,OR(AND($E62="once",17=$C62),AND($E62="weekly",17&lt;=$D62),AND($E62="biweekly",17&lt;=$D62,MOD(17-$C62,2)=0))),Flows!$C63,0))</f>
        <v/>
      </c>
      <c r="W62" s="13">
        <f>IF(OR($A62="",Flows!$C63=""),0,IF(AND(18&lt;=Setup!$B$5,18&gt;=$C62,OR(AND($E62="once",18=$C62),AND($E62="weekly",18&lt;=$D62),AND($E62="biweekly",18&lt;=$D62,MOD(18-$C62,2)=0))),Flows!$C63,0))</f>
        <v/>
      </c>
      <c r="X62" s="13">
        <f>IF(OR($A62="",Flows!$C63=""),0,IF(AND(19&lt;=Setup!$B$5,19&gt;=$C62,OR(AND($E62="once",19=$C62),AND($E62="weekly",19&lt;=$D62),AND($E62="biweekly",19&lt;=$D62,MOD(19-$C62,2)=0))),Flows!$C63,0))</f>
        <v/>
      </c>
      <c r="Y62" s="13">
        <f>IF(OR($A62="",Flows!$C63=""),0,IF(AND(20&lt;=Setup!$B$5,20&gt;=$C62,OR(AND($E62="once",20=$C62),AND($E62="weekly",20&lt;=$D62),AND($E62="biweekly",20&lt;=$D62,MOD(20-$C62,2)=0))),Flows!$C63,0))</f>
        <v/>
      </c>
      <c r="Z62" s="13">
        <f>IF(OR($A62="",Flows!$C63=""),0,IF(AND(21&lt;=Setup!$B$5,21&gt;=$C62,OR(AND($E62="once",21=$C62),AND($E62="weekly",21&lt;=$D62),AND($E62="biweekly",21&lt;=$D62,MOD(21-$C62,2)=0))),Flows!$C63,0))</f>
        <v/>
      </c>
      <c r="AA62" s="13">
        <f>IF(OR($A62="",Flows!$C63=""),0,IF(AND(22&lt;=Setup!$B$5,22&gt;=$C62,OR(AND($E62="once",22=$C62),AND($E62="weekly",22&lt;=$D62),AND($E62="biweekly",22&lt;=$D62,MOD(22-$C62,2)=0))),Flows!$C63,0))</f>
        <v/>
      </c>
      <c r="AB62" s="13">
        <f>IF(OR($A62="",Flows!$C63=""),0,IF(AND(23&lt;=Setup!$B$5,23&gt;=$C62,OR(AND($E62="once",23=$C62),AND($E62="weekly",23&lt;=$D62),AND($E62="biweekly",23&lt;=$D62,MOD(23-$C62,2)=0))),Flows!$C63,0))</f>
        <v/>
      </c>
      <c r="AC62" s="13">
        <f>IF(OR($A62="",Flows!$C63=""),0,IF(AND(24&lt;=Setup!$B$5,24&gt;=$C62,OR(AND($E62="once",24=$C62),AND($E62="weekly",24&lt;=$D62),AND($E62="biweekly",24&lt;=$D62,MOD(24-$C62,2)=0))),Flows!$C63,0))</f>
        <v/>
      </c>
      <c r="AD62" s="13">
        <f>IF(OR($A62="",Flows!$C63=""),0,IF(AND(25&lt;=Setup!$B$5,25&gt;=$C62,OR(AND($E62="once",25=$C62),AND($E62="weekly",25&lt;=$D62),AND($E62="biweekly",25&lt;=$D62,MOD(25-$C62,2)=0))),Flows!$C63,0))</f>
        <v/>
      </c>
      <c r="AE62" s="13">
        <f>IF(OR($A62="",Flows!$C63=""),0,IF(AND(26&lt;=Setup!$B$5,26&gt;=$C62,OR(AND($E62="once",26=$C62),AND($E62="weekly",26&lt;=$D62),AND($E62="biweekly",26&lt;=$D62,MOD(26-$C62,2)=0))),Flows!$C63,0))</f>
        <v/>
      </c>
      <c r="AF62" s="13">
        <f>IF(OR($A62="",Flows!$C63=""),0,IF(AND(27&lt;=Setup!$B$5,27&gt;=$C62,OR(AND($E62="once",27=$C62),AND($E62="weekly",27&lt;=$D62),AND($E62="biweekly",27&lt;=$D62,MOD(27-$C62,2)=0))),Flows!$C63,0))</f>
        <v/>
      </c>
      <c r="AG62" s="13">
        <f>IF(OR($A62="",Flows!$C63=""),0,IF(AND(28&lt;=Setup!$B$5,28&gt;=$C62,OR(AND($E62="once",28=$C62),AND($E62="weekly",28&lt;=$D62),AND($E62="biweekly",28&lt;=$D62,MOD(28-$C62,2)=0))),Flows!$C63,0))</f>
        <v/>
      </c>
      <c r="AH62" s="13">
        <f>IF(OR($A62="",Flows!$C63=""),0,IF(AND(29&lt;=Setup!$B$5,29&gt;=$C62,OR(AND($E62="once",29=$C62),AND($E62="weekly",29&lt;=$D62),AND($E62="biweekly",29&lt;=$D62,MOD(29-$C62,2)=0))),Flows!$C63,0))</f>
        <v/>
      </c>
      <c r="AI62" s="13">
        <f>IF(OR($A62="",Flows!$C63=""),0,IF(AND(30&lt;=Setup!$B$5,30&gt;=$C62,OR(AND($E62="once",30=$C62),AND($E62="weekly",30&lt;=$D62),AND($E62="biweekly",30&lt;=$D62,MOD(30-$C62,2)=0))),Flows!$C63,0))</f>
        <v/>
      </c>
      <c r="AJ62" s="13">
        <f>IF(OR($A62="",Flows!$C63=""),0,IF(AND(31&lt;=Setup!$B$5,31&gt;=$C62,OR(AND($E62="once",31=$C62),AND($E62="weekly",31&lt;=$D62),AND($E62="biweekly",31&lt;=$D62,MOD(31-$C62,2)=0))),Flows!$C63,0))</f>
        <v/>
      </c>
      <c r="AK62" s="13">
        <f>IF(OR($A62="",Flows!$C63=""),0,IF(AND(32&lt;=Setup!$B$5,32&gt;=$C62,OR(AND($E62="once",32=$C62),AND($E62="weekly",32&lt;=$D62),AND($E62="biweekly",32&lt;=$D62,MOD(32-$C62,2)=0))),Flows!$C63,0))</f>
        <v/>
      </c>
      <c r="AL62" s="13">
        <f>IF(OR($A62="",Flows!$C63=""),0,IF(AND(33&lt;=Setup!$B$5,33&gt;=$C62,OR(AND($E62="once",33=$C62),AND($E62="weekly",33&lt;=$D62),AND($E62="biweekly",33&lt;=$D62,MOD(33-$C62,2)=0))),Flows!$C63,0))</f>
        <v/>
      </c>
      <c r="AM62" s="13">
        <f>IF(OR($A62="",Flows!$C63=""),0,IF(AND(34&lt;=Setup!$B$5,34&gt;=$C62,OR(AND($E62="once",34=$C62),AND($E62="weekly",34&lt;=$D62),AND($E62="biweekly",34&lt;=$D62,MOD(34-$C62,2)=0))),Flows!$C63,0))</f>
        <v/>
      </c>
      <c r="AN62" s="13">
        <f>IF(OR($A62="",Flows!$C63=""),0,IF(AND(35&lt;=Setup!$B$5,35&gt;=$C62,OR(AND($E62="once",35=$C62),AND($E62="weekly",35&lt;=$D62),AND($E62="biweekly",35&lt;=$D62,MOD(35-$C62,2)=0))),Flows!$C63,0))</f>
        <v/>
      </c>
      <c r="AO62" s="13">
        <f>IF(OR($A62="",Flows!$C63=""),0,IF(AND(36&lt;=Setup!$B$5,36&gt;=$C62,OR(AND($E62="once",36=$C62),AND($E62="weekly",36&lt;=$D62),AND($E62="biweekly",36&lt;=$D62,MOD(36-$C62,2)=0))),Flows!$C63,0))</f>
        <v/>
      </c>
      <c r="AP62" s="13">
        <f>IF(OR($A62="",Flows!$C63=""),0,IF(AND(37&lt;=Setup!$B$5,37&gt;=$C62,OR(AND($E62="once",37=$C62),AND($E62="weekly",37&lt;=$D62),AND($E62="biweekly",37&lt;=$D62,MOD(37-$C62,2)=0))),Flows!$C63,0))</f>
        <v/>
      </c>
      <c r="AQ62" s="13">
        <f>IF(OR($A62="",Flows!$C63=""),0,IF(AND(38&lt;=Setup!$B$5,38&gt;=$C62,OR(AND($E62="once",38=$C62),AND($E62="weekly",38&lt;=$D62),AND($E62="biweekly",38&lt;=$D62,MOD(38-$C62,2)=0))),Flows!$C63,0))</f>
        <v/>
      </c>
      <c r="AR62" s="13">
        <f>IF(OR($A62="",Flows!$C63=""),0,IF(AND(39&lt;=Setup!$B$5,39&gt;=$C62,OR(AND($E62="once",39=$C62),AND($E62="weekly",39&lt;=$D62),AND($E62="biweekly",39&lt;=$D62,MOD(39-$C62,2)=0))),Flows!$C63,0))</f>
        <v/>
      </c>
      <c r="AS62" s="13">
        <f>IF(OR($A62="",Flows!$C63=""),0,IF(AND(40&lt;=Setup!$B$5,40&gt;=$C62,OR(AND($E62="once",40=$C62),AND($E62="weekly",40&lt;=$D62),AND($E62="biweekly",40&lt;=$D62,MOD(40-$C62,2)=0))),Flows!$C63,0))</f>
        <v/>
      </c>
      <c r="AT62" s="13">
        <f>IF(OR($A62="",Flows!$C63=""),0,IF(AND(41&lt;=Setup!$B$5,41&gt;=$C62,OR(AND($E62="once",41=$C62),AND($E62="weekly",41&lt;=$D62),AND($E62="biweekly",41&lt;=$D62,MOD(41-$C62,2)=0))),Flows!$C63,0))</f>
        <v/>
      </c>
      <c r="AU62" s="13">
        <f>IF(OR($A62="",Flows!$C63=""),0,IF(AND(42&lt;=Setup!$B$5,42&gt;=$C62,OR(AND($E62="once",42=$C62),AND($E62="weekly",42&lt;=$D62),AND($E62="biweekly",42&lt;=$D62,MOD(42-$C62,2)=0))),Flows!$C63,0))</f>
        <v/>
      </c>
      <c r="AV62" s="13">
        <f>IF(OR($A62="",Flows!$C63=""),0,IF(AND(43&lt;=Setup!$B$5,43&gt;=$C62,OR(AND($E62="once",43=$C62),AND($E62="weekly",43&lt;=$D62),AND($E62="biweekly",43&lt;=$D62,MOD(43-$C62,2)=0))),Flows!$C63,0))</f>
        <v/>
      </c>
      <c r="AW62" s="13">
        <f>IF(OR($A62="",Flows!$C63=""),0,IF(AND(44&lt;=Setup!$B$5,44&gt;=$C62,OR(AND($E62="once",44=$C62),AND($E62="weekly",44&lt;=$D62),AND($E62="biweekly",44&lt;=$D62,MOD(44-$C62,2)=0))),Flows!$C63,0))</f>
        <v/>
      </c>
      <c r="AX62" s="13">
        <f>IF(OR($A62="",Flows!$C63=""),0,IF(AND(45&lt;=Setup!$B$5,45&gt;=$C62,OR(AND($E62="once",45=$C62),AND($E62="weekly",45&lt;=$D62),AND($E62="biweekly",45&lt;=$D62,MOD(45-$C62,2)=0))),Flows!$C63,0))</f>
        <v/>
      </c>
      <c r="AY62" s="13">
        <f>IF(OR($A62="",Flows!$C63=""),0,IF(AND(46&lt;=Setup!$B$5,46&gt;=$C62,OR(AND($E62="once",46=$C62),AND($E62="weekly",46&lt;=$D62),AND($E62="biweekly",46&lt;=$D62,MOD(46-$C62,2)=0))),Flows!$C63,0))</f>
        <v/>
      </c>
      <c r="AZ62" s="13">
        <f>IF(OR($A62="",Flows!$C63=""),0,IF(AND(47&lt;=Setup!$B$5,47&gt;=$C62,OR(AND($E62="once",47=$C62),AND($E62="weekly",47&lt;=$D62),AND($E62="biweekly",47&lt;=$D62,MOD(47-$C62,2)=0))),Flows!$C63,0))</f>
        <v/>
      </c>
      <c r="BA62" s="13">
        <f>IF(OR($A62="",Flows!$C63=""),0,IF(AND(48&lt;=Setup!$B$5,48&gt;=$C62,OR(AND($E62="once",48=$C62),AND($E62="weekly",48&lt;=$D62),AND($E62="biweekly",48&lt;=$D62,MOD(48-$C62,2)=0))),Flows!$C63,0))</f>
        <v/>
      </c>
      <c r="BB62" s="13">
        <f>IF(OR($A62="",Flows!$C63=""),0,IF(AND(49&lt;=Setup!$B$5,49&gt;=$C62,OR(AND($E62="once",49=$C62),AND($E62="weekly",49&lt;=$D62),AND($E62="biweekly",49&lt;=$D62,MOD(49-$C62,2)=0))),Flows!$C63,0))</f>
        <v/>
      </c>
      <c r="BC62" s="13">
        <f>IF(OR($A62="",Flows!$C63=""),0,IF(AND(50&lt;=Setup!$B$5,50&gt;=$C62,OR(AND($E62="once",50=$C62),AND($E62="weekly",50&lt;=$D62),AND($E62="biweekly",50&lt;=$D62,MOD(50-$C62,2)=0))),Flows!$C63,0))</f>
        <v/>
      </c>
      <c r="BD62" s="13">
        <f>IF(OR($A62="",Flows!$C63=""),0,IF(AND(51&lt;=Setup!$B$5,51&gt;=$C62,OR(AND($E62="once",51=$C62),AND($E62="weekly",51&lt;=$D62),AND($E62="biweekly",51&lt;=$D62,MOD(51-$C62,2)=0))),Flows!$C63,0))</f>
        <v/>
      </c>
      <c r="BE62" s="13">
        <f>IF(OR($A62="",Flows!$C63=""),0,IF(AND(52&lt;=Setup!$B$5,52&gt;=$C62,OR(AND($E62="once",52=$C62),AND($E62="weekly",52&lt;=$D62),AND($E62="biweekly",52&lt;=$D62,MOD(52-$C62,2)=0))),Flows!$C63,0))</f>
        <v/>
      </c>
    </row>
    <row r="63">
      <c r="A63" s="7">
        <f>IF(Flows!A64="","",LOWER(Flows!A64))</f>
        <v/>
      </c>
      <c r="B63" s="7">
        <f>IF(Flows!B64="","",Flows!B64)</f>
        <v/>
      </c>
      <c r="C63" s="7">
        <f>N(Flows!D64)</f>
        <v/>
      </c>
      <c r="D63" s="7">
        <f>IF(Flows!F64="",Setup!$B$5,Flows!F64)</f>
        <v/>
      </c>
      <c r="E63" s="7">
        <f>IF(Flows!E64="","once",LOWER(Flows!E64))</f>
        <v/>
      </c>
      <c r="F63" s="13">
        <f>IF(OR($A63="",Flows!$C64=""),0,IF(AND(1&lt;=Setup!$B$5,1&gt;=$C63,OR(AND($E63="once",1=$C63),AND($E63="weekly",1&lt;=$D63),AND($E63="biweekly",1&lt;=$D63,MOD(1-$C63,2)=0))),Flows!$C64,0))</f>
        <v/>
      </c>
      <c r="G63" s="13">
        <f>IF(OR($A63="",Flows!$C64=""),0,IF(AND(2&lt;=Setup!$B$5,2&gt;=$C63,OR(AND($E63="once",2=$C63),AND($E63="weekly",2&lt;=$D63),AND($E63="biweekly",2&lt;=$D63,MOD(2-$C63,2)=0))),Flows!$C64,0))</f>
        <v/>
      </c>
      <c r="H63" s="13">
        <f>IF(OR($A63="",Flows!$C64=""),0,IF(AND(3&lt;=Setup!$B$5,3&gt;=$C63,OR(AND($E63="once",3=$C63),AND($E63="weekly",3&lt;=$D63),AND($E63="biweekly",3&lt;=$D63,MOD(3-$C63,2)=0))),Flows!$C64,0))</f>
        <v/>
      </c>
      <c r="I63" s="13">
        <f>IF(OR($A63="",Flows!$C64=""),0,IF(AND(4&lt;=Setup!$B$5,4&gt;=$C63,OR(AND($E63="once",4=$C63),AND($E63="weekly",4&lt;=$D63),AND($E63="biweekly",4&lt;=$D63,MOD(4-$C63,2)=0))),Flows!$C64,0))</f>
        <v/>
      </c>
      <c r="J63" s="13">
        <f>IF(OR($A63="",Flows!$C64=""),0,IF(AND(5&lt;=Setup!$B$5,5&gt;=$C63,OR(AND($E63="once",5=$C63),AND($E63="weekly",5&lt;=$D63),AND($E63="biweekly",5&lt;=$D63,MOD(5-$C63,2)=0))),Flows!$C64,0))</f>
        <v/>
      </c>
      <c r="K63" s="13">
        <f>IF(OR($A63="",Flows!$C64=""),0,IF(AND(6&lt;=Setup!$B$5,6&gt;=$C63,OR(AND($E63="once",6=$C63),AND($E63="weekly",6&lt;=$D63),AND($E63="biweekly",6&lt;=$D63,MOD(6-$C63,2)=0))),Flows!$C64,0))</f>
        <v/>
      </c>
      <c r="L63" s="13">
        <f>IF(OR($A63="",Flows!$C64=""),0,IF(AND(7&lt;=Setup!$B$5,7&gt;=$C63,OR(AND($E63="once",7=$C63),AND($E63="weekly",7&lt;=$D63),AND($E63="biweekly",7&lt;=$D63,MOD(7-$C63,2)=0))),Flows!$C64,0))</f>
        <v/>
      </c>
      <c r="M63" s="13">
        <f>IF(OR($A63="",Flows!$C64=""),0,IF(AND(8&lt;=Setup!$B$5,8&gt;=$C63,OR(AND($E63="once",8=$C63),AND($E63="weekly",8&lt;=$D63),AND($E63="biweekly",8&lt;=$D63,MOD(8-$C63,2)=0))),Flows!$C64,0))</f>
        <v/>
      </c>
      <c r="N63" s="13">
        <f>IF(OR($A63="",Flows!$C64=""),0,IF(AND(9&lt;=Setup!$B$5,9&gt;=$C63,OR(AND($E63="once",9=$C63),AND($E63="weekly",9&lt;=$D63),AND($E63="biweekly",9&lt;=$D63,MOD(9-$C63,2)=0))),Flows!$C64,0))</f>
        <v/>
      </c>
      <c r="O63" s="13">
        <f>IF(OR($A63="",Flows!$C64=""),0,IF(AND(10&lt;=Setup!$B$5,10&gt;=$C63,OR(AND($E63="once",10=$C63),AND($E63="weekly",10&lt;=$D63),AND($E63="biweekly",10&lt;=$D63,MOD(10-$C63,2)=0))),Flows!$C64,0))</f>
        <v/>
      </c>
      <c r="P63" s="13">
        <f>IF(OR($A63="",Flows!$C64=""),0,IF(AND(11&lt;=Setup!$B$5,11&gt;=$C63,OR(AND($E63="once",11=$C63),AND($E63="weekly",11&lt;=$D63),AND($E63="biweekly",11&lt;=$D63,MOD(11-$C63,2)=0))),Flows!$C64,0))</f>
        <v/>
      </c>
      <c r="Q63" s="13">
        <f>IF(OR($A63="",Flows!$C64=""),0,IF(AND(12&lt;=Setup!$B$5,12&gt;=$C63,OR(AND($E63="once",12=$C63),AND($E63="weekly",12&lt;=$D63),AND($E63="biweekly",12&lt;=$D63,MOD(12-$C63,2)=0))),Flows!$C64,0))</f>
        <v/>
      </c>
      <c r="R63" s="13">
        <f>IF(OR($A63="",Flows!$C64=""),0,IF(AND(13&lt;=Setup!$B$5,13&gt;=$C63,OR(AND($E63="once",13=$C63),AND($E63="weekly",13&lt;=$D63),AND($E63="biweekly",13&lt;=$D63,MOD(13-$C63,2)=0))),Flows!$C64,0))</f>
        <v/>
      </c>
      <c r="S63" s="13">
        <f>IF(OR($A63="",Flows!$C64=""),0,IF(AND(14&lt;=Setup!$B$5,14&gt;=$C63,OR(AND($E63="once",14=$C63),AND($E63="weekly",14&lt;=$D63),AND($E63="biweekly",14&lt;=$D63,MOD(14-$C63,2)=0))),Flows!$C64,0))</f>
        <v/>
      </c>
      <c r="T63" s="13">
        <f>IF(OR($A63="",Flows!$C64=""),0,IF(AND(15&lt;=Setup!$B$5,15&gt;=$C63,OR(AND($E63="once",15=$C63),AND($E63="weekly",15&lt;=$D63),AND($E63="biweekly",15&lt;=$D63,MOD(15-$C63,2)=0))),Flows!$C64,0))</f>
        <v/>
      </c>
      <c r="U63" s="13">
        <f>IF(OR($A63="",Flows!$C64=""),0,IF(AND(16&lt;=Setup!$B$5,16&gt;=$C63,OR(AND($E63="once",16=$C63),AND($E63="weekly",16&lt;=$D63),AND($E63="biweekly",16&lt;=$D63,MOD(16-$C63,2)=0))),Flows!$C64,0))</f>
        <v/>
      </c>
      <c r="V63" s="13">
        <f>IF(OR($A63="",Flows!$C64=""),0,IF(AND(17&lt;=Setup!$B$5,17&gt;=$C63,OR(AND($E63="once",17=$C63),AND($E63="weekly",17&lt;=$D63),AND($E63="biweekly",17&lt;=$D63,MOD(17-$C63,2)=0))),Flows!$C64,0))</f>
        <v/>
      </c>
      <c r="W63" s="13">
        <f>IF(OR($A63="",Flows!$C64=""),0,IF(AND(18&lt;=Setup!$B$5,18&gt;=$C63,OR(AND($E63="once",18=$C63),AND($E63="weekly",18&lt;=$D63),AND($E63="biweekly",18&lt;=$D63,MOD(18-$C63,2)=0))),Flows!$C64,0))</f>
        <v/>
      </c>
      <c r="X63" s="13">
        <f>IF(OR($A63="",Flows!$C64=""),0,IF(AND(19&lt;=Setup!$B$5,19&gt;=$C63,OR(AND($E63="once",19=$C63),AND($E63="weekly",19&lt;=$D63),AND($E63="biweekly",19&lt;=$D63,MOD(19-$C63,2)=0))),Flows!$C64,0))</f>
        <v/>
      </c>
      <c r="Y63" s="13">
        <f>IF(OR($A63="",Flows!$C64=""),0,IF(AND(20&lt;=Setup!$B$5,20&gt;=$C63,OR(AND($E63="once",20=$C63),AND($E63="weekly",20&lt;=$D63),AND($E63="biweekly",20&lt;=$D63,MOD(20-$C63,2)=0))),Flows!$C64,0))</f>
        <v/>
      </c>
      <c r="Z63" s="13">
        <f>IF(OR($A63="",Flows!$C64=""),0,IF(AND(21&lt;=Setup!$B$5,21&gt;=$C63,OR(AND($E63="once",21=$C63),AND($E63="weekly",21&lt;=$D63),AND($E63="biweekly",21&lt;=$D63,MOD(21-$C63,2)=0))),Flows!$C64,0))</f>
        <v/>
      </c>
      <c r="AA63" s="13">
        <f>IF(OR($A63="",Flows!$C64=""),0,IF(AND(22&lt;=Setup!$B$5,22&gt;=$C63,OR(AND($E63="once",22=$C63),AND($E63="weekly",22&lt;=$D63),AND($E63="biweekly",22&lt;=$D63,MOD(22-$C63,2)=0))),Flows!$C64,0))</f>
        <v/>
      </c>
      <c r="AB63" s="13">
        <f>IF(OR($A63="",Flows!$C64=""),0,IF(AND(23&lt;=Setup!$B$5,23&gt;=$C63,OR(AND($E63="once",23=$C63),AND($E63="weekly",23&lt;=$D63),AND($E63="biweekly",23&lt;=$D63,MOD(23-$C63,2)=0))),Flows!$C64,0))</f>
        <v/>
      </c>
      <c r="AC63" s="13">
        <f>IF(OR($A63="",Flows!$C64=""),0,IF(AND(24&lt;=Setup!$B$5,24&gt;=$C63,OR(AND($E63="once",24=$C63),AND($E63="weekly",24&lt;=$D63),AND($E63="biweekly",24&lt;=$D63,MOD(24-$C63,2)=0))),Flows!$C64,0))</f>
        <v/>
      </c>
      <c r="AD63" s="13">
        <f>IF(OR($A63="",Flows!$C64=""),0,IF(AND(25&lt;=Setup!$B$5,25&gt;=$C63,OR(AND($E63="once",25=$C63),AND($E63="weekly",25&lt;=$D63),AND($E63="biweekly",25&lt;=$D63,MOD(25-$C63,2)=0))),Flows!$C64,0))</f>
        <v/>
      </c>
      <c r="AE63" s="13">
        <f>IF(OR($A63="",Flows!$C64=""),0,IF(AND(26&lt;=Setup!$B$5,26&gt;=$C63,OR(AND($E63="once",26=$C63),AND($E63="weekly",26&lt;=$D63),AND($E63="biweekly",26&lt;=$D63,MOD(26-$C63,2)=0))),Flows!$C64,0))</f>
        <v/>
      </c>
      <c r="AF63" s="13">
        <f>IF(OR($A63="",Flows!$C64=""),0,IF(AND(27&lt;=Setup!$B$5,27&gt;=$C63,OR(AND($E63="once",27=$C63),AND($E63="weekly",27&lt;=$D63),AND($E63="biweekly",27&lt;=$D63,MOD(27-$C63,2)=0))),Flows!$C64,0))</f>
        <v/>
      </c>
      <c r="AG63" s="13">
        <f>IF(OR($A63="",Flows!$C64=""),0,IF(AND(28&lt;=Setup!$B$5,28&gt;=$C63,OR(AND($E63="once",28=$C63),AND($E63="weekly",28&lt;=$D63),AND($E63="biweekly",28&lt;=$D63,MOD(28-$C63,2)=0))),Flows!$C64,0))</f>
        <v/>
      </c>
      <c r="AH63" s="13">
        <f>IF(OR($A63="",Flows!$C64=""),0,IF(AND(29&lt;=Setup!$B$5,29&gt;=$C63,OR(AND($E63="once",29=$C63),AND($E63="weekly",29&lt;=$D63),AND($E63="biweekly",29&lt;=$D63,MOD(29-$C63,2)=0))),Flows!$C64,0))</f>
        <v/>
      </c>
      <c r="AI63" s="13">
        <f>IF(OR($A63="",Flows!$C64=""),0,IF(AND(30&lt;=Setup!$B$5,30&gt;=$C63,OR(AND($E63="once",30=$C63),AND($E63="weekly",30&lt;=$D63),AND($E63="biweekly",30&lt;=$D63,MOD(30-$C63,2)=0))),Flows!$C64,0))</f>
        <v/>
      </c>
      <c r="AJ63" s="13">
        <f>IF(OR($A63="",Flows!$C64=""),0,IF(AND(31&lt;=Setup!$B$5,31&gt;=$C63,OR(AND($E63="once",31=$C63),AND($E63="weekly",31&lt;=$D63),AND($E63="biweekly",31&lt;=$D63,MOD(31-$C63,2)=0))),Flows!$C64,0))</f>
        <v/>
      </c>
      <c r="AK63" s="13">
        <f>IF(OR($A63="",Flows!$C64=""),0,IF(AND(32&lt;=Setup!$B$5,32&gt;=$C63,OR(AND($E63="once",32=$C63),AND($E63="weekly",32&lt;=$D63),AND($E63="biweekly",32&lt;=$D63,MOD(32-$C63,2)=0))),Flows!$C64,0))</f>
        <v/>
      </c>
      <c r="AL63" s="13">
        <f>IF(OR($A63="",Flows!$C64=""),0,IF(AND(33&lt;=Setup!$B$5,33&gt;=$C63,OR(AND($E63="once",33=$C63),AND($E63="weekly",33&lt;=$D63),AND($E63="biweekly",33&lt;=$D63,MOD(33-$C63,2)=0))),Flows!$C64,0))</f>
        <v/>
      </c>
      <c r="AM63" s="13">
        <f>IF(OR($A63="",Flows!$C64=""),0,IF(AND(34&lt;=Setup!$B$5,34&gt;=$C63,OR(AND($E63="once",34=$C63),AND($E63="weekly",34&lt;=$D63),AND($E63="biweekly",34&lt;=$D63,MOD(34-$C63,2)=0))),Flows!$C64,0))</f>
        <v/>
      </c>
      <c r="AN63" s="13">
        <f>IF(OR($A63="",Flows!$C64=""),0,IF(AND(35&lt;=Setup!$B$5,35&gt;=$C63,OR(AND($E63="once",35=$C63),AND($E63="weekly",35&lt;=$D63),AND($E63="biweekly",35&lt;=$D63,MOD(35-$C63,2)=0))),Flows!$C64,0))</f>
        <v/>
      </c>
      <c r="AO63" s="13">
        <f>IF(OR($A63="",Flows!$C64=""),0,IF(AND(36&lt;=Setup!$B$5,36&gt;=$C63,OR(AND($E63="once",36=$C63),AND($E63="weekly",36&lt;=$D63),AND($E63="biweekly",36&lt;=$D63,MOD(36-$C63,2)=0))),Flows!$C64,0))</f>
        <v/>
      </c>
      <c r="AP63" s="13">
        <f>IF(OR($A63="",Flows!$C64=""),0,IF(AND(37&lt;=Setup!$B$5,37&gt;=$C63,OR(AND($E63="once",37=$C63),AND($E63="weekly",37&lt;=$D63),AND($E63="biweekly",37&lt;=$D63,MOD(37-$C63,2)=0))),Flows!$C64,0))</f>
        <v/>
      </c>
      <c r="AQ63" s="13">
        <f>IF(OR($A63="",Flows!$C64=""),0,IF(AND(38&lt;=Setup!$B$5,38&gt;=$C63,OR(AND($E63="once",38=$C63),AND($E63="weekly",38&lt;=$D63),AND($E63="biweekly",38&lt;=$D63,MOD(38-$C63,2)=0))),Flows!$C64,0))</f>
        <v/>
      </c>
      <c r="AR63" s="13">
        <f>IF(OR($A63="",Flows!$C64=""),0,IF(AND(39&lt;=Setup!$B$5,39&gt;=$C63,OR(AND($E63="once",39=$C63),AND($E63="weekly",39&lt;=$D63),AND($E63="biweekly",39&lt;=$D63,MOD(39-$C63,2)=0))),Flows!$C64,0))</f>
        <v/>
      </c>
      <c r="AS63" s="13">
        <f>IF(OR($A63="",Flows!$C64=""),0,IF(AND(40&lt;=Setup!$B$5,40&gt;=$C63,OR(AND($E63="once",40=$C63),AND($E63="weekly",40&lt;=$D63),AND($E63="biweekly",40&lt;=$D63,MOD(40-$C63,2)=0))),Flows!$C64,0))</f>
        <v/>
      </c>
      <c r="AT63" s="13">
        <f>IF(OR($A63="",Flows!$C64=""),0,IF(AND(41&lt;=Setup!$B$5,41&gt;=$C63,OR(AND($E63="once",41=$C63),AND($E63="weekly",41&lt;=$D63),AND($E63="biweekly",41&lt;=$D63,MOD(41-$C63,2)=0))),Flows!$C64,0))</f>
        <v/>
      </c>
      <c r="AU63" s="13">
        <f>IF(OR($A63="",Flows!$C64=""),0,IF(AND(42&lt;=Setup!$B$5,42&gt;=$C63,OR(AND($E63="once",42=$C63),AND($E63="weekly",42&lt;=$D63),AND($E63="biweekly",42&lt;=$D63,MOD(42-$C63,2)=0))),Flows!$C64,0))</f>
        <v/>
      </c>
      <c r="AV63" s="13">
        <f>IF(OR($A63="",Flows!$C64=""),0,IF(AND(43&lt;=Setup!$B$5,43&gt;=$C63,OR(AND($E63="once",43=$C63),AND($E63="weekly",43&lt;=$D63),AND($E63="biweekly",43&lt;=$D63,MOD(43-$C63,2)=0))),Flows!$C64,0))</f>
        <v/>
      </c>
      <c r="AW63" s="13">
        <f>IF(OR($A63="",Flows!$C64=""),0,IF(AND(44&lt;=Setup!$B$5,44&gt;=$C63,OR(AND($E63="once",44=$C63),AND($E63="weekly",44&lt;=$D63),AND($E63="biweekly",44&lt;=$D63,MOD(44-$C63,2)=0))),Flows!$C64,0))</f>
        <v/>
      </c>
      <c r="AX63" s="13">
        <f>IF(OR($A63="",Flows!$C64=""),0,IF(AND(45&lt;=Setup!$B$5,45&gt;=$C63,OR(AND($E63="once",45=$C63),AND($E63="weekly",45&lt;=$D63),AND($E63="biweekly",45&lt;=$D63,MOD(45-$C63,2)=0))),Flows!$C64,0))</f>
        <v/>
      </c>
      <c r="AY63" s="13">
        <f>IF(OR($A63="",Flows!$C64=""),0,IF(AND(46&lt;=Setup!$B$5,46&gt;=$C63,OR(AND($E63="once",46=$C63),AND($E63="weekly",46&lt;=$D63),AND($E63="biweekly",46&lt;=$D63,MOD(46-$C63,2)=0))),Flows!$C64,0))</f>
        <v/>
      </c>
      <c r="AZ63" s="13">
        <f>IF(OR($A63="",Flows!$C64=""),0,IF(AND(47&lt;=Setup!$B$5,47&gt;=$C63,OR(AND($E63="once",47=$C63),AND($E63="weekly",47&lt;=$D63),AND($E63="biweekly",47&lt;=$D63,MOD(47-$C63,2)=0))),Flows!$C64,0))</f>
        <v/>
      </c>
      <c r="BA63" s="13">
        <f>IF(OR($A63="",Flows!$C64=""),0,IF(AND(48&lt;=Setup!$B$5,48&gt;=$C63,OR(AND($E63="once",48=$C63),AND($E63="weekly",48&lt;=$D63),AND($E63="biweekly",48&lt;=$D63,MOD(48-$C63,2)=0))),Flows!$C64,0))</f>
        <v/>
      </c>
      <c r="BB63" s="13">
        <f>IF(OR($A63="",Flows!$C64=""),0,IF(AND(49&lt;=Setup!$B$5,49&gt;=$C63,OR(AND($E63="once",49=$C63),AND($E63="weekly",49&lt;=$D63),AND($E63="biweekly",49&lt;=$D63,MOD(49-$C63,2)=0))),Flows!$C64,0))</f>
        <v/>
      </c>
      <c r="BC63" s="13">
        <f>IF(OR($A63="",Flows!$C64=""),0,IF(AND(50&lt;=Setup!$B$5,50&gt;=$C63,OR(AND($E63="once",50=$C63),AND($E63="weekly",50&lt;=$D63),AND($E63="biweekly",50&lt;=$D63,MOD(50-$C63,2)=0))),Flows!$C64,0))</f>
        <v/>
      </c>
      <c r="BD63" s="13">
        <f>IF(OR($A63="",Flows!$C64=""),0,IF(AND(51&lt;=Setup!$B$5,51&gt;=$C63,OR(AND($E63="once",51=$C63),AND($E63="weekly",51&lt;=$D63),AND($E63="biweekly",51&lt;=$D63,MOD(51-$C63,2)=0))),Flows!$C64,0))</f>
        <v/>
      </c>
      <c r="BE63" s="13">
        <f>IF(OR($A63="",Flows!$C64=""),0,IF(AND(52&lt;=Setup!$B$5,52&gt;=$C63,OR(AND($E63="once",52=$C63),AND($E63="weekly",52&lt;=$D63),AND($E63="biweekly",52&lt;=$D63,MOD(52-$C63,2)=0))),Flows!$C64,0))</f>
        <v/>
      </c>
    </row>
    <row r="64">
      <c r="A64" s="7">
        <f>IF(Flows!A65="","",LOWER(Flows!A65))</f>
        <v/>
      </c>
      <c r="B64" s="7">
        <f>IF(Flows!B65="","",Flows!B65)</f>
        <v/>
      </c>
      <c r="C64" s="7">
        <f>N(Flows!D65)</f>
        <v/>
      </c>
      <c r="D64" s="7">
        <f>IF(Flows!F65="",Setup!$B$5,Flows!F65)</f>
        <v/>
      </c>
      <c r="E64" s="7">
        <f>IF(Flows!E65="","once",LOWER(Flows!E65))</f>
        <v/>
      </c>
      <c r="F64" s="13">
        <f>IF(OR($A64="",Flows!$C65=""),0,IF(AND(1&lt;=Setup!$B$5,1&gt;=$C64,OR(AND($E64="once",1=$C64),AND($E64="weekly",1&lt;=$D64),AND($E64="biweekly",1&lt;=$D64,MOD(1-$C64,2)=0))),Flows!$C65,0))</f>
        <v/>
      </c>
      <c r="G64" s="13">
        <f>IF(OR($A64="",Flows!$C65=""),0,IF(AND(2&lt;=Setup!$B$5,2&gt;=$C64,OR(AND($E64="once",2=$C64),AND($E64="weekly",2&lt;=$D64),AND($E64="biweekly",2&lt;=$D64,MOD(2-$C64,2)=0))),Flows!$C65,0))</f>
        <v/>
      </c>
      <c r="H64" s="13">
        <f>IF(OR($A64="",Flows!$C65=""),0,IF(AND(3&lt;=Setup!$B$5,3&gt;=$C64,OR(AND($E64="once",3=$C64),AND($E64="weekly",3&lt;=$D64),AND($E64="biweekly",3&lt;=$D64,MOD(3-$C64,2)=0))),Flows!$C65,0))</f>
        <v/>
      </c>
      <c r="I64" s="13">
        <f>IF(OR($A64="",Flows!$C65=""),0,IF(AND(4&lt;=Setup!$B$5,4&gt;=$C64,OR(AND($E64="once",4=$C64),AND($E64="weekly",4&lt;=$D64),AND($E64="biweekly",4&lt;=$D64,MOD(4-$C64,2)=0))),Flows!$C65,0))</f>
        <v/>
      </c>
      <c r="J64" s="13">
        <f>IF(OR($A64="",Flows!$C65=""),0,IF(AND(5&lt;=Setup!$B$5,5&gt;=$C64,OR(AND($E64="once",5=$C64),AND($E64="weekly",5&lt;=$D64),AND($E64="biweekly",5&lt;=$D64,MOD(5-$C64,2)=0))),Flows!$C65,0))</f>
        <v/>
      </c>
      <c r="K64" s="13">
        <f>IF(OR($A64="",Flows!$C65=""),0,IF(AND(6&lt;=Setup!$B$5,6&gt;=$C64,OR(AND($E64="once",6=$C64),AND($E64="weekly",6&lt;=$D64),AND($E64="biweekly",6&lt;=$D64,MOD(6-$C64,2)=0))),Flows!$C65,0))</f>
        <v/>
      </c>
      <c r="L64" s="13">
        <f>IF(OR($A64="",Flows!$C65=""),0,IF(AND(7&lt;=Setup!$B$5,7&gt;=$C64,OR(AND($E64="once",7=$C64),AND($E64="weekly",7&lt;=$D64),AND($E64="biweekly",7&lt;=$D64,MOD(7-$C64,2)=0))),Flows!$C65,0))</f>
        <v/>
      </c>
      <c r="M64" s="13">
        <f>IF(OR($A64="",Flows!$C65=""),0,IF(AND(8&lt;=Setup!$B$5,8&gt;=$C64,OR(AND($E64="once",8=$C64),AND($E64="weekly",8&lt;=$D64),AND($E64="biweekly",8&lt;=$D64,MOD(8-$C64,2)=0))),Flows!$C65,0))</f>
        <v/>
      </c>
      <c r="N64" s="13">
        <f>IF(OR($A64="",Flows!$C65=""),0,IF(AND(9&lt;=Setup!$B$5,9&gt;=$C64,OR(AND($E64="once",9=$C64),AND($E64="weekly",9&lt;=$D64),AND($E64="biweekly",9&lt;=$D64,MOD(9-$C64,2)=0))),Flows!$C65,0))</f>
        <v/>
      </c>
      <c r="O64" s="13">
        <f>IF(OR($A64="",Flows!$C65=""),0,IF(AND(10&lt;=Setup!$B$5,10&gt;=$C64,OR(AND($E64="once",10=$C64),AND($E64="weekly",10&lt;=$D64),AND($E64="biweekly",10&lt;=$D64,MOD(10-$C64,2)=0))),Flows!$C65,0))</f>
        <v/>
      </c>
      <c r="P64" s="13">
        <f>IF(OR($A64="",Flows!$C65=""),0,IF(AND(11&lt;=Setup!$B$5,11&gt;=$C64,OR(AND($E64="once",11=$C64),AND($E64="weekly",11&lt;=$D64),AND($E64="biweekly",11&lt;=$D64,MOD(11-$C64,2)=0))),Flows!$C65,0))</f>
        <v/>
      </c>
      <c r="Q64" s="13">
        <f>IF(OR($A64="",Flows!$C65=""),0,IF(AND(12&lt;=Setup!$B$5,12&gt;=$C64,OR(AND($E64="once",12=$C64),AND($E64="weekly",12&lt;=$D64),AND($E64="biweekly",12&lt;=$D64,MOD(12-$C64,2)=0))),Flows!$C65,0))</f>
        <v/>
      </c>
      <c r="R64" s="13">
        <f>IF(OR($A64="",Flows!$C65=""),0,IF(AND(13&lt;=Setup!$B$5,13&gt;=$C64,OR(AND($E64="once",13=$C64),AND($E64="weekly",13&lt;=$D64),AND($E64="biweekly",13&lt;=$D64,MOD(13-$C64,2)=0))),Flows!$C65,0))</f>
        <v/>
      </c>
      <c r="S64" s="13">
        <f>IF(OR($A64="",Flows!$C65=""),0,IF(AND(14&lt;=Setup!$B$5,14&gt;=$C64,OR(AND($E64="once",14=$C64),AND($E64="weekly",14&lt;=$D64),AND($E64="biweekly",14&lt;=$D64,MOD(14-$C64,2)=0))),Flows!$C65,0))</f>
        <v/>
      </c>
      <c r="T64" s="13">
        <f>IF(OR($A64="",Flows!$C65=""),0,IF(AND(15&lt;=Setup!$B$5,15&gt;=$C64,OR(AND($E64="once",15=$C64),AND($E64="weekly",15&lt;=$D64),AND($E64="biweekly",15&lt;=$D64,MOD(15-$C64,2)=0))),Flows!$C65,0))</f>
        <v/>
      </c>
      <c r="U64" s="13">
        <f>IF(OR($A64="",Flows!$C65=""),0,IF(AND(16&lt;=Setup!$B$5,16&gt;=$C64,OR(AND($E64="once",16=$C64),AND($E64="weekly",16&lt;=$D64),AND($E64="biweekly",16&lt;=$D64,MOD(16-$C64,2)=0))),Flows!$C65,0))</f>
        <v/>
      </c>
      <c r="V64" s="13">
        <f>IF(OR($A64="",Flows!$C65=""),0,IF(AND(17&lt;=Setup!$B$5,17&gt;=$C64,OR(AND($E64="once",17=$C64),AND($E64="weekly",17&lt;=$D64),AND($E64="biweekly",17&lt;=$D64,MOD(17-$C64,2)=0))),Flows!$C65,0))</f>
        <v/>
      </c>
      <c r="W64" s="13">
        <f>IF(OR($A64="",Flows!$C65=""),0,IF(AND(18&lt;=Setup!$B$5,18&gt;=$C64,OR(AND($E64="once",18=$C64),AND($E64="weekly",18&lt;=$D64),AND($E64="biweekly",18&lt;=$D64,MOD(18-$C64,2)=0))),Flows!$C65,0))</f>
        <v/>
      </c>
      <c r="X64" s="13">
        <f>IF(OR($A64="",Flows!$C65=""),0,IF(AND(19&lt;=Setup!$B$5,19&gt;=$C64,OR(AND($E64="once",19=$C64),AND($E64="weekly",19&lt;=$D64),AND($E64="biweekly",19&lt;=$D64,MOD(19-$C64,2)=0))),Flows!$C65,0))</f>
        <v/>
      </c>
      <c r="Y64" s="13">
        <f>IF(OR($A64="",Flows!$C65=""),0,IF(AND(20&lt;=Setup!$B$5,20&gt;=$C64,OR(AND($E64="once",20=$C64),AND($E64="weekly",20&lt;=$D64),AND($E64="biweekly",20&lt;=$D64,MOD(20-$C64,2)=0))),Flows!$C65,0))</f>
        <v/>
      </c>
      <c r="Z64" s="13">
        <f>IF(OR($A64="",Flows!$C65=""),0,IF(AND(21&lt;=Setup!$B$5,21&gt;=$C64,OR(AND($E64="once",21=$C64),AND($E64="weekly",21&lt;=$D64),AND($E64="biweekly",21&lt;=$D64,MOD(21-$C64,2)=0))),Flows!$C65,0))</f>
        <v/>
      </c>
      <c r="AA64" s="13">
        <f>IF(OR($A64="",Flows!$C65=""),0,IF(AND(22&lt;=Setup!$B$5,22&gt;=$C64,OR(AND($E64="once",22=$C64),AND($E64="weekly",22&lt;=$D64),AND($E64="biweekly",22&lt;=$D64,MOD(22-$C64,2)=0))),Flows!$C65,0))</f>
        <v/>
      </c>
      <c r="AB64" s="13">
        <f>IF(OR($A64="",Flows!$C65=""),0,IF(AND(23&lt;=Setup!$B$5,23&gt;=$C64,OR(AND($E64="once",23=$C64),AND($E64="weekly",23&lt;=$D64),AND($E64="biweekly",23&lt;=$D64,MOD(23-$C64,2)=0))),Flows!$C65,0))</f>
        <v/>
      </c>
      <c r="AC64" s="13">
        <f>IF(OR($A64="",Flows!$C65=""),0,IF(AND(24&lt;=Setup!$B$5,24&gt;=$C64,OR(AND($E64="once",24=$C64),AND($E64="weekly",24&lt;=$D64),AND($E64="biweekly",24&lt;=$D64,MOD(24-$C64,2)=0))),Flows!$C65,0))</f>
        <v/>
      </c>
      <c r="AD64" s="13">
        <f>IF(OR($A64="",Flows!$C65=""),0,IF(AND(25&lt;=Setup!$B$5,25&gt;=$C64,OR(AND($E64="once",25=$C64),AND($E64="weekly",25&lt;=$D64),AND($E64="biweekly",25&lt;=$D64,MOD(25-$C64,2)=0))),Flows!$C65,0))</f>
        <v/>
      </c>
      <c r="AE64" s="13">
        <f>IF(OR($A64="",Flows!$C65=""),0,IF(AND(26&lt;=Setup!$B$5,26&gt;=$C64,OR(AND($E64="once",26=$C64),AND($E64="weekly",26&lt;=$D64),AND($E64="biweekly",26&lt;=$D64,MOD(26-$C64,2)=0))),Flows!$C65,0))</f>
        <v/>
      </c>
      <c r="AF64" s="13">
        <f>IF(OR($A64="",Flows!$C65=""),0,IF(AND(27&lt;=Setup!$B$5,27&gt;=$C64,OR(AND($E64="once",27=$C64),AND($E64="weekly",27&lt;=$D64),AND($E64="biweekly",27&lt;=$D64,MOD(27-$C64,2)=0))),Flows!$C65,0))</f>
        <v/>
      </c>
      <c r="AG64" s="13">
        <f>IF(OR($A64="",Flows!$C65=""),0,IF(AND(28&lt;=Setup!$B$5,28&gt;=$C64,OR(AND($E64="once",28=$C64),AND($E64="weekly",28&lt;=$D64),AND($E64="biweekly",28&lt;=$D64,MOD(28-$C64,2)=0))),Flows!$C65,0))</f>
        <v/>
      </c>
      <c r="AH64" s="13">
        <f>IF(OR($A64="",Flows!$C65=""),0,IF(AND(29&lt;=Setup!$B$5,29&gt;=$C64,OR(AND($E64="once",29=$C64),AND($E64="weekly",29&lt;=$D64),AND($E64="biweekly",29&lt;=$D64,MOD(29-$C64,2)=0))),Flows!$C65,0))</f>
        <v/>
      </c>
      <c r="AI64" s="13">
        <f>IF(OR($A64="",Flows!$C65=""),0,IF(AND(30&lt;=Setup!$B$5,30&gt;=$C64,OR(AND($E64="once",30=$C64),AND($E64="weekly",30&lt;=$D64),AND($E64="biweekly",30&lt;=$D64,MOD(30-$C64,2)=0))),Flows!$C65,0))</f>
        <v/>
      </c>
      <c r="AJ64" s="13">
        <f>IF(OR($A64="",Flows!$C65=""),0,IF(AND(31&lt;=Setup!$B$5,31&gt;=$C64,OR(AND($E64="once",31=$C64),AND($E64="weekly",31&lt;=$D64),AND($E64="biweekly",31&lt;=$D64,MOD(31-$C64,2)=0))),Flows!$C65,0))</f>
        <v/>
      </c>
      <c r="AK64" s="13">
        <f>IF(OR($A64="",Flows!$C65=""),0,IF(AND(32&lt;=Setup!$B$5,32&gt;=$C64,OR(AND($E64="once",32=$C64),AND($E64="weekly",32&lt;=$D64),AND($E64="biweekly",32&lt;=$D64,MOD(32-$C64,2)=0))),Flows!$C65,0))</f>
        <v/>
      </c>
      <c r="AL64" s="13">
        <f>IF(OR($A64="",Flows!$C65=""),0,IF(AND(33&lt;=Setup!$B$5,33&gt;=$C64,OR(AND($E64="once",33=$C64),AND($E64="weekly",33&lt;=$D64),AND($E64="biweekly",33&lt;=$D64,MOD(33-$C64,2)=0))),Flows!$C65,0))</f>
        <v/>
      </c>
      <c r="AM64" s="13">
        <f>IF(OR($A64="",Flows!$C65=""),0,IF(AND(34&lt;=Setup!$B$5,34&gt;=$C64,OR(AND($E64="once",34=$C64),AND($E64="weekly",34&lt;=$D64),AND($E64="biweekly",34&lt;=$D64,MOD(34-$C64,2)=0))),Flows!$C65,0))</f>
        <v/>
      </c>
      <c r="AN64" s="13">
        <f>IF(OR($A64="",Flows!$C65=""),0,IF(AND(35&lt;=Setup!$B$5,35&gt;=$C64,OR(AND($E64="once",35=$C64),AND($E64="weekly",35&lt;=$D64),AND($E64="biweekly",35&lt;=$D64,MOD(35-$C64,2)=0))),Flows!$C65,0))</f>
        <v/>
      </c>
      <c r="AO64" s="13">
        <f>IF(OR($A64="",Flows!$C65=""),0,IF(AND(36&lt;=Setup!$B$5,36&gt;=$C64,OR(AND($E64="once",36=$C64),AND($E64="weekly",36&lt;=$D64),AND($E64="biweekly",36&lt;=$D64,MOD(36-$C64,2)=0))),Flows!$C65,0))</f>
        <v/>
      </c>
      <c r="AP64" s="13">
        <f>IF(OR($A64="",Flows!$C65=""),0,IF(AND(37&lt;=Setup!$B$5,37&gt;=$C64,OR(AND($E64="once",37=$C64),AND($E64="weekly",37&lt;=$D64),AND($E64="biweekly",37&lt;=$D64,MOD(37-$C64,2)=0))),Flows!$C65,0))</f>
        <v/>
      </c>
      <c r="AQ64" s="13">
        <f>IF(OR($A64="",Flows!$C65=""),0,IF(AND(38&lt;=Setup!$B$5,38&gt;=$C64,OR(AND($E64="once",38=$C64),AND($E64="weekly",38&lt;=$D64),AND($E64="biweekly",38&lt;=$D64,MOD(38-$C64,2)=0))),Flows!$C65,0))</f>
        <v/>
      </c>
      <c r="AR64" s="13">
        <f>IF(OR($A64="",Flows!$C65=""),0,IF(AND(39&lt;=Setup!$B$5,39&gt;=$C64,OR(AND($E64="once",39=$C64),AND($E64="weekly",39&lt;=$D64),AND($E64="biweekly",39&lt;=$D64,MOD(39-$C64,2)=0))),Flows!$C65,0))</f>
        <v/>
      </c>
      <c r="AS64" s="13">
        <f>IF(OR($A64="",Flows!$C65=""),0,IF(AND(40&lt;=Setup!$B$5,40&gt;=$C64,OR(AND($E64="once",40=$C64),AND($E64="weekly",40&lt;=$D64),AND($E64="biweekly",40&lt;=$D64,MOD(40-$C64,2)=0))),Flows!$C65,0))</f>
        <v/>
      </c>
      <c r="AT64" s="13">
        <f>IF(OR($A64="",Flows!$C65=""),0,IF(AND(41&lt;=Setup!$B$5,41&gt;=$C64,OR(AND($E64="once",41=$C64),AND($E64="weekly",41&lt;=$D64),AND($E64="biweekly",41&lt;=$D64,MOD(41-$C64,2)=0))),Flows!$C65,0))</f>
        <v/>
      </c>
      <c r="AU64" s="13">
        <f>IF(OR($A64="",Flows!$C65=""),0,IF(AND(42&lt;=Setup!$B$5,42&gt;=$C64,OR(AND($E64="once",42=$C64),AND($E64="weekly",42&lt;=$D64),AND($E64="biweekly",42&lt;=$D64,MOD(42-$C64,2)=0))),Flows!$C65,0))</f>
        <v/>
      </c>
      <c r="AV64" s="13">
        <f>IF(OR($A64="",Flows!$C65=""),0,IF(AND(43&lt;=Setup!$B$5,43&gt;=$C64,OR(AND($E64="once",43=$C64),AND($E64="weekly",43&lt;=$D64),AND($E64="biweekly",43&lt;=$D64,MOD(43-$C64,2)=0))),Flows!$C65,0))</f>
        <v/>
      </c>
      <c r="AW64" s="13">
        <f>IF(OR($A64="",Flows!$C65=""),0,IF(AND(44&lt;=Setup!$B$5,44&gt;=$C64,OR(AND($E64="once",44=$C64),AND($E64="weekly",44&lt;=$D64),AND($E64="biweekly",44&lt;=$D64,MOD(44-$C64,2)=0))),Flows!$C65,0))</f>
        <v/>
      </c>
      <c r="AX64" s="13">
        <f>IF(OR($A64="",Flows!$C65=""),0,IF(AND(45&lt;=Setup!$B$5,45&gt;=$C64,OR(AND($E64="once",45=$C64),AND($E64="weekly",45&lt;=$D64),AND($E64="biweekly",45&lt;=$D64,MOD(45-$C64,2)=0))),Flows!$C65,0))</f>
        <v/>
      </c>
      <c r="AY64" s="13">
        <f>IF(OR($A64="",Flows!$C65=""),0,IF(AND(46&lt;=Setup!$B$5,46&gt;=$C64,OR(AND($E64="once",46=$C64),AND($E64="weekly",46&lt;=$D64),AND($E64="biweekly",46&lt;=$D64,MOD(46-$C64,2)=0))),Flows!$C65,0))</f>
        <v/>
      </c>
      <c r="AZ64" s="13">
        <f>IF(OR($A64="",Flows!$C65=""),0,IF(AND(47&lt;=Setup!$B$5,47&gt;=$C64,OR(AND($E64="once",47=$C64),AND($E64="weekly",47&lt;=$D64),AND($E64="biweekly",47&lt;=$D64,MOD(47-$C64,2)=0))),Flows!$C65,0))</f>
        <v/>
      </c>
      <c r="BA64" s="13">
        <f>IF(OR($A64="",Flows!$C65=""),0,IF(AND(48&lt;=Setup!$B$5,48&gt;=$C64,OR(AND($E64="once",48=$C64),AND($E64="weekly",48&lt;=$D64),AND($E64="biweekly",48&lt;=$D64,MOD(48-$C64,2)=0))),Flows!$C65,0))</f>
        <v/>
      </c>
      <c r="BB64" s="13">
        <f>IF(OR($A64="",Flows!$C65=""),0,IF(AND(49&lt;=Setup!$B$5,49&gt;=$C64,OR(AND($E64="once",49=$C64),AND($E64="weekly",49&lt;=$D64),AND($E64="biweekly",49&lt;=$D64,MOD(49-$C64,2)=0))),Flows!$C65,0))</f>
        <v/>
      </c>
      <c r="BC64" s="13">
        <f>IF(OR($A64="",Flows!$C65=""),0,IF(AND(50&lt;=Setup!$B$5,50&gt;=$C64,OR(AND($E64="once",50=$C64),AND($E64="weekly",50&lt;=$D64),AND($E64="biweekly",50&lt;=$D64,MOD(50-$C64,2)=0))),Flows!$C65,0))</f>
        <v/>
      </c>
      <c r="BD64" s="13">
        <f>IF(OR($A64="",Flows!$C65=""),0,IF(AND(51&lt;=Setup!$B$5,51&gt;=$C64,OR(AND($E64="once",51=$C64),AND($E64="weekly",51&lt;=$D64),AND($E64="biweekly",51&lt;=$D64,MOD(51-$C64,2)=0))),Flows!$C65,0))</f>
        <v/>
      </c>
      <c r="BE64" s="13">
        <f>IF(OR($A64="",Flows!$C65=""),0,IF(AND(52&lt;=Setup!$B$5,52&gt;=$C64,OR(AND($E64="once",52=$C64),AND($E64="weekly",52&lt;=$D64),AND($E64="biweekly",52&lt;=$D64,MOD(52-$C64,2)=0))),Flows!$C65,0))</f>
        <v/>
      </c>
    </row>
    <row r="65">
      <c r="A65" s="7">
        <f>IF(Flows!A66="","",LOWER(Flows!A66))</f>
        <v/>
      </c>
      <c r="B65" s="7">
        <f>IF(Flows!B66="","",Flows!B66)</f>
        <v/>
      </c>
      <c r="C65" s="7">
        <f>N(Flows!D66)</f>
        <v/>
      </c>
      <c r="D65" s="7">
        <f>IF(Flows!F66="",Setup!$B$5,Flows!F66)</f>
        <v/>
      </c>
      <c r="E65" s="7">
        <f>IF(Flows!E66="","once",LOWER(Flows!E66))</f>
        <v/>
      </c>
      <c r="F65" s="13">
        <f>IF(OR($A65="",Flows!$C66=""),0,IF(AND(1&lt;=Setup!$B$5,1&gt;=$C65,OR(AND($E65="once",1=$C65),AND($E65="weekly",1&lt;=$D65),AND($E65="biweekly",1&lt;=$D65,MOD(1-$C65,2)=0))),Flows!$C66,0))</f>
        <v/>
      </c>
      <c r="G65" s="13">
        <f>IF(OR($A65="",Flows!$C66=""),0,IF(AND(2&lt;=Setup!$B$5,2&gt;=$C65,OR(AND($E65="once",2=$C65),AND($E65="weekly",2&lt;=$D65),AND($E65="biweekly",2&lt;=$D65,MOD(2-$C65,2)=0))),Flows!$C66,0))</f>
        <v/>
      </c>
      <c r="H65" s="13">
        <f>IF(OR($A65="",Flows!$C66=""),0,IF(AND(3&lt;=Setup!$B$5,3&gt;=$C65,OR(AND($E65="once",3=$C65),AND($E65="weekly",3&lt;=$D65),AND($E65="biweekly",3&lt;=$D65,MOD(3-$C65,2)=0))),Flows!$C66,0))</f>
        <v/>
      </c>
      <c r="I65" s="13">
        <f>IF(OR($A65="",Flows!$C66=""),0,IF(AND(4&lt;=Setup!$B$5,4&gt;=$C65,OR(AND($E65="once",4=$C65),AND($E65="weekly",4&lt;=$D65),AND($E65="biweekly",4&lt;=$D65,MOD(4-$C65,2)=0))),Flows!$C66,0))</f>
        <v/>
      </c>
      <c r="J65" s="13">
        <f>IF(OR($A65="",Flows!$C66=""),0,IF(AND(5&lt;=Setup!$B$5,5&gt;=$C65,OR(AND($E65="once",5=$C65),AND($E65="weekly",5&lt;=$D65),AND($E65="biweekly",5&lt;=$D65,MOD(5-$C65,2)=0))),Flows!$C66,0))</f>
        <v/>
      </c>
      <c r="K65" s="13">
        <f>IF(OR($A65="",Flows!$C66=""),0,IF(AND(6&lt;=Setup!$B$5,6&gt;=$C65,OR(AND($E65="once",6=$C65),AND($E65="weekly",6&lt;=$D65),AND($E65="biweekly",6&lt;=$D65,MOD(6-$C65,2)=0))),Flows!$C66,0))</f>
        <v/>
      </c>
      <c r="L65" s="13">
        <f>IF(OR($A65="",Flows!$C66=""),0,IF(AND(7&lt;=Setup!$B$5,7&gt;=$C65,OR(AND($E65="once",7=$C65),AND($E65="weekly",7&lt;=$D65),AND($E65="biweekly",7&lt;=$D65,MOD(7-$C65,2)=0))),Flows!$C66,0))</f>
        <v/>
      </c>
      <c r="M65" s="13">
        <f>IF(OR($A65="",Flows!$C66=""),0,IF(AND(8&lt;=Setup!$B$5,8&gt;=$C65,OR(AND($E65="once",8=$C65),AND($E65="weekly",8&lt;=$D65),AND($E65="biweekly",8&lt;=$D65,MOD(8-$C65,2)=0))),Flows!$C66,0))</f>
        <v/>
      </c>
      <c r="N65" s="13">
        <f>IF(OR($A65="",Flows!$C66=""),0,IF(AND(9&lt;=Setup!$B$5,9&gt;=$C65,OR(AND($E65="once",9=$C65),AND($E65="weekly",9&lt;=$D65),AND($E65="biweekly",9&lt;=$D65,MOD(9-$C65,2)=0))),Flows!$C66,0))</f>
        <v/>
      </c>
      <c r="O65" s="13">
        <f>IF(OR($A65="",Flows!$C66=""),0,IF(AND(10&lt;=Setup!$B$5,10&gt;=$C65,OR(AND($E65="once",10=$C65),AND($E65="weekly",10&lt;=$D65),AND($E65="biweekly",10&lt;=$D65,MOD(10-$C65,2)=0))),Flows!$C66,0))</f>
        <v/>
      </c>
      <c r="P65" s="13">
        <f>IF(OR($A65="",Flows!$C66=""),0,IF(AND(11&lt;=Setup!$B$5,11&gt;=$C65,OR(AND($E65="once",11=$C65),AND($E65="weekly",11&lt;=$D65),AND($E65="biweekly",11&lt;=$D65,MOD(11-$C65,2)=0))),Flows!$C66,0))</f>
        <v/>
      </c>
      <c r="Q65" s="13">
        <f>IF(OR($A65="",Flows!$C66=""),0,IF(AND(12&lt;=Setup!$B$5,12&gt;=$C65,OR(AND($E65="once",12=$C65),AND($E65="weekly",12&lt;=$D65),AND($E65="biweekly",12&lt;=$D65,MOD(12-$C65,2)=0))),Flows!$C66,0))</f>
        <v/>
      </c>
      <c r="R65" s="13">
        <f>IF(OR($A65="",Flows!$C66=""),0,IF(AND(13&lt;=Setup!$B$5,13&gt;=$C65,OR(AND($E65="once",13=$C65),AND($E65="weekly",13&lt;=$D65),AND($E65="biweekly",13&lt;=$D65,MOD(13-$C65,2)=0))),Flows!$C66,0))</f>
        <v/>
      </c>
      <c r="S65" s="13">
        <f>IF(OR($A65="",Flows!$C66=""),0,IF(AND(14&lt;=Setup!$B$5,14&gt;=$C65,OR(AND($E65="once",14=$C65),AND($E65="weekly",14&lt;=$D65),AND($E65="biweekly",14&lt;=$D65,MOD(14-$C65,2)=0))),Flows!$C66,0))</f>
        <v/>
      </c>
      <c r="T65" s="13">
        <f>IF(OR($A65="",Flows!$C66=""),0,IF(AND(15&lt;=Setup!$B$5,15&gt;=$C65,OR(AND($E65="once",15=$C65),AND($E65="weekly",15&lt;=$D65),AND($E65="biweekly",15&lt;=$D65,MOD(15-$C65,2)=0))),Flows!$C66,0))</f>
        <v/>
      </c>
      <c r="U65" s="13">
        <f>IF(OR($A65="",Flows!$C66=""),0,IF(AND(16&lt;=Setup!$B$5,16&gt;=$C65,OR(AND($E65="once",16=$C65),AND($E65="weekly",16&lt;=$D65),AND($E65="biweekly",16&lt;=$D65,MOD(16-$C65,2)=0))),Flows!$C66,0))</f>
        <v/>
      </c>
      <c r="V65" s="13">
        <f>IF(OR($A65="",Flows!$C66=""),0,IF(AND(17&lt;=Setup!$B$5,17&gt;=$C65,OR(AND($E65="once",17=$C65),AND($E65="weekly",17&lt;=$D65),AND($E65="biweekly",17&lt;=$D65,MOD(17-$C65,2)=0))),Flows!$C66,0))</f>
        <v/>
      </c>
      <c r="W65" s="13">
        <f>IF(OR($A65="",Flows!$C66=""),0,IF(AND(18&lt;=Setup!$B$5,18&gt;=$C65,OR(AND($E65="once",18=$C65),AND($E65="weekly",18&lt;=$D65),AND($E65="biweekly",18&lt;=$D65,MOD(18-$C65,2)=0))),Flows!$C66,0))</f>
        <v/>
      </c>
      <c r="X65" s="13">
        <f>IF(OR($A65="",Flows!$C66=""),0,IF(AND(19&lt;=Setup!$B$5,19&gt;=$C65,OR(AND($E65="once",19=$C65),AND($E65="weekly",19&lt;=$D65),AND($E65="biweekly",19&lt;=$D65,MOD(19-$C65,2)=0))),Flows!$C66,0))</f>
        <v/>
      </c>
      <c r="Y65" s="13">
        <f>IF(OR($A65="",Flows!$C66=""),0,IF(AND(20&lt;=Setup!$B$5,20&gt;=$C65,OR(AND($E65="once",20=$C65),AND($E65="weekly",20&lt;=$D65),AND($E65="biweekly",20&lt;=$D65,MOD(20-$C65,2)=0))),Flows!$C66,0))</f>
        <v/>
      </c>
      <c r="Z65" s="13">
        <f>IF(OR($A65="",Flows!$C66=""),0,IF(AND(21&lt;=Setup!$B$5,21&gt;=$C65,OR(AND($E65="once",21=$C65),AND($E65="weekly",21&lt;=$D65),AND($E65="biweekly",21&lt;=$D65,MOD(21-$C65,2)=0))),Flows!$C66,0))</f>
        <v/>
      </c>
      <c r="AA65" s="13">
        <f>IF(OR($A65="",Flows!$C66=""),0,IF(AND(22&lt;=Setup!$B$5,22&gt;=$C65,OR(AND($E65="once",22=$C65),AND($E65="weekly",22&lt;=$D65),AND($E65="biweekly",22&lt;=$D65,MOD(22-$C65,2)=0))),Flows!$C66,0))</f>
        <v/>
      </c>
      <c r="AB65" s="13">
        <f>IF(OR($A65="",Flows!$C66=""),0,IF(AND(23&lt;=Setup!$B$5,23&gt;=$C65,OR(AND($E65="once",23=$C65),AND($E65="weekly",23&lt;=$D65),AND($E65="biweekly",23&lt;=$D65,MOD(23-$C65,2)=0))),Flows!$C66,0))</f>
        <v/>
      </c>
      <c r="AC65" s="13">
        <f>IF(OR($A65="",Flows!$C66=""),0,IF(AND(24&lt;=Setup!$B$5,24&gt;=$C65,OR(AND($E65="once",24=$C65),AND($E65="weekly",24&lt;=$D65),AND($E65="biweekly",24&lt;=$D65,MOD(24-$C65,2)=0))),Flows!$C66,0))</f>
        <v/>
      </c>
      <c r="AD65" s="13">
        <f>IF(OR($A65="",Flows!$C66=""),0,IF(AND(25&lt;=Setup!$B$5,25&gt;=$C65,OR(AND($E65="once",25=$C65),AND($E65="weekly",25&lt;=$D65),AND($E65="biweekly",25&lt;=$D65,MOD(25-$C65,2)=0))),Flows!$C66,0))</f>
        <v/>
      </c>
      <c r="AE65" s="13">
        <f>IF(OR($A65="",Flows!$C66=""),0,IF(AND(26&lt;=Setup!$B$5,26&gt;=$C65,OR(AND($E65="once",26=$C65),AND($E65="weekly",26&lt;=$D65),AND($E65="biweekly",26&lt;=$D65,MOD(26-$C65,2)=0))),Flows!$C66,0))</f>
        <v/>
      </c>
      <c r="AF65" s="13">
        <f>IF(OR($A65="",Flows!$C66=""),0,IF(AND(27&lt;=Setup!$B$5,27&gt;=$C65,OR(AND($E65="once",27=$C65),AND($E65="weekly",27&lt;=$D65),AND($E65="biweekly",27&lt;=$D65,MOD(27-$C65,2)=0))),Flows!$C66,0))</f>
        <v/>
      </c>
      <c r="AG65" s="13">
        <f>IF(OR($A65="",Flows!$C66=""),0,IF(AND(28&lt;=Setup!$B$5,28&gt;=$C65,OR(AND($E65="once",28=$C65),AND($E65="weekly",28&lt;=$D65),AND($E65="biweekly",28&lt;=$D65,MOD(28-$C65,2)=0))),Flows!$C66,0))</f>
        <v/>
      </c>
      <c r="AH65" s="13">
        <f>IF(OR($A65="",Flows!$C66=""),0,IF(AND(29&lt;=Setup!$B$5,29&gt;=$C65,OR(AND($E65="once",29=$C65),AND($E65="weekly",29&lt;=$D65),AND($E65="biweekly",29&lt;=$D65,MOD(29-$C65,2)=0))),Flows!$C66,0))</f>
        <v/>
      </c>
      <c r="AI65" s="13">
        <f>IF(OR($A65="",Flows!$C66=""),0,IF(AND(30&lt;=Setup!$B$5,30&gt;=$C65,OR(AND($E65="once",30=$C65),AND($E65="weekly",30&lt;=$D65),AND($E65="biweekly",30&lt;=$D65,MOD(30-$C65,2)=0))),Flows!$C66,0))</f>
        <v/>
      </c>
      <c r="AJ65" s="13">
        <f>IF(OR($A65="",Flows!$C66=""),0,IF(AND(31&lt;=Setup!$B$5,31&gt;=$C65,OR(AND($E65="once",31=$C65),AND($E65="weekly",31&lt;=$D65),AND($E65="biweekly",31&lt;=$D65,MOD(31-$C65,2)=0))),Flows!$C66,0))</f>
        <v/>
      </c>
      <c r="AK65" s="13">
        <f>IF(OR($A65="",Flows!$C66=""),0,IF(AND(32&lt;=Setup!$B$5,32&gt;=$C65,OR(AND($E65="once",32=$C65),AND($E65="weekly",32&lt;=$D65),AND($E65="biweekly",32&lt;=$D65,MOD(32-$C65,2)=0))),Flows!$C66,0))</f>
        <v/>
      </c>
      <c r="AL65" s="13">
        <f>IF(OR($A65="",Flows!$C66=""),0,IF(AND(33&lt;=Setup!$B$5,33&gt;=$C65,OR(AND($E65="once",33=$C65),AND($E65="weekly",33&lt;=$D65),AND($E65="biweekly",33&lt;=$D65,MOD(33-$C65,2)=0))),Flows!$C66,0))</f>
        <v/>
      </c>
      <c r="AM65" s="13">
        <f>IF(OR($A65="",Flows!$C66=""),0,IF(AND(34&lt;=Setup!$B$5,34&gt;=$C65,OR(AND($E65="once",34=$C65),AND($E65="weekly",34&lt;=$D65),AND($E65="biweekly",34&lt;=$D65,MOD(34-$C65,2)=0))),Flows!$C66,0))</f>
        <v/>
      </c>
      <c r="AN65" s="13">
        <f>IF(OR($A65="",Flows!$C66=""),0,IF(AND(35&lt;=Setup!$B$5,35&gt;=$C65,OR(AND($E65="once",35=$C65),AND($E65="weekly",35&lt;=$D65),AND($E65="biweekly",35&lt;=$D65,MOD(35-$C65,2)=0))),Flows!$C66,0))</f>
        <v/>
      </c>
      <c r="AO65" s="13">
        <f>IF(OR($A65="",Flows!$C66=""),0,IF(AND(36&lt;=Setup!$B$5,36&gt;=$C65,OR(AND($E65="once",36=$C65),AND($E65="weekly",36&lt;=$D65),AND($E65="biweekly",36&lt;=$D65,MOD(36-$C65,2)=0))),Flows!$C66,0))</f>
        <v/>
      </c>
      <c r="AP65" s="13">
        <f>IF(OR($A65="",Flows!$C66=""),0,IF(AND(37&lt;=Setup!$B$5,37&gt;=$C65,OR(AND($E65="once",37=$C65),AND($E65="weekly",37&lt;=$D65),AND($E65="biweekly",37&lt;=$D65,MOD(37-$C65,2)=0))),Flows!$C66,0))</f>
        <v/>
      </c>
      <c r="AQ65" s="13">
        <f>IF(OR($A65="",Flows!$C66=""),0,IF(AND(38&lt;=Setup!$B$5,38&gt;=$C65,OR(AND($E65="once",38=$C65),AND($E65="weekly",38&lt;=$D65),AND($E65="biweekly",38&lt;=$D65,MOD(38-$C65,2)=0))),Flows!$C66,0))</f>
        <v/>
      </c>
      <c r="AR65" s="13">
        <f>IF(OR($A65="",Flows!$C66=""),0,IF(AND(39&lt;=Setup!$B$5,39&gt;=$C65,OR(AND($E65="once",39=$C65),AND($E65="weekly",39&lt;=$D65),AND($E65="biweekly",39&lt;=$D65,MOD(39-$C65,2)=0))),Flows!$C66,0))</f>
        <v/>
      </c>
      <c r="AS65" s="13">
        <f>IF(OR($A65="",Flows!$C66=""),0,IF(AND(40&lt;=Setup!$B$5,40&gt;=$C65,OR(AND($E65="once",40=$C65),AND($E65="weekly",40&lt;=$D65),AND($E65="biweekly",40&lt;=$D65,MOD(40-$C65,2)=0))),Flows!$C66,0))</f>
        <v/>
      </c>
      <c r="AT65" s="13">
        <f>IF(OR($A65="",Flows!$C66=""),0,IF(AND(41&lt;=Setup!$B$5,41&gt;=$C65,OR(AND($E65="once",41=$C65),AND($E65="weekly",41&lt;=$D65),AND($E65="biweekly",41&lt;=$D65,MOD(41-$C65,2)=0))),Flows!$C66,0))</f>
        <v/>
      </c>
      <c r="AU65" s="13">
        <f>IF(OR($A65="",Flows!$C66=""),0,IF(AND(42&lt;=Setup!$B$5,42&gt;=$C65,OR(AND($E65="once",42=$C65),AND($E65="weekly",42&lt;=$D65),AND($E65="biweekly",42&lt;=$D65,MOD(42-$C65,2)=0))),Flows!$C66,0))</f>
        <v/>
      </c>
      <c r="AV65" s="13">
        <f>IF(OR($A65="",Flows!$C66=""),0,IF(AND(43&lt;=Setup!$B$5,43&gt;=$C65,OR(AND($E65="once",43=$C65),AND($E65="weekly",43&lt;=$D65),AND($E65="biweekly",43&lt;=$D65,MOD(43-$C65,2)=0))),Flows!$C66,0))</f>
        <v/>
      </c>
      <c r="AW65" s="13">
        <f>IF(OR($A65="",Flows!$C66=""),0,IF(AND(44&lt;=Setup!$B$5,44&gt;=$C65,OR(AND($E65="once",44=$C65),AND($E65="weekly",44&lt;=$D65),AND($E65="biweekly",44&lt;=$D65,MOD(44-$C65,2)=0))),Flows!$C66,0))</f>
        <v/>
      </c>
      <c r="AX65" s="13">
        <f>IF(OR($A65="",Flows!$C66=""),0,IF(AND(45&lt;=Setup!$B$5,45&gt;=$C65,OR(AND($E65="once",45=$C65),AND($E65="weekly",45&lt;=$D65),AND($E65="biweekly",45&lt;=$D65,MOD(45-$C65,2)=0))),Flows!$C66,0))</f>
        <v/>
      </c>
      <c r="AY65" s="13">
        <f>IF(OR($A65="",Flows!$C66=""),0,IF(AND(46&lt;=Setup!$B$5,46&gt;=$C65,OR(AND($E65="once",46=$C65),AND($E65="weekly",46&lt;=$D65),AND($E65="biweekly",46&lt;=$D65,MOD(46-$C65,2)=0))),Flows!$C66,0))</f>
        <v/>
      </c>
      <c r="AZ65" s="13">
        <f>IF(OR($A65="",Flows!$C66=""),0,IF(AND(47&lt;=Setup!$B$5,47&gt;=$C65,OR(AND($E65="once",47=$C65),AND($E65="weekly",47&lt;=$D65),AND($E65="biweekly",47&lt;=$D65,MOD(47-$C65,2)=0))),Flows!$C66,0))</f>
        <v/>
      </c>
      <c r="BA65" s="13">
        <f>IF(OR($A65="",Flows!$C66=""),0,IF(AND(48&lt;=Setup!$B$5,48&gt;=$C65,OR(AND($E65="once",48=$C65),AND($E65="weekly",48&lt;=$D65),AND($E65="biweekly",48&lt;=$D65,MOD(48-$C65,2)=0))),Flows!$C66,0))</f>
        <v/>
      </c>
      <c r="BB65" s="13">
        <f>IF(OR($A65="",Flows!$C66=""),0,IF(AND(49&lt;=Setup!$B$5,49&gt;=$C65,OR(AND($E65="once",49=$C65),AND($E65="weekly",49&lt;=$D65),AND($E65="biweekly",49&lt;=$D65,MOD(49-$C65,2)=0))),Flows!$C66,0))</f>
        <v/>
      </c>
      <c r="BC65" s="13">
        <f>IF(OR($A65="",Flows!$C66=""),0,IF(AND(50&lt;=Setup!$B$5,50&gt;=$C65,OR(AND($E65="once",50=$C65),AND($E65="weekly",50&lt;=$D65),AND($E65="biweekly",50&lt;=$D65,MOD(50-$C65,2)=0))),Flows!$C66,0))</f>
        <v/>
      </c>
      <c r="BD65" s="13">
        <f>IF(OR($A65="",Flows!$C66=""),0,IF(AND(51&lt;=Setup!$B$5,51&gt;=$C65,OR(AND($E65="once",51=$C65),AND($E65="weekly",51&lt;=$D65),AND($E65="biweekly",51&lt;=$D65,MOD(51-$C65,2)=0))),Flows!$C66,0))</f>
        <v/>
      </c>
      <c r="BE65" s="13">
        <f>IF(OR($A65="",Flows!$C66=""),0,IF(AND(52&lt;=Setup!$B$5,52&gt;=$C65,OR(AND($E65="once",52=$C65),AND($E65="weekly",52&lt;=$D65),AND($E65="biweekly",52&lt;=$D65,MOD(52-$C65,2)=0))),Flows!$C66,0))</f>
        <v/>
      </c>
    </row>
    <row r="66">
      <c r="A66" s="7">
        <f>IF(Flows!A67="","",LOWER(Flows!A67))</f>
        <v/>
      </c>
      <c r="B66" s="7">
        <f>IF(Flows!B67="","",Flows!B67)</f>
        <v/>
      </c>
      <c r="C66" s="7">
        <f>N(Flows!D67)</f>
        <v/>
      </c>
      <c r="D66" s="7">
        <f>IF(Flows!F67="",Setup!$B$5,Flows!F67)</f>
        <v/>
      </c>
      <c r="E66" s="7">
        <f>IF(Flows!E67="","once",LOWER(Flows!E67))</f>
        <v/>
      </c>
      <c r="F66" s="13">
        <f>IF(OR($A66="",Flows!$C67=""),0,IF(AND(1&lt;=Setup!$B$5,1&gt;=$C66,OR(AND($E66="once",1=$C66),AND($E66="weekly",1&lt;=$D66),AND($E66="biweekly",1&lt;=$D66,MOD(1-$C66,2)=0))),Flows!$C67,0))</f>
        <v/>
      </c>
      <c r="G66" s="13">
        <f>IF(OR($A66="",Flows!$C67=""),0,IF(AND(2&lt;=Setup!$B$5,2&gt;=$C66,OR(AND($E66="once",2=$C66),AND($E66="weekly",2&lt;=$D66),AND($E66="biweekly",2&lt;=$D66,MOD(2-$C66,2)=0))),Flows!$C67,0))</f>
        <v/>
      </c>
      <c r="H66" s="13">
        <f>IF(OR($A66="",Flows!$C67=""),0,IF(AND(3&lt;=Setup!$B$5,3&gt;=$C66,OR(AND($E66="once",3=$C66),AND($E66="weekly",3&lt;=$D66),AND($E66="biweekly",3&lt;=$D66,MOD(3-$C66,2)=0))),Flows!$C67,0))</f>
        <v/>
      </c>
      <c r="I66" s="13">
        <f>IF(OR($A66="",Flows!$C67=""),0,IF(AND(4&lt;=Setup!$B$5,4&gt;=$C66,OR(AND($E66="once",4=$C66),AND($E66="weekly",4&lt;=$D66),AND($E66="biweekly",4&lt;=$D66,MOD(4-$C66,2)=0))),Flows!$C67,0))</f>
        <v/>
      </c>
      <c r="J66" s="13">
        <f>IF(OR($A66="",Flows!$C67=""),0,IF(AND(5&lt;=Setup!$B$5,5&gt;=$C66,OR(AND($E66="once",5=$C66),AND($E66="weekly",5&lt;=$D66),AND($E66="biweekly",5&lt;=$D66,MOD(5-$C66,2)=0))),Flows!$C67,0))</f>
        <v/>
      </c>
      <c r="K66" s="13">
        <f>IF(OR($A66="",Flows!$C67=""),0,IF(AND(6&lt;=Setup!$B$5,6&gt;=$C66,OR(AND($E66="once",6=$C66),AND($E66="weekly",6&lt;=$D66),AND($E66="biweekly",6&lt;=$D66,MOD(6-$C66,2)=0))),Flows!$C67,0))</f>
        <v/>
      </c>
      <c r="L66" s="13">
        <f>IF(OR($A66="",Flows!$C67=""),0,IF(AND(7&lt;=Setup!$B$5,7&gt;=$C66,OR(AND($E66="once",7=$C66),AND($E66="weekly",7&lt;=$D66),AND($E66="biweekly",7&lt;=$D66,MOD(7-$C66,2)=0))),Flows!$C67,0))</f>
        <v/>
      </c>
      <c r="M66" s="13">
        <f>IF(OR($A66="",Flows!$C67=""),0,IF(AND(8&lt;=Setup!$B$5,8&gt;=$C66,OR(AND($E66="once",8=$C66),AND($E66="weekly",8&lt;=$D66),AND($E66="biweekly",8&lt;=$D66,MOD(8-$C66,2)=0))),Flows!$C67,0))</f>
        <v/>
      </c>
      <c r="N66" s="13">
        <f>IF(OR($A66="",Flows!$C67=""),0,IF(AND(9&lt;=Setup!$B$5,9&gt;=$C66,OR(AND($E66="once",9=$C66),AND($E66="weekly",9&lt;=$D66),AND($E66="biweekly",9&lt;=$D66,MOD(9-$C66,2)=0))),Flows!$C67,0))</f>
        <v/>
      </c>
      <c r="O66" s="13">
        <f>IF(OR($A66="",Flows!$C67=""),0,IF(AND(10&lt;=Setup!$B$5,10&gt;=$C66,OR(AND($E66="once",10=$C66),AND($E66="weekly",10&lt;=$D66),AND($E66="biweekly",10&lt;=$D66,MOD(10-$C66,2)=0))),Flows!$C67,0))</f>
        <v/>
      </c>
      <c r="P66" s="13">
        <f>IF(OR($A66="",Flows!$C67=""),0,IF(AND(11&lt;=Setup!$B$5,11&gt;=$C66,OR(AND($E66="once",11=$C66),AND($E66="weekly",11&lt;=$D66),AND($E66="biweekly",11&lt;=$D66,MOD(11-$C66,2)=0))),Flows!$C67,0))</f>
        <v/>
      </c>
      <c r="Q66" s="13">
        <f>IF(OR($A66="",Flows!$C67=""),0,IF(AND(12&lt;=Setup!$B$5,12&gt;=$C66,OR(AND($E66="once",12=$C66),AND($E66="weekly",12&lt;=$D66),AND($E66="biweekly",12&lt;=$D66,MOD(12-$C66,2)=0))),Flows!$C67,0))</f>
        <v/>
      </c>
      <c r="R66" s="13">
        <f>IF(OR($A66="",Flows!$C67=""),0,IF(AND(13&lt;=Setup!$B$5,13&gt;=$C66,OR(AND($E66="once",13=$C66),AND($E66="weekly",13&lt;=$D66),AND($E66="biweekly",13&lt;=$D66,MOD(13-$C66,2)=0))),Flows!$C67,0))</f>
        <v/>
      </c>
      <c r="S66" s="13">
        <f>IF(OR($A66="",Flows!$C67=""),0,IF(AND(14&lt;=Setup!$B$5,14&gt;=$C66,OR(AND($E66="once",14=$C66),AND($E66="weekly",14&lt;=$D66),AND($E66="biweekly",14&lt;=$D66,MOD(14-$C66,2)=0))),Flows!$C67,0))</f>
        <v/>
      </c>
      <c r="T66" s="13">
        <f>IF(OR($A66="",Flows!$C67=""),0,IF(AND(15&lt;=Setup!$B$5,15&gt;=$C66,OR(AND($E66="once",15=$C66),AND($E66="weekly",15&lt;=$D66),AND($E66="biweekly",15&lt;=$D66,MOD(15-$C66,2)=0))),Flows!$C67,0))</f>
        <v/>
      </c>
      <c r="U66" s="13">
        <f>IF(OR($A66="",Flows!$C67=""),0,IF(AND(16&lt;=Setup!$B$5,16&gt;=$C66,OR(AND($E66="once",16=$C66),AND($E66="weekly",16&lt;=$D66),AND($E66="biweekly",16&lt;=$D66,MOD(16-$C66,2)=0))),Flows!$C67,0))</f>
        <v/>
      </c>
      <c r="V66" s="13">
        <f>IF(OR($A66="",Flows!$C67=""),0,IF(AND(17&lt;=Setup!$B$5,17&gt;=$C66,OR(AND($E66="once",17=$C66),AND($E66="weekly",17&lt;=$D66),AND($E66="biweekly",17&lt;=$D66,MOD(17-$C66,2)=0))),Flows!$C67,0))</f>
        <v/>
      </c>
      <c r="W66" s="13">
        <f>IF(OR($A66="",Flows!$C67=""),0,IF(AND(18&lt;=Setup!$B$5,18&gt;=$C66,OR(AND($E66="once",18=$C66),AND($E66="weekly",18&lt;=$D66),AND($E66="biweekly",18&lt;=$D66,MOD(18-$C66,2)=0))),Flows!$C67,0))</f>
        <v/>
      </c>
      <c r="X66" s="13">
        <f>IF(OR($A66="",Flows!$C67=""),0,IF(AND(19&lt;=Setup!$B$5,19&gt;=$C66,OR(AND($E66="once",19=$C66),AND($E66="weekly",19&lt;=$D66),AND($E66="biweekly",19&lt;=$D66,MOD(19-$C66,2)=0))),Flows!$C67,0))</f>
        <v/>
      </c>
      <c r="Y66" s="13">
        <f>IF(OR($A66="",Flows!$C67=""),0,IF(AND(20&lt;=Setup!$B$5,20&gt;=$C66,OR(AND($E66="once",20=$C66),AND($E66="weekly",20&lt;=$D66),AND($E66="biweekly",20&lt;=$D66,MOD(20-$C66,2)=0))),Flows!$C67,0))</f>
        <v/>
      </c>
      <c r="Z66" s="13">
        <f>IF(OR($A66="",Flows!$C67=""),0,IF(AND(21&lt;=Setup!$B$5,21&gt;=$C66,OR(AND($E66="once",21=$C66),AND($E66="weekly",21&lt;=$D66),AND($E66="biweekly",21&lt;=$D66,MOD(21-$C66,2)=0))),Flows!$C67,0))</f>
        <v/>
      </c>
      <c r="AA66" s="13">
        <f>IF(OR($A66="",Flows!$C67=""),0,IF(AND(22&lt;=Setup!$B$5,22&gt;=$C66,OR(AND($E66="once",22=$C66),AND($E66="weekly",22&lt;=$D66),AND($E66="biweekly",22&lt;=$D66,MOD(22-$C66,2)=0))),Flows!$C67,0))</f>
        <v/>
      </c>
      <c r="AB66" s="13">
        <f>IF(OR($A66="",Flows!$C67=""),0,IF(AND(23&lt;=Setup!$B$5,23&gt;=$C66,OR(AND($E66="once",23=$C66),AND($E66="weekly",23&lt;=$D66),AND($E66="biweekly",23&lt;=$D66,MOD(23-$C66,2)=0))),Flows!$C67,0))</f>
        <v/>
      </c>
      <c r="AC66" s="13">
        <f>IF(OR($A66="",Flows!$C67=""),0,IF(AND(24&lt;=Setup!$B$5,24&gt;=$C66,OR(AND($E66="once",24=$C66),AND($E66="weekly",24&lt;=$D66),AND($E66="biweekly",24&lt;=$D66,MOD(24-$C66,2)=0))),Flows!$C67,0))</f>
        <v/>
      </c>
      <c r="AD66" s="13">
        <f>IF(OR($A66="",Flows!$C67=""),0,IF(AND(25&lt;=Setup!$B$5,25&gt;=$C66,OR(AND($E66="once",25=$C66),AND($E66="weekly",25&lt;=$D66),AND($E66="biweekly",25&lt;=$D66,MOD(25-$C66,2)=0))),Flows!$C67,0))</f>
        <v/>
      </c>
      <c r="AE66" s="13">
        <f>IF(OR($A66="",Flows!$C67=""),0,IF(AND(26&lt;=Setup!$B$5,26&gt;=$C66,OR(AND($E66="once",26=$C66),AND($E66="weekly",26&lt;=$D66),AND($E66="biweekly",26&lt;=$D66,MOD(26-$C66,2)=0))),Flows!$C67,0))</f>
        <v/>
      </c>
      <c r="AF66" s="13">
        <f>IF(OR($A66="",Flows!$C67=""),0,IF(AND(27&lt;=Setup!$B$5,27&gt;=$C66,OR(AND($E66="once",27=$C66),AND($E66="weekly",27&lt;=$D66),AND($E66="biweekly",27&lt;=$D66,MOD(27-$C66,2)=0))),Flows!$C67,0))</f>
        <v/>
      </c>
      <c r="AG66" s="13">
        <f>IF(OR($A66="",Flows!$C67=""),0,IF(AND(28&lt;=Setup!$B$5,28&gt;=$C66,OR(AND($E66="once",28=$C66),AND($E66="weekly",28&lt;=$D66),AND($E66="biweekly",28&lt;=$D66,MOD(28-$C66,2)=0))),Flows!$C67,0))</f>
        <v/>
      </c>
      <c r="AH66" s="13">
        <f>IF(OR($A66="",Flows!$C67=""),0,IF(AND(29&lt;=Setup!$B$5,29&gt;=$C66,OR(AND($E66="once",29=$C66),AND($E66="weekly",29&lt;=$D66),AND($E66="biweekly",29&lt;=$D66,MOD(29-$C66,2)=0))),Flows!$C67,0))</f>
        <v/>
      </c>
      <c r="AI66" s="13">
        <f>IF(OR($A66="",Flows!$C67=""),0,IF(AND(30&lt;=Setup!$B$5,30&gt;=$C66,OR(AND($E66="once",30=$C66),AND($E66="weekly",30&lt;=$D66),AND($E66="biweekly",30&lt;=$D66,MOD(30-$C66,2)=0))),Flows!$C67,0))</f>
        <v/>
      </c>
      <c r="AJ66" s="13">
        <f>IF(OR($A66="",Flows!$C67=""),0,IF(AND(31&lt;=Setup!$B$5,31&gt;=$C66,OR(AND($E66="once",31=$C66),AND($E66="weekly",31&lt;=$D66),AND($E66="biweekly",31&lt;=$D66,MOD(31-$C66,2)=0))),Flows!$C67,0))</f>
        <v/>
      </c>
      <c r="AK66" s="13">
        <f>IF(OR($A66="",Flows!$C67=""),0,IF(AND(32&lt;=Setup!$B$5,32&gt;=$C66,OR(AND($E66="once",32=$C66),AND($E66="weekly",32&lt;=$D66),AND($E66="biweekly",32&lt;=$D66,MOD(32-$C66,2)=0))),Flows!$C67,0))</f>
        <v/>
      </c>
      <c r="AL66" s="13">
        <f>IF(OR($A66="",Flows!$C67=""),0,IF(AND(33&lt;=Setup!$B$5,33&gt;=$C66,OR(AND($E66="once",33=$C66),AND($E66="weekly",33&lt;=$D66),AND($E66="biweekly",33&lt;=$D66,MOD(33-$C66,2)=0))),Flows!$C67,0))</f>
        <v/>
      </c>
      <c r="AM66" s="13">
        <f>IF(OR($A66="",Flows!$C67=""),0,IF(AND(34&lt;=Setup!$B$5,34&gt;=$C66,OR(AND($E66="once",34=$C66),AND($E66="weekly",34&lt;=$D66),AND($E66="biweekly",34&lt;=$D66,MOD(34-$C66,2)=0))),Flows!$C67,0))</f>
        <v/>
      </c>
      <c r="AN66" s="13">
        <f>IF(OR($A66="",Flows!$C67=""),0,IF(AND(35&lt;=Setup!$B$5,35&gt;=$C66,OR(AND($E66="once",35=$C66),AND($E66="weekly",35&lt;=$D66),AND($E66="biweekly",35&lt;=$D66,MOD(35-$C66,2)=0))),Flows!$C67,0))</f>
        <v/>
      </c>
      <c r="AO66" s="13">
        <f>IF(OR($A66="",Flows!$C67=""),0,IF(AND(36&lt;=Setup!$B$5,36&gt;=$C66,OR(AND($E66="once",36=$C66),AND($E66="weekly",36&lt;=$D66),AND($E66="biweekly",36&lt;=$D66,MOD(36-$C66,2)=0))),Flows!$C67,0))</f>
        <v/>
      </c>
      <c r="AP66" s="13">
        <f>IF(OR($A66="",Flows!$C67=""),0,IF(AND(37&lt;=Setup!$B$5,37&gt;=$C66,OR(AND($E66="once",37=$C66),AND($E66="weekly",37&lt;=$D66),AND($E66="biweekly",37&lt;=$D66,MOD(37-$C66,2)=0))),Flows!$C67,0))</f>
        <v/>
      </c>
      <c r="AQ66" s="13">
        <f>IF(OR($A66="",Flows!$C67=""),0,IF(AND(38&lt;=Setup!$B$5,38&gt;=$C66,OR(AND($E66="once",38=$C66),AND($E66="weekly",38&lt;=$D66),AND($E66="biweekly",38&lt;=$D66,MOD(38-$C66,2)=0))),Flows!$C67,0))</f>
        <v/>
      </c>
      <c r="AR66" s="13">
        <f>IF(OR($A66="",Flows!$C67=""),0,IF(AND(39&lt;=Setup!$B$5,39&gt;=$C66,OR(AND($E66="once",39=$C66),AND($E66="weekly",39&lt;=$D66),AND($E66="biweekly",39&lt;=$D66,MOD(39-$C66,2)=0))),Flows!$C67,0))</f>
        <v/>
      </c>
      <c r="AS66" s="13">
        <f>IF(OR($A66="",Flows!$C67=""),0,IF(AND(40&lt;=Setup!$B$5,40&gt;=$C66,OR(AND($E66="once",40=$C66),AND($E66="weekly",40&lt;=$D66),AND($E66="biweekly",40&lt;=$D66,MOD(40-$C66,2)=0))),Flows!$C67,0))</f>
        <v/>
      </c>
      <c r="AT66" s="13">
        <f>IF(OR($A66="",Flows!$C67=""),0,IF(AND(41&lt;=Setup!$B$5,41&gt;=$C66,OR(AND($E66="once",41=$C66),AND($E66="weekly",41&lt;=$D66),AND($E66="biweekly",41&lt;=$D66,MOD(41-$C66,2)=0))),Flows!$C67,0))</f>
        <v/>
      </c>
      <c r="AU66" s="13">
        <f>IF(OR($A66="",Flows!$C67=""),0,IF(AND(42&lt;=Setup!$B$5,42&gt;=$C66,OR(AND($E66="once",42=$C66),AND($E66="weekly",42&lt;=$D66),AND($E66="biweekly",42&lt;=$D66,MOD(42-$C66,2)=0))),Flows!$C67,0))</f>
        <v/>
      </c>
      <c r="AV66" s="13">
        <f>IF(OR($A66="",Flows!$C67=""),0,IF(AND(43&lt;=Setup!$B$5,43&gt;=$C66,OR(AND($E66="once",43=$C66),AND($E66="weekly",43&lt;=$D66),AND($E66="biweekly",43&lt;=$D66,MOD(43-$C66,2)=0))),Flows!$C67,0))</f>
        <v/>
      </c>
      <c r="AW66" s="13">
        <f>IF(OR($A66="",Flows!$C67=""),0,IF(AND(44&lt;=Setup!$B$5,44&gt;=$C66,OR(AND($E66="once",44=$C66),AND($E66="weekly",44&lt;=$D66),AND($E66="biweekly",44&lt;=$D66,MOD(44-$C66,2)=0))),Flows!$C67,0))</f>
        <v/>
      </c>
      <c r="AX66" s="13">
        <f>IF(OR($A66="",Flows!$C67=""),0,IF(AND(45&lt;=Setup!$B$5,45&gt;=$C66,OR(AND($E66="once",45=$C66),AND($E66="weekly",45&lt;=$D66),AND($E66="biweekly",45&lt;=$D66,MOD(45-$C66,2)=0))),Flows!$C67,0))</f>
        <v/>
      </c>
      <c r="AY66" s="13">
        <f>IF(OR($A66="",Flows!$C67=""),0,IF(AND(46&lt;=Setup!$B$5,46&gt;=$C66,OR(AND($E66="once",46=$C66),AND($E66="weekly",46&lt;=$D66),AND($E66="biweekly",46&lt;=$D66,MOD(46-$C66,2)=0))),Flows!$C67,0))</f>
        <v/>
      </c>
      <c r="AZ66" s="13">
        <f>IF(OR($A66="",Flows!$C67=""),0,IF(AND(47&lt;=Setup!$B$5,47&gt;=$C66,OR(AND($E66="once",47=$C66),AND($E66="weekly",47&lt;=$D66),AND($E66="biweekly",47&lt;=$D66,MOD(47-$C66,2)=0))),Flows!$C67,0))</f>
        <v/>
      </c>
      <c r="BA66" s="13">
        <f>IF(OR($A66="",Flows!$C67=""),0,IF(AND(48&lt;=Setup!$B$5,48&gt;=$C66,OR(AND($E66="once",48=$C66),AND($E66="weekly",48&lt;=$D66),AND($E66="biweekly",48&lt;=$D66,MOD(48-$C66,2)=0))),Flows!$C67,0))</f>
        <v/>
      </c>
      <c r="BB66" s="13">
        <f>IF(OR($A66="",Flows!$C67=""),0,IF(AND(49&lt;=Setup!$B$5,49&gt;=$C66,OR(AND($E66="once",49=$C66),AND($E66="weekly",49&lt;=$D66),AND($E66="biweekly",49&lt;=$D66,MOD(49-$C66,2)=0))),Flows!$C67,0))</f>
        <v/>
      </c>
      <c r="BC66" s="13">
        <f>IF(OR($A66="",Flows!$C67=""),0,IF(AND(50&lt;=Setup!$B$5,50&gt;=$C66,OR(AND($E66="once",50=$C66),AND($E66="weekly",50&lt;=$D66),AND($E66="biweekly",50&lt;=$D66,MOD(50-$C66,2)=0))),Flows!$C67,0))</f>
        <v/>
      </c>
      <c r="BD66" s="13">
        <f>IF(OR($A66="",Flows!$C67=""),0,IF(AND(51&lt;=Setup!$B$5,51&gt;=$C66,OR(AND($E66="once",51=$C66),AND($E66="weekly",51&lt;=$D66),AND($E66="biweekly",51&lt;=$D66,MOD(51-$C66,2)=0))),Flows!$C67,0))</f>
        <v/>
      </c>
      <c r="BE66" s="13">
        <f>IF(OR($A66="",Flows!$C67=""),0,IF(AND(52&lt;=Setup!$B$5,52&gt;=$C66,OR(AND($E66="once",52=$C66),AND($E66="weekly",52&lt;=$D66),AND($E66="biweekly",52&lt;=$D66,MOD(52-$C66,2)=0))),Flows!$C67,0))</f>
        <v/>
      </c>
    </row>
    <row r="67">
      <c r="A67" s="7">
        <f>IF(Flows!A68="","",LOWER(Flows!A68))</f>
        <v/>
      </c>
      <c r="B67" s="7">
        <f>IF(Flows!B68="","",Flows!B68)</f>
        <v/>
      </c>
      <c r="C67" s="7">
        <f>N(Flows!D68)</f>
        <v/>
      </c>
      <c r="D67" s="7">
        <f>IF(Flows!F68="",Setup!$B$5,Flows!F68)</f>
        <v/>
      </c>
      <c r="E67" s="7">
        <f>IF(Flows!E68="","once",LOWER(Flows!E68))</f>
        <v/>
      </c>
      <c r="F67" s="13">
        <f>IF(OR($A67="",Flows!$C68=""),0,IF(AND(1&lt;=Setup!$B$5,1&gt;=$C67,OR(AND($E67="once",1=$C67),AND($E67="weekly",1&lt;=$D67),AND($E67="biweekly",1&lt;=$D67,MOD(1-$C67,2)=0))),Flows!$C68,0))</f>
        <v/>
      </c>
      <c r="G67" s="13">
        <f>IF(OR($A67="",Flows!$C68=""),0,IF(AND(2&lt;=Setup!$B$5,2&gt;=$C67,OR(AND($E67="once",2=$C67),AND($E67="weekly",2&lt;=$D67),AND($E67="biweekly",2&lt;=$D67,MOD(2-$C67,2)=0))),Flows!$C68,0))</f>
        <v/>
      </c>
      <c r="H67" s="13">
        <f>IF(OR($A67="",Flows!$C68=""),0,IF(AND(3&lt;=Setup!$B$5,3&gt;=$C67,OR(AND($E67="once",3=$C67),AND($E67="weekly",3&lt;=$D67),AND($E67="biweekly",3&lt;=$D67,MOD(3-$C67,2)=0))),Flows!$C68,0))</f>
        <v/>
      </c>
      <c r="I67" s="13">
        <f>IF(OR($A67="",Flows!$C68=""),0,IF(AND(4&lt;=Setup!$B$5,4&gt;=$C67,OR(AND($E67="once",4=$C67),AND($E67="weekly",4&lt;=$D67),AND($E67="biweekly",4&lt;=$D67,MOD(4-$C67,2)=0))),Flows!$C68,0))</f>
        <v/>
      </c>
      <c r="J67" s="13">
        <f>IF(OR($A67="",Flows!$C68=""),0,IF(AND(5&lt;=Setup!$B$5,5&gt;=$C67,OR(AND($E67="once",5=$C67),AND($E67="weekly",5&lt;=$D67),AND($E67="biweekly",5&lt;=$D67,MOD(5-$C67,2)=0))),Flows!$C68,0))</f>
        <v/>
      </c>
      <c r="K67" s="13">
        <f>IF(OR($A67="",Flows!$C68=""),0,IF(AND(6&lt;=Setup!$B$5,6&gt;=$C67,OR(AND($E67="once",6=$C67),AND($E67="weekly",6&lt;=$D67),AND($E67="biweekly",6&lt;=$D67,MOD(6-$C67,2)=0))),Flows!$C68,0))</f>
        <v/>
      </c>
      <c r="L67" s="13">
        <f>IF(OR($A67="",Flows!$C68=""),0,IF(AND(7&lt;=Setup!$B$5,7&gt;=$C67,OR(AND($E67="once",7=$C67),AND($E67="weekly",7&lt;=$D67),AND($E67="biweekly",7&lt;=$D67,MOD(7-$C67,2)=0))),Flows!$C68,0))</f>
        <v/>
      </c>
      <c r="M67" s="13">
        <f>IF(OR($A67="",Flows!$C68=""),0,IF(AND(8&lt;=Setup!$B$5,8&gt;=$C67,OR(AND($E67="once",8=$C67),AND($E67="weekly",8&lt;=$D67),AND($E67="biweekly",8&lt;=$D67,MOD(8-$C67,2)=0))),Flows!$C68,0))</f>
        <v/>
      </c>
      <c r="N67" s="13">
        <f>IF(OR($A67="",Flows!$C68=""),0,IF(AND(9&lt;=Setup!$B$5,9&gt;=$C67,OR(AND($E67="once",9=$C67),AND($E67="weekly",9&lt;=$D67),AND($E67="biweekly",9&lt;=$D67,MOD(9-$C67,2)=0))),Flows!$C68,0))</f>
        <v/>
      </c>
      <c r="O67" s="13">
        <f>IF(OR($A67="",Flows!$C68=""),0,IF(AND(10&lt;=Setup!$B$5,10&gt;=$C67,OR(AND($E67="once",10=$C67),AND($E67="weekly",10&lt;=$D67),AND($E67="biweekly",10&lt;=$D67,MOD(10-$C67,2)=0))),Flows!$C68,0))</f>
        <v/>
      </c>
      <c r="P67" s="13">
        <f>IF(OR($A67="",Flows!$C68=""),0,IF(AND(11&lt;=Setup!$B$5,11&gt;=$C67,OR(AND($E67="once",11=$C67),AND($E67="weekly",11&lt;=$D67),AND($E67="biweekly",11&lt;=$D67,MOD(11-$C67,2)=0))),Flows!$C68,0))</f>
        <v/>
      </c>
      <c r="Q67" s="13">
        <f>IF(OR($A67="",Flows!$C68=""),0,IF(AND(12&lt;=Setup!$B$5,12&gt;=$C67,OR(AND($E67="once",12=$C67),AND($E67="weekly",12&lt;=$D67),AND($E67="biweekly",12&lt;=$D67,MOD(12-$C67,2)=0))),Flows!$C68,0))</f>
        <v/>
      </c>
      <c r="R67" s="13">
        <f>IF(OR($A67="",Flows!$C68=""),0,IF(AND(13&lt;=Setup!$B$5,13&gt;=$C67,OR(AND($E67="once",13=$C67),AND($E67="weekly",13&lt;=$D67),AND($E67="biweekly",13&lt;=$D67,MOD(13-$C67,2)=0))),Flows!$C68,0))</f>
        <v/>
      </c>
      <c r="S67" s="13">
        <f>IF(OR($A67="",Flows!$C68=""),0,IF(AND(14&lt;=Setup!$B$5,14&gt;=$C67,OR(AND($E67="once",14=$C67),AND($E67="weekly",14&lt;=$D67),AND($E67="biweekly",14&lt;=$D67,MOD(14-$C67,2)=0))),Flows!$C68,0))</f>
        <v/>
      </c>
      <c r="T67" s="13">
        <f>IF(OR($A67="",Flows!$C68=""),0,IF(AND(15&lt;=Setup!$B$5,15&gt;=$C67,OR(AND($E67="once",15=$C67),AND($E67="weekly",15&lt;=$D67),AND($E67="biweekly",15&lt;=$D67,MOD(15-$C67,2)=0))),Flows!$C68,0))</f>
        <v/>
      </c>
      <c r="U67" s="13">
        <f>IF(OR($A67="",Flows!$C68=""),0,IF(AND(16&lt;=Setup!$B$5,16&gt;=$C67,OR(AND($E67="once",16=$C67),AND($E67="weekly",16&lt;=$D67),AND($E67="biweekly",16&lt;=$D67,MOD(16-$C67,2)=0))),Flows!$C68,0))</f>
        <v/>
      </c>
      <c r="V67" s="13">
        <f>IF(OR($A67="",Flows!$C68=""),0,IF(AND(17&lt;=Setup!$B$5,17&gt;=$C67,OR(AND($E67="once",17=$C67),AND($E67="weekly",17&lt;=$D67),AND($E67="biweekly",17&lt;=$D67,MOD(17-$C67,2)=0))),Flows!$C68,0))</f>
        <v/>
      </c>
      <c r="W67" s="13">
        <f>IF(OR($A67="",Flows!$C68=""),0,IF(AND(18&lt;=Setup!$B$5,18&gt;=$C67,OR(AND($E67="once",18=$C67),AND($E67="weekly",18&lt;=$D67),AND($E67="biweekly",18&lt;=$D67,MOD(18-$C67,2)=0))),Flows!$C68,0))</f>
        <v/>
      </c>
      <c r="X67" s="13">
        <f>IF(OR($A67="",Flows!$C68=""),0,IF(AND(19&lt;=Setup!$B$5,19&gt;=$C67,OR(AND($E67="once",19=$C67),AND($E67="weekly",19&lt;=$D67),AND($E67="biweekly",19&lt;=$D67,MOD(19-$C67,2)=0))),Flows!$C68,0))</f>
        <v/>
      </c>
      <c r="Y67" s="13">
        <f>IF(OR($A67="",Flows!$C68=""),0,IF(AND(20&lt;=Setup!$B$5,20&gt;=$C67,OR(AND($E67="once",20=$C67),AND($E67="weekly",20&lt;=$D67),AND($E67="biweekly",20&lt;=$D67,MOD(20-$C67,2)=0))),Flows!$C68,0))</f>
        <v/>
      </c>
      <c r="Z67" s="13">
        <f>IF(OR($A67="",Flows!$C68=""),0,IF(AND(21&lt;=Setup!$B$5,21&gt;=$C67,OR(AND($E67="once",21=$C67),AND($E67="weekly",21&lt;=$D67),AND($E67="biweekly",21&lt;=$D67,MOD(21-$C67,2)=0))),Flows!$C68,0))</f>
        <v/>
      </c>
      <c r="AA67" s="13">
        <f>IF(OR($A67="",Flows!$C68=""),0,IF(AND(22&lt;=Setup!$B$5,22&gt;=$C67,OR(AND($E67="once",22=$C67),AND($E67="weekly",22&lt;=$D67),AND($E67="biweekly",22&lt;=$D67,MOD(22-$C67,2)=0))),Flows!$C68,0))</f>
        <v/>
      </c>
      <c r="AB67" s="13">
        <f>IF(OR($A67="",Flows!$C68=""),0,IF(AND(23&lt;=Setup!$B$5,23&gt;=$C67,OR(AND($E67="once",23=$C67),AND($E67="weekly",23&lt;=$D67),AND($E67="biweekly",23&lt;=$D67,MOD(23-$C67,2)=0))),Flows!$C68,0))</f>
        <v/>
      </c>
      <c r="AC67" s="13">
        <f>IF(OR($A67="",Flows!$C68=""),0,IF(AND(24&lt;=Setup!$B$5,24&gt;=$C67,OR(AND($E67="once",24=$C67),AND($E67="weekly",24&lt;=$D67),AND($E67="biweekly",24&lt;=$D67,MOD(24-$C67,2)=0))),Flows!$C68,0))</f>
        <v/>
      </c>
      <c r="AD67" s="13">
        <f>IF(OR($A67="",Flows!$C68=""),0,IF(AND(25&lt;=Setup!$B$5,25&gt;=$C67,OR(AND($E67="once",25=$C67),AND($E67="weekly",25&lt;=$D67),AND($E67="biweekly",25&lt;=$D67,MOD(25-$C67,2)=0))),Flows!$C68,0))</f>
        <v/>
      </c>
      <c r="AE67" s="13">
        <f>IF(OR($A67="",Flows!$C68=""),0,IF(AND(26&lt;=Setup!$B$5,26&gt;=$C67,OR(AND($E67="once",26=$C67),AND($E67="weekly",26&lt;=$D67),AND($E67="biweekly",26&lt;=$D67,MOD(26-$C67,2)=0))),Flows!$C68,0))</f>
        <v/>
      </c>
      <c r="AF67" s="13">
        <f>IF(OR($A67="",Flows!$C68=""),0,IF(AND(27&lt;=Setup!$B$5,27&gt;=$C67,OR(AND($E67="once",27=$C67),AND($E67="weekly",27&lt;=$D67),AND($E67="biweekly",27&lt;=$D67,MOD(27-$C67,2)=0))),Flows!$C68,0))</f>
        <v/>
      </c>
      <c r="AG67" s="13">
        <f>IF(OR($A67="",Flows!$C68=""),0,IF(AND(28&lt;=Setup!$B$5,28&gt;=$C67,OR(AND($E67="once",28=$C67),AND($E67="weekly",28&lt;=$D67),AND($E67="biweekly",28&lt;=$D67,MOD(28-$C67,2)=0))),Flows!$C68,0))</f>
        <v/>
      </c>
      <c r="AH67" s="13">
        <f>IF(OR($A67="",Flows!$C68=""),0,IF(AND(29&lt;=Setup!$B$5,29&gt;=$C67,OR(AND($E67="once",29=$C67),AND($E67="weekly",29&lt;=$D67),AND($E67="biweekly",29&lt;=$D67,MOD(29-$C67,2)=0))),Flows!$C68,0))</f>
        <v/>
      </c>
      <c r="AI67" s="13">
        <f>IF(OR($A67="",Flows!$C68=""),0,IF(AND(30&lt;=Setup!$B$5,30&gt;=$C67,OR(AND($E67="once",30=$C67),AND($E67="weekly",30&lt;=$D67),AND($E67="biweekly",30&lt;=$D67,MOD(30-$C67,2)=0))),Flows!$C68,0))</f>
        <v/>
      </c>
      <c r="AJ67" s="13">
        <f>IF(OR($A67="",Flows!$C68=""),0,IF(AND(31&lt;=Setup!$B$5,31&gt;=$C67,OR(AND($E67="once",31=$C67),AND($E67="weekly",31&lt;=$D67),AND($E67="biweekly",31&lt;=$D67,MOD(31-$C67,2)=0))),Flows!$C68,0))</f>
        <v/>
      </c>
      <c r="AK67" s="13">
        <f>IF(OR($A67="",Flows!$C68=""),0,IF(AND(32&lt;=Setup!$B$5,32&gt;=$C67,OR(AND($E67="once",32=$C67),AND($E67="weekly",32&lt;=$D67),AND($E67="biweekly",32&lt;=$D67,MOD(32-$C67,2)=0))),Flows!$C68,0))</f>
        <v/>
      </c>
      <c r="AL67" s="13">
        <f>IF(OR($A67="",Flows!$C68=""),0,IF(AND(33&lt;=Setup!$B$5,33&gt;=$C67,OR(AND($E67="once",33=$C67),AND($E67="weekly",33&lt;=$D67),AND($E67="biweekly",33&lt;=$D67,MOD(33-$C67,2)=0))),Flows!$C68,0))</f>
        <v/>
      </c>
      <c r="AM67" s="13">
        <f>IF(OR($A67="",Flows!$C68=""),0,IF(AND(34&lt;=Setup!$B$5,34&gt;=$C67,OR(AND($E67="once",34=$C67),AND($E67="weekly",34&lt;=$D67),AND($E67="biweekly",34&lt;=$D67,MOD(34-$C67,2)=0))),Flows!$C68,0))</f>
        <v/>
      </c>
      <c r="AN67" s="13">
        <f>IF(OR($A67="",Flows!$C68=""),0,IF(AND(35&lt;=Setup!$B$5,35&gt;=$C67,OR(AND($E67="once",35=$C67),AND($E67="weekly",35&lt;=$D67),AND($E67="biweekly",35&lt;=$D67,MOD(35-$C67,2)=0))),Flows!$C68,0))</f>
        <v/>
      </c>
      <c r="AO67" s="13">
        <f>IF(OR($A67="",Flows!$C68=""),0,IF(AND(36&lt;=Setup!$B$5,36&gt;=$C67,OR(AND($E67="once",36=$C67),AND($E67="weekly",36&lt;=$D67),AND($E67="biweekly",36&lt;=$D67,MOD(36-$C67,2)=0))),Flows!$C68,0))</f>
        <v/>
      </c>
      <c r="AP67" s="13">
        <f>IF(OR($A67="",Flows!$C68=""),0,IF(AND(37&lt;=Setup!$B$5,37&gt;=$C67,OR(AND($E67="once",37=$C67),AND($E67="weekly",37&lt;=$D67),AND($E67="biweekly",37&lt;=$D67,MOD(37-$C67,2)=0))),Flows!$C68,0))</f>
        <v/>
      </c>
      <c r="AQ67" s="13">
        <f>IF(OR($A67="",Flows!$C68=""),0,IF(AND(38&lt;=Setup!$B$5,38&gt;=$C67,OR(AND($E67="once",38=$C67),AND($E67="weekly",38&lt;=$D67),AND($E67="biweekly",38&lt;=$D67,MOD(38-$C67,2)=0))),Flows!$C68,0))</f>
        <v/>
      </c>
      <c r="AR67" s="13">
        <f>IF(OR($A67="",Flows!$C68=""),0,IF(AND(39&lt;=Setup!$B$5,39&gt;=$C67,OR(AND($E67="once",39=$C67),AND($E67="weekly",39&lt;=$D67),AND($E67="biweekly",39&lt;=$D67,MOD(39-$C67,2)=0))),Flows!$C68,0))</f>
        <v/>
      </c>
      <c r="AS67" s="13">
        <f>IF(OR($A67="",Flows!$C68=""),0,IF(AND(40&lt;=Setup!$B$5,40&gt;=$C67,OR(AND($E67="once",40=$C67),AND($E67="weekly",40&lt;=$D67),AND($E67="biweekly",40&lt;=$D67,MOD(40-$C67,2)=0))),Flows!$C68,0))</f>
        <v/>
      </c>
      <c r="AT67" s="13">
        <f>IF(OR($A67="",Flows!$C68=""),0,IF(AND(41&lt;=Setup!$B$5,41&gt;=$C67,OR(AND($E67="once",41=$C67),AND($E67="weekly",41&lt;=$D67),AND($E67="biweekly",41&lt;=$D67,MOD(41-$C67,2)=0))),Flows!$C68,0))</f>
        <v/>
      </c>
      <c r="AU67" s="13">
        <f>IF(OR($A67="",Flows!$C68=""),0,IF(AND(42&lt;=Setup!$B$5,42&gt;=$C67,OR(AND($E67="once",42=$C67),AND($E67="weekly",42&lt;=$D67),AND($E67="biweekly",42&lt;=$D67,MOD(42-$C67,2)=0))),Flows!$C68,0))</f>
        <v/>
      </c>
      <c r="AV67" s="13">
        <f>IF(OR($A67="",Flows!$C68=""),0,IF(AND(43&lt;=Setup!$B$5,43&gt;=$C67,OR(AND($E67="once",43=$C67),AND($E67="weekly",43&lt;=$D67),AND($E67="biweekly",43&lt;=$D67,MOD(43-$C67,2)=0))),Flows!$C68,0))</f>
        <v/>
      </c>
      <c r="AW67" s="13">
        <f>IF(OR($A67="",Flows!$C68=""),0,IF(AND(44&lt;=Setup!$B$5,44&gt;=$C67,OR(AND($E67="once",44=$C67),AND($E67="weekly",44&lt;=$D67),AND($E67="biweekly",44&lt;=$D67,MOD(44-$C67,2)=0))),Flows!$C68,0))</f>
        <v/>
      </c>
      <c r="AX67" s="13">
        <f>IF(OR($A67="",Flows!$C68=""),0,IF(AND(45&lt;=Setup!$B$5,45&gt;=$C67,OR(AND($E67="once",45=$C67),AND($E67="weekly",45&lt;=$D67),AND($E67="biweekly",45&lt;=$D67,MOD(45-$C67,2)=0))),Flows!$C68,0))</f>
        <v/>
      </c>
      <c r="AY67" s="13">
        <f>IF(OR($A67="",Flows!$C68=""),0,IF(AND(46&lt;=Setup!$B$5,46&gt;=$C67,OR(AND($E67="once",46=$C67),AND($E67="weekly",46&lt;=$D67),AND($E67="biweekly",46&lt;=$D67,MOD(46-$C67,2)=0))),Flows!$C68,0))</f>
        <v/>
      </c>
      <c r="AZ67" s="13">
        <f>IF(OR($A67="",Flows!$C68=""),0,IF(AND(47&lt;=Setup!$B$5,47&gt;=$C67,OR(AND($E67="once",47=$C67),AND($E67="weekly",47&lt;=$D67),AND($E67="biweekly",47&lt;=$D67,MOD(47-$C67,2)=0))),Flows!$C68,0))</f>
        <v/>
      </c>
      <c r="BA67" s="13">
        <f>IF(OR($A67="",Flows!$C68=""),0,IF(AND(48&lt;=Setup!$B$5,48&gt;=$C67,OR(AND($E67="once",48=$C67),AND($E67="weekly",48&lt;=$D67),AND($E67="biweekly",48&lt;=$D67,MOD(48-$C67,2)=0))),Flows!$C68,0))</f>
        <v/>
      </c>
      <c r="BB67" s="13">
        <f>IF(OR($A67="",Flows!$C68=""),0,IF(AND(49&lt;=Setup!$B$5,49&gt;=$C67,OR(AND($E67="once",49=$C67),AND($E67="weekly",49&lt;=$D67),AND($E67="biweekly",49&lt;=$D67,MOD(49-$C67,2)=0))),Flows!$C68,0))</f>
        <v/>
      </c>
      <c r="BC67" s="13">
        <f>IF(OR($A67="",Flows!$C68=""),0,IF(AND(50&lt;=Setup!$B$5,50&gt;=$C67,OR(AND($E67="once",50=$C67),AND($E67="weekly",50&lt;=$D67),AND($E67="biweekly",50&lt;=$D67,MOD(50-$C67,2)=0))),Flows!$C68,0))</f>
        <v/>
      </c>
      <c r="BD67" s="13">
        <f>IF(OR($A67="",Flows!$C68=""),0,IF(AND(51&lt;=Setup!$B$5,51&gt;=$C67,OR(AND($E67="once",51=$C67),AND($E67="weekly",51&lt;=$D67),AND($E67="biweekly",51&lt;=$D67,MOD(51-$C67,2)=0))),Flows!$C68,0))</f>
        <v/>
      </c>
      <c r="BE67" s="13">
        <f>IF(OR($A67="",Flows!$C68=""),0,IF(AND(52&lt;=Setup!$B$5,52&gt;=$C67,OR(AND($E67="once",52=$C67),AND($E67="weekly",52&lt;=$D67),AND($E67="biweekly",52&lt;=$D67,MOD(52-$C67,2)=0))),Flows!$C68,0))</f>
        <v/>
      </c>
    </row>
    <row r="68">
      <c r="A68" s="7">
        <f>IF(Flows!A69="","",LOWER(Flows!A69))</f>
        <v/>
      </c>
      <c r="B68" s="7">
        <f>IF(Flows!B69="","",Flows!B69)</f>
        <v/>
      </c>
      <c r="C68" s="7">
        <f>N(Flows!D69)</f>
        <v/>
      </c>
      <c r="D68" s="7">
        <f>IF(Flows!F69="",Setup!$B$5,Flows!F69)</f>
        <v/>
      </c>
      <c r="E68" s="7">
        <f>IF(Flows!E69="","once",LOWER(Flows!E69))</f>
        <v/>
      </c>
      <c r="F68" s="13">
        <f>IF(OR($A68="",Flows!$C69=""),0,IF(AND(1&lt;=Setup!$B$5,1&gt;=$C68,OR(AND($E68="once",1=$C68),AND($E68="weekly",1&lt;=$D68),AND($E68="biweekly",1&lt;=$D68,MOD(1-$C68,2)=0))),Flows!$C69,0))</f>
        <v/>
      </c>
      <c r="G68" s="13">
        <f>IF(OR($A68="",Flows!$C69=""),0,IF(AND(2&lt;=Setup!$B$5,2&gt;=$C68,OR(AND($E68="once",2=$C68),AND($E68="weekly",2&lt;=$D68),AND($E68="biweekly",2&lt;=$D68,MOD(2-$C68,2)=0))),Flows!$C69,0))</f>
        <v/>
      </c>
      <c r="H68" s="13">
        <f>IF(OR($A68="",Flows!$C69=""),0,IF(AND(3&lt;=Setup!$B$5,3&gt;=$C68,OR(AND($E68="once",3=$C68),AND($E68="weekly",3&lt;=$D68),AND($E68="biweekly",3&lt;=$D68,MOD(3-$C68,2)=0))),Flows!$C69,0))</f>
        <v/>
      </c>
      <c r="I68" s="13">
        <f>IF(OR($A68="",Flows!$C69=""),0,IF(AND(4&lt;=Setup!$B$5,4&gt;=$C68,OR(AND($E68="once",4=$C68),AND($E68="weekly",4&lt;=$D68),AND($E68="biweekly",4&lt;=$D68,MOD(4-$C68,2)=0))),Flows!$C69,0))</f>
        <v/>
      </c>
      <c r="J68" s="13">
        <f>IF(OR($A68="",Flows!$C69=""),0,IF(AND(5&lt;=Setup!$B$5,5&gt;=$C68,OR(AND($E68="once",5=$C68),AND($E68="weekly",5&lt;=$D68),AND($E68="biweekly",5&lt;=$D68,MOD(5-$C68,2)=0))),Flows!$C69,0))</f>
        <v/>
      </c>
      <c r="K68" s="13">
        <f>IF(OR($A68="",Flows!$C69=""),0,IF(AND(6&lt;=Setup!$B$5,6&gt;=$C68,OR(AND($E68="once",6=$C68),AND($E68="weekly",6&lt;=$D68),AND($E68="biweekly",6&lt;=$D68,MOD(6-$C68,2)=0))),Flows!$C69,0))</f>
        <v/>
      </c>
      <c r="L68" s="13">
        <f>IF(OR($A68="",Flows!$C69=""),0,IF(AND(7&lt;=Setup!$B$5,7&gt;=$C68,OR(AND($E68="once",7=$C68),AND($E68="weekly",7&lt;=$D68),AND($E68="biweekly",7&lt;=$D68,MOD(7-$C68,2)=0))),Flows!$C69,0))</f>
        <v/>
      </c>
      <c r="M68" s="13">
        <f>IF(OR($A68="",Flows!$C69=""),0,IF(AND(8&lt;=Setup!$B$5,8&gt;=$C68,OR(AND($E68="once",8=$C68),AND($E68="weekly",8&lt;=$D68),AND($E68="biweekly",8&lt;=$D68,MOD(8-$C68,2)=0))),Flows!$C69,0))</f>
        <v/>
      </c>
      <c r="N68" s="13">
        <f>IF(OR($A68="",Flows!$C69=""),0,IF(AND(9&lt;=Setup!$B$5,9&gt;=$C68,OR(AND($E68="once",9=$C68),AND($E68="weekly",9&lt;=$D68),AND($E68="biweekly",9&lt;=$D68,MOD(9-$C68,2)=0))),Flows!$C69,0))</f>
        <v/>
      </c>
      <c r="O68" s="13">
        <f>IF(OR($A68="",Flows!$C69=""),0,IF(AND(10&lt;=Setup!$B$5,10&gt;=$C68,OR(AND($E68="once",10=$C68),AND($E68="weekly",10&lt;=$D68),AND($E68="biweekly",10&lt;=$D68,MOD(10-$C68,2)=0))),Flows!$C69,0))</f>
        <v/>
      </c>
      <c r="P68" s="13">
        <f>IF(OR($A68="",Flows!$C69=""),0,IF(AND(11&lt;=Setup!$B$5,11&gt;=$C68,OR(AND($E68="once",11=$C68),AND($E68="weekly",11&lt;=$D68),AND($E68="biweekly",11&lt;=$D68,MOD(11-$C68,2)=0))),Flows!$C69,0))</f>
        <v/>
      </c>
      <c r="Q68" s="13">
        <f>IF(OR($A68="",Flows!$C69=""),0,IF(AND(12&lt;=Setup!$B$5,12&gt;=$C68,OR(AND($E68="once",12=$C68),AND($E68="weekly",12&lt;=$D68),AND($E68="biweekly",12&lt;=$D68,MOD(12-$C68,2)=0))),Flows!$C69,0))</f>
        <v/>
      </c>
      <c r="R68" s="13">
        <f>IF(OR($A68="",Flows!$C69=""),0,IF(AND(13&lt;=Setup!$B$5,13&gt;=$C68,OR(AND($E68="once",13=$C68),AND($E68="weekly",13&lt;=$D68),AND($E68="biweekly",13&lt;=$D68,MOD(13-$C68,2)=0))),Flows!$C69,0))</f>
        <v/>
      </c>
      <c r="S68" s="13">
        <f>IF(OR($A68="",Flows!$C69=""),0,IF(AND(14&lt;=Setup!$B$5,14&gt;=$C68,OR(AND($E68="once",14=$C68),AND($E68="weekly",14&lt;=$D68),AND($E68="biweekly",14&lt;=$D68,MOD(14-$C68,2)=0))),Flows!$C69,0))</f>
        <v/>
      </c>
      <c r="T68" s="13">
        <f>IF(OR($A68="",Flows!$C69=""),0,IF(AND(15&lt;=Setup!$B$5,15&gt;=$C68,OR(AND($E68="once",15=$C68),AND($E68="weekly",15&lt;=$D68),AND($E68="biweekly",15&lt;=$D68,MOD(15-$C68,2)=0))),Flows!$C69,0))</f>
        <v/>
      </c>
      <c r="U68" s="13">
        <f>IF(OR($A68="",Flows!$C69=""),0,IF(AND(16&lt;=Setup!$B$5,16&gt;=$C68,OR(AND($E68="once",16=$C68),AND($E68="weekly",16&lt;=$D68),AND($E68="biweekly",16&lt;=$D68,MOD(16-$C68,2)=0))),Flows!$C69,0))</f>
        <v/>
      </c>
      <c r="V68" s="13">
        <f>IF(OR($A68="",Flows!$C69=""),0,IF(AND(17&lt;=Setup!$B$5,17&gt;=$C68,OR(AND($E68="once",17=$C68),AND($E68="weekly",17&lt;=$D68),AND($E68="biweekly",17&lt;=$D68,MOD(17-$C68,2)=0))),Flows!$C69,0))</f>
        <v/>
      </c>
      <c r="W68" s="13">
        <f>IF(OR($A68="",Flows!$C69=""),0,IF(AND(18&lt;=Setup!$B$5,18&gt;=$C68,OR(AND($E68="once",18=$C68),AND($E68="weekly",18&lt;=$D68),AND($E68="biweekly",18&lt;=$D68,MOD(18-$C68,2)=0))),Flows!$C69,0))</f>
        <v/>
      </c>
      <c r="X68" s="13">
        <f>IF(OR($A68="",Flows!$C69=""),0,IF(AND(19&lt;=Setup!$B$5,19&gt;=$C68,OR(AND($E68="once",19=$C68),AND($E68="weekly",19&lt;=$D68),AND($E68="biweekly",19&lt;=$D68,MOD(19-$C68,2)=0))),Flows!$C69,0))</f>
        <v/>
      </c>
      <c r="Y68" s="13">
        <f>IF(OR($A68="",Flows!$C69=""),0,IF(AND(20&lt;=Setup!$B$5,20&gt;=$C68,OR(AND($E68="once",20=$C68),AND($E68="weekly",20&lt;=$D68),AND($E68="biweekly",20&lt;=$D68,MOD(20-$C68,2)=0))),Flows!$C69,0))</f>
        <v/>
      </c>
      <c r="Z68" s="13">
        <f>IF(OR($A68="",Flows!$C69=""),0,IF(AND(21&lt;=Setup!$B$5,21&gt;=$C68,OR(AND($E68="once",21=$C68),AND($E68="weekly",21&lt;=$D68),AND($E68="biweekly",21&lt;=$D68,MOD(21-$C68,2)=0))),Flows!$C69,0))</f>
        <v/>
      </c>
      <c r="AA68" s="13">
        <f>IF(OR($A68="",Flows!$C69=""),0,IF(AND(22&lt;=Setup!$B$5,22&gt;=$C68,OR(AND($E68="once",22=$C68),AND($E68="weekly",22&lt;=$D68),AND($E68="biweekly",22&lt;=$D68,MOD(22-$C68,2)=0))),Flows!$C69,0))</f>
        <v/>
      </c>
      <c r="AB68" s="13">
        <f>IF(OR($A68="",Flows!$C69=""),0,IF(AND(23&lt;=Setup!$B$5,23&gt;=$C68,OR(AND($E68="once",23=$C68),AND($E68="weekly",23&lt;=$D68),AND($E68="biweekly",23&lt;=$D68,MOD(23-$C68,2)=0))),Flows!$C69,0))</f>
        <v/>
      </c>
      <c r="AC68" s="13">
        <f>IF(OR($A68="",Flows!$C69=""),0,IF(AND(24&lt;=Setup!$B$5,24&gt;=$C68,OR(AND($E68="once",24=$C68),AND($E68="weekly",24&lt;=$D68),AND($E68="biweekly",24&lt;=$D68,MOD(24-$C68,2)=0))),Flows!$C69,0))</f>
        <v/>
      </c>
      <c r="AD68" s="13">
        <f>IF(OR($A68="",Flows!$C69=""),0,IF(AND(25&lt;=Setup!$B$5,25&gt;=$C68,OR(AND($E68="once",25=$C68),AND($E68="weekly",25&lt;=$D68),AND($E68="biweekly",25&lt;=$D68,MOD(25-$C68,2)=0))),Flows!$C69,0))</f>
        <v/>
      </c>
      <c r="AE68" s="13">
        <f>IF(OR($A68="",Flows!$C69=""),0,IF(AND(26&lt;=Setup!$B$5,26&gt;=$C68,OR(AND($E68="once",26=$C68),AND($E68="weekly",26&lt;=$D68),AND($E68="biweekly",26&lt;=$D68,MOD(26-$C68,2)=0))),Flows!$C69,0))</f>
        <v/>
      </c>
      <c r="AF68" s="13">
        <f>IF(OR($A68="",Flows!$C69=""),0,IF(AND(27&lt;=Setup!$B$5,27&gt;=$C68,OR(AND($E68="once",27=$C68),AND($E68="weekly",27&lt;=$D68),AND($E68="biweekly",27&lt;=$D68,MOD(27-$C68,2)=0))),Flows!$C69,0))</f>
        <v/>
      </c>
      <c r="AG68" s="13">
        <f>IF(OR($A68="",Flows!$C69=""),0,IF(AND(28&lt;=Setup!$B$5,28&gt;=$C68,OR(AND($E68="once",28=$C68),AND($E68="weekly",28&lt;=$D68),AND($E68="biweekly",28&lt;=$D68,MOD(28-$C68,2)=0))),Flows!$C69,0))</f>
        <v/>
      </c>
      <c r="AH68" s="13">
        <f>IF(OR($A68="",Flows!$C69=""),0,IF(AND(29&lt;=Setup!$B$5,29&gt;=$C68,OR(AND($E68="once",29=$C68),AND($E68="weekly",29&lt;=$D68),AND($E68="biweekly",29&lt;=$D68,MOD(29-$C68,2)=0))),Flows!$C69,0))</f>
        <v/>
      </c>
      <c r="AI68" s="13">
        <f>IF(OR($A68="",Flows!$C69=""),0,IF(AND(30&lt;=Setup!$B$5,30&gt;=$C68,OR(AND($E68="once",30=$C68),AND($E68="weekly",30&lt;=$D68),AND($E68="biweekly",30&lt;=$D68,MOD(30-$C68,2)=0))),Flows!$C69,0))</f>
        <v/>
      </c>
      <c r="AJ68" s="13">
        <f>IF(OR($A68="",Flows!$C69=""),0,IF(AND(31&lt;=Setup!$B$5,31&gt;=$C68,OR(AND($E68="once",31=$C68),AND($E68="weekly",31&lt;=$D68),AND($E68="biweekly",31&lt;=$D68,MOD(31-$C68,2)=0))),Flows!$C69,0))</f>
        <v/>
      </c>
      <c r="AK68" s="13">
        <f>IF(OR($A68="",Flows!$C69=""),0,IF(AND(32&lt;=Setup!$B$5,32&gt;=$C68,OR(AND($E68="once",32=$C68),AND($E68="weekly",32&lt;=$D68),AND($E68="biweekly",32&lt;=$D68,MOD(32-$C68,2)=0))),Flows!$C69,0))</f>
        <v/>
      </c>
      <c r="AL68" s="13">
        <f>IF(OR($A68="",Flows!$C69=""),0,IF(AND(33&lt;=Setup!$B$5,33&gt;=$C68,OR(AND($E68="once",33=$C68),AND($E68="weekly",33&lt;=$D68),AND($E68="biweekly",33&lt;=$D68,MOD(33-$C68,2)=0))),Flows!$C69,0))</f>
        <v/>
      </c>
      <c r="AM68" s="13">
        <f>IF(OR($A68="",Flows!$C69=""),0,IF(AND(34&lt;=Setup!$B$5,34&gt;=$C68,OR(AND($E68="once",34=$C68),AND($E68="weekly",34&lt;=$D68),AND($E68="biweekly",34&lt;=$D68,MOD(34-$C68,2)=0))),Flows!$C69,0))</f>
        <v/>
      </c>
      <c r="AN68" s="13">
        <f>IF(OR($A68="",Flows!$C69=""),0,IF(AND(35&lt;=Setup!$B$5,35&gt;=$C68,OR(AND($E68="once",35=$C68),AND($E68="weekly",35&lt;=$D68),AND($E68="biweekly",35&lt;=$D68,MOD(35-$C68,2)=0))),Flows!$C69,0))</f>
        <v/>
      </c>
      <c r="AO68" s="13">
        <f>IF(OR($A68="",Flows!$C69=""),0,IF(AND(36&lt;=Setup!$B$5,36&gt;=$C68,OR(AND($E68="once",36=$C68),AND($E68="weekly",36&lt;=$D68),AND($E68="biweekly",36&lt;=$D68,MOD(36-$C68,2)=0))),Flows!$C69,0))</f>
        <v/>
      </c>
      <c r="AP68" s="13">
        <f>IF(OR($A68="",Flows!$C69=""),0,IF(AND(37&lt;=Setup!$B$5,37&gt;=$C68,OR(AND($E68="once",37=$C68),AND($E68="weekly",37&lt;=$D68),AND($E68="biweekly",37&lt;=$D68,MOD(37-$C68,2)=0))),Flows!$C69,0))</f>
        <v/>
      </c>
      <c r="AQ68" s="13">
        <f>IF(OR($A68="",Flows!$C69=""),0,IF(AND(38&lt;=Setup!$B$5,38&gt;=$C68,OR(AND($E68="once",38=$C68),AND($E68="weekly",38&lt;=$D68),AND($E68="biweekly",38&lt;=$D68,MOD(38-$C68,2)=0))),Flows!$C69,0))</f>
        <v/>
      </c>
      <c r="AR68" s="13">
        <f>IF(OR($A68="",Flows!$C69=""),0,IF(AND(39&lt;=Setup!$B$5,39&gt;=$C68,OR(AND($E68="once",39=$C68),AND($E68="weekly",39&lt;=$D68),AND($E68="biweekly",39&lt;=$D68,MOD(39-$C68,2)=0))),Flows!$C69,0))</f>
        <v/>
      </c>
      <c r="AS68" s="13">
        <f>IF(OR($A68="",Flows!$C69=""),0,IF(AND(40&lt;=Setup!$B$5,40&gt;=$C68,OR(AND($E68="once",40=$C68),AND($E68="weekly",40&lt;=$D68),AND($E68="biweekly",40&lt;=$D68,MOD(40-$C68,2)=0))),Flows!$C69,0))</f>
        <v/>
      </c>
      <c r="AT68" s="13">
        <f>IF(OR($A68="",Flows!$C69=""),0,IF(AND(41&lt;=Setup!$B$5,41&gt;=$C68,OR(AND($E68="once",41=$C68),AND($E68="weekly",41&lt;=$D68),AND($E68="biweekly",41&lt;=$D68,MOD(41-$C68,2)=0))),Flows!$C69,0))</f>
        <v/>
      </c>
      <c r="AU68" s="13">
        <f>IF(OR($A68="",Flows!$C69=""),0,IF(AND(42&lt;=Setup!$B$5,42&gt;=$C68,OR(AND($E68="once",42=$C68),AND($E68="weekly",42&lt;=$D68),AND($E68="biweekly",42&lt;=$D68,MOD(42-$C68,2)=0))),Flows!$C69,0))</f>
        <v/>
      </c>
      <c r="AV68" s="13">
        <f>IF(OR($A68="",Flows!$C69=""),0,IF(AND(43&lt;=Setup!$B$5,43&gt;=$C68,OR(AND($E68="once",43=$C68),AND($E68="weekly",43&lt;=$D68),AND($E68="biweekly",43&lt;=$D68,MOD(43-$C68,2)=0))),Flows!$C69,0))</f>
        <v/>
      </c>
      <c r="AW68" s="13">
        <f>IF(OR($A68="",Flows!$C69=""),0,IF(AND(44&lt;=Setup!$B$5,44&gt;=$C68,OR(AND($E68="once",44=$C68),AND($E68="weekly",44&lt;=$D68),AND($E68="biweekly",44&lt;=$D68,MOD(44-$C68,2)=0))),Flows!$C69,0))</f>
        <v/>
      </c>
      <c r="AX68" s="13">
        <f>IF(OR($A68="",Flows!$C69=""),0,IF(AND(45&lt;=Setup!$B$5,45&gt;=$C68,OR(AND($E68="once",45=$C68),AND($E68="weekly",45&lt;=$D68),AND($E68="biweekly",45&lt;=$D68,MOD(45-$C68,2)=0))),Flows!$C69,0))</f>
        <v/>
      </c>
      <c r="AY68" s="13">
        <f>IF(OR($A68="",Flows!$C69=""),0,IF(AND(46&lt;=Setup!$B$5,46&gt;=$C68,OR(AND($E68="once",46=$C68),AND($E68="weekly",46&lt;=$D68),AND($E68="biweekly",46&lt;=$D68,MOD(46-$C68,2)=0))),Flows!$C69,0))</f>
        <v/>
      </c>
      <c r="AZ68" s="13">
        <f>IF(OR($A68="",Flows!$C69=""),0,IF(AND(47&lt;=Setup!$B$5,47&gt;=$C68,OR(AND($E68="once",47=$C68),AND($E68="weekly",47&lt;=$D68),AND($E68="biweekly",47&lt;=$D68,MOD(47-$C68,2)=0))),Flows!$C69,0))</f>
        <v/>
      </c>
      <c r="BA68" s="13">
        <f>IF(OR($A68="",Flows!$C69=""),0,IF(AND(48&lt;=Setup!$B$5,48&gt;=$C68,OR(AND($E68="once",48=$C68),AND($E68="weekly",48&lt;=$D68),AND($E68="biweekly",48&lt;=$D68,MOD(48-$C68,2)=0))),Flows!$C69,0))</f>
        <v/>
      </c>
      <c r="BB68" s="13">
        <f>IF(OR($A68="",Flows!$C69=""),0,IF(AND(49&lt;=Setup!$B$5,49&gt;=$C68,OR(AND($E68="once",49=$C68),AND($E68="weekly",49&lt;=$D68),AND($E68="biweekly",49&lt;=$D68,MOD(49-$C68,2)=0))),Flows!$C69,0))</f>
        <v/>
      </c>
      <c r="BC68" s="13">
        <f>IF(OR($A68="",Flows!$C69=""),0,IF(AND(50&lt;=Setup!$B$5,50&gt;=$C68,OR(AND($E68="once",50=$C68),AND($E68="weekly",50&lt;=$D68),AND($E68="biweekly",50&lt;=$D68,MOD(50-$C68,2)=0))),Flows!$C69,0))</f>
        <v/>
      </c>
      <c r="BD68" s="13">
        <f>IF(OR($A68="",Flows!$C69=""),0,IF(AND(51&lt;=Setup!$B$5,51&gt;=$C68,OR(AND($E68="once",51=$C68),AND($E68="weekly",51&lt;=$D68),AND($E68="biweekly",51&lt;=$D68,MOD(51-$C68,2)=0))),Flows!$C69,0))</f>
        <v/>
      </c>
      <c r="BE68" s="13">
        <f>IF(OR($A68="",Flows!$C69=""),0,IF(AND(52&lt;=Setup!$B$5,52&gt;=$C68,OR(AND($E68="once",52=$C68),AND($E68="weekly",52&lt;=$D68),AND($E68="biweekly",52&lt;=$D68,MOD(52-$C68,2)=0))),Flows!$C69,0))</f>
        <v/>
      </c>
    </row>
    <row r="69">
      <c r="A69" s="7">
        <f>IF(Flows!A70="","",LOWER(Flows!A70))</f>
        <v/>
      </c>
      <c r="B69" s="7">
        <f>IF(Flows!B70="","",Flows!B70)</f>
        <v/>
      </c>
      <c r="C69" s="7">
        <f>N(Flows!D70)</f>
        <v/>
      </c>
      <c r="D69" s="7">
        <f>IF(Flows!F70="",Setup!$B$5,Flows!F70)</f>
        <v/>
      </c>
      <c r="E69" s="7">
        <f>IF(Flows!E70="","once",LOWER(Flows!E70))</f>
        <v/>
      </c>
      <c r="F69" s="13">
        <f>IF(OR($A69="",Flows!$C70=""),0,IF(AND(1&lt;=Setup!$B$5,1&gt;=$C69,OR(AND($E69="once",1=$C69),AND($E69="weekly",1&lt;=$D69),AND($E69="biweekly",1&lt;=$D69,MOD(1-$C69,2)=0))),Flows!$C70,0))</f>
        <v/>
      </c>
      <c r="G69" s="13">
        <f>IF(OR($A69="",Flows!$C70=""),0,IF(AND(2&lt;=Setup!$B$5,2&gt;=$C69,OR(AND($E69="once",2=$C69),AND($E69="weekly",2&lt;=$D69),AND($E69="biweekly",2&lt;=$D69,MOD(2-$C69,2)=0))),Flows!$C70,0))</f>
        <v/>
      </c>
      <c r="H69" s="13">
        <f>IF(OR($A69="",Flows!$C70=""),0,IF(AND(3&lt;=Setup!$B$5,3&gt;=$C69,OR(AND($E69="once",3=$C69),AND($E69="weekly",3&lt;=$D69),AND($E69="biweekly",3&lt;=$D69,MOD(3-$C69,2)=0))),Flows!$C70,0))</f>
        <v/>
      </c>
      <c r="I69" s="13">
        <f>IF(OR($A69="",Flows!$C70=""),0,IF(AND(4&lt;=Setup!$B$5,4&gt;=$C69,OR(AND($E69="once",4=$C69),AND($E69="weekly",4&lt;=$D69),AND($E69="biweekly",4&lt;=$D69,MOD(4-$C69,2)=0))),Flows!$C70,0))</f>
        <v/>
      </c>
      <c r="J69" s="13">
        <f>IF(OR($A69="",Flows!$C70=""),0,IF(AND(5&lt;=Setup!$B$5,5&gt;=$C69,OR(AND($E69="once",5=$C69),AND($E69="weekly",5&lt;=$D69),AND($E69="biweekly",5&lt;=$D69,MOD(5-$C69,2)=0))),Flows!$C70,0))</f>
        <v/>
      </c>
      <c r="K69" s="13">
        <f>IF(OR($A69="",Flows!$C70=""),0,IF(AND(6&lt;=Setup!$B$5,6&gt;=$C69,OR(AND($E69="once",6=$C69),AND($E69="weekly",6&lt;=$D69),AND($E69="biweekly",6&lt;=$D69,MOD(6-$C69,2)=0))),Flows!$C70,0))</f>
        <v/>
      </c>
      <c r="L69" s="13">
        <f>IF(OR($A69="",Flows!$C70=""),0,IF(AND(7&lt;=Setup!$B$5,7&gt;=$C69,OR(AND($E69="once",7=$C69),AND($E69="weekly",7&lt;=$D69),AND($E69="biweekly",7&lt;=$D69,MOD(7-$C69,2)=0))),Flows!$C70,0))</f>
        <v/>
      </c>
      <c r="M69" s="13">
        <f>IF(OR($A69="",Flows!$C70=""),0,IF(AND(8&lt;=Setup!$B$5,8&gt;=$C69,OR(AND($E69="once",8=$C69),AND($E69="weekly",8&lt;=$D69),AND($E69="biweekly",8&lt;=$D69,MOD(8-$C69,2)=0))),Flows!$C70,0))</f>
        <v/>
      </c>
      <c r="N69" s="13">
        <f>IF(OR($A69="",Flows!$C70=""),0,IF(AND(9&lt;=Setup!$B$5,9&gt;=$C69,OR(AND($E69="once",9=$C69),AND($E69="weekly",9&lt;=$D69),AND($E69="biweekly",9&lt;=$D69,MOD(9-$C69,2)=0))),Flows!$C70,0))</f>
        <v/>
      </c>
      <c r="O69" s="13">
        <f>IF(OR($A69="",Flows!$C70=""),0,IF(AND(10&lt;=Setup!$B$5,10&gt;=$C69,OR(AND($E69="once",10=$C69),AND($E69="weekly",10&lt;=$D69),AND($E69="biweekly",10&lt;=$D69,MOD(10-$C69,2)=0))),Flows!$C70,0))</f>
        <v/>
      </c>
      <c r="P69" s="13">
        <f>IF(OR($A69="",Flows!$C70=""),0,IF(AND(11&lt;=Setup!$B$5,11&gt;=$C69,OR(AND($E69="once",11=$C69),AND($E69="weekly",11&lt;=$D69),AND($E69="biweekly",11&lt;=$D69,MOD(11-$C69,2)=0))),Flows!$C70,0))</f>
        <v/>
      </c>
      <c r="Q69" s="13">
        <f>IF(OR($A69="",Flows!$C70=""),0,IF(AND(12&lt;=Setup!$B$5,12&gt;=$C69,OR(AND($E69="once",12=$C69),AND($E69="weekly",12&lt;=$D69),AND($E69="biweekly",12&lt;=$D69,MOD(12-$C69,2)=0))),Flows!$C70,0))</f>
        <v/>
      </c>
      <c r="R69" s="13">
        <f>IF(OR($A69="",Flows!$C70=""),0,IF(AND(13&lt;=Setup!$B$5,13&gt;=$C69,OR(AND($E69="once",13=$C69),AND($E69="weekly",13&lt;=$D69),AND($E69="biweekly",13&lt;=$D69,MOD(13-$C69,2)=0))),Flows!$C70,0))</f>
        <v/>
      </c>
      <c r="S69" s="13">
        <f>IF(OR($A69="",Flows!$C70=""),0,IF(AND(14&lt;=Setup!$B$5,14&gt;=$C69,OR(AND($E69="once",14=$C69),AND($E69="weekly",14&lt;=$D69),AND($E69="biweekly",14&lt;=$D69,MOD(14-$C69,2)=0))),Flows!$C70,0))</f>
        <v/>
      </c>
      <c r="T69" s="13">
        <f>IF(OR($A69="",Flows!$C70=""),0,IF(AND(15&lt;=Setup!$B$5,15&gt;=$C69,OR(AND($E69="once",15=$C69),AND($E69="weekly",15&lt;=$D69),AND($E69="biweekly",15&lt;=$D69,MOD(15-$C69,2)=0))),Flows!$C70,0))</f>
        <v/>
      </c>
      <c r="U69" s="13">
        <f>IF(OR($A69="",Flows!$C70=""),0,IF(AND(16&lt;=Setup!$B$5,16&gt;=$C69,OR(AND($E69="once",16=$C69),AND($E69="weekly",16&lt;=$D69),AND($E69="biweekly",16&lt;=$D69,MOD(16-$C69,2)=0))),Flows!$C70,0))</f>
        <v/>
      </c>
      <c r="V69" s="13">
        <f>IF(OR($A69="",Flows!$C70=""),0,IF(AND(17&lt;=Setup!$B$5,17&gt;=$C69,OR(AND($E69="once",17=$C69),AND($E69="weekly",17&lt;=$D69),AND($E69="biweekly",17&lt;=$D69,MOD(17-$C69,2)=0))),Flows!$C70,0))</f>
        <v/>
      </c>
      <c r="W69" s="13">
        <f>IF(OR($A69="",Flows!$C70=""),0,IF(AND(18&lt;=Setup!$B$5,18&gt;=$C69,OR(AND($E69="once",18=$C69),AND($E69="weekly",18&lt;=$D69),AND($E69="biweekly",18&lt;=$D69,MOD(18-$C69,2)=0))),Flows!$C70,0))</f>
        <v/>
      </c>
      <c r="X69" s="13">
        <f>IF(OR($A69="",Flows!$C70=""),0,IF(AND(19&lt;=Setup!$B$5,19&gt;=$C69,OR(AND($E69="once",19=$C69),AND($E69="weekly",19&lt;=$D69),AND($E69="biweekly",19&lt;=$D69,MOD(19-$C69,2)=0))),Flows!$C70,0))</f>
        <v/>
      </c>
      <c r="Y69" s="13">
        <f>IF(OR($A69="",Flows!$C70=""),0,IF(AND(20&lt;=Setup!$B$5,20&gt;=$C69,OR(AND($E69="once",20=$C69),AND($E69="weekly",20&lt;=$D69),AND($E69="biweekly",20&lt;=$D69,MOD(20-$C69,2)=0))),Flows!$C70,0))</f>
        <v/>
      </c>
      <c r="Z69" s="13">
        <f>IF(OR($A69="",Flows!$C70=""),0,IF(AND(21&lt;=Setup!$B$5,21&gt;=$C69,OR(AND($E69="once",21=$C69),AND($E69="weekly",21&lt;=$D69),AND($E69="biweekly",21&lt;=$D69,MOD(21-$C69,2)=0))),Flows!$C70,0))</f>
        <v/>
      </c>
      <c r="AA69" s="13">
        <f>IF(OR($A69="",Flows!$C70=""),0,IF(AND(22&lt;=Setup!$B$5,22&gt;=$C69,OR(AND($E69="once",22=$C69),AND($E69="weekly",22&lt;=$D69),AND($E69="biweekly",22&lt;=$D69,MOD(22-$C69,2)=0))),Flows!$C70,0))</f>
        <v/>
      </c>
      <c r="AB69" s="13">
        <f>IF(OR($A69="",Flows!$C70=""),0,IF(AND(23&lt;=Setup!$B$5,23&gt;=$C69,OR(AND($E69="once",23=$C69),AND($E69="weekly",23&lt;=$D69),AND($E69="biweekly",23&lt;=$D69,MOD(23-$C69,2)=0))),Flows!$C70,0))</f>
        <v/>
      </c>
      <c r="AC69" s="13">
        <f>IF(OR($A69="",Flows!$C70=""),0,IF(AND(24&lt;=Setup!$B$5,24&gt;=$C69,OR(AND($E69="once",24=$C69),AND($E69="weekly",24&lt;=$D69),AND($E69="biweekly",24&lt;=$D69,MOD(24-$C69,2)=0))),Flows!$C70,0))</f>
        <v/>
      </c>
      <c r="AD69" s="13">
        <f>IF(OR($A69="",Flows!$C70=""),0,IF(AND(25&lt;=Setup!$B$5,25&gt;=$C69,OR(AND($E69="once",25=$C69),AND($E69="weekly",25&lt;=$D69),AND($E69="biweekly",25&lt;=$D69,MOD(25-$C69,2)=0))),Flows!$C70,0))</f>
        <v/>
      </c>
      <c r="AE69" s="13">
        <f>IF(OR($A69="",Flows!$C70=""),0,IF(AND(26&lt;=Setup!$B$5,26&gt;=$C69,OR(AND($E69="once",26=$C69),AND($E69="weekly",26&lt;=$D69),AND($E69="biweekly",26&lt;=$D69,MOD(26-$C69,2)=0))),Flows!$C70,0))</f>
        <v/>
      </c>
      <c r="AF69" s="13">
        <f>IF(OR($A69="",Flows!$C70=""),0,IF(AND(27&lt;=Setup!$B$5,27&gt;=$C69,OR(AND($E69="once",27=$C69),AND($E69="weekly",27&lt;=$D69),AND($E69="biweekly",27&lt;=$D69,MOD(27-$C69,2)=0))),Flows!$C70,0))</f>
        <v/>
      </c>
      <c r="AG69" s="13">
        <f>IF(OR($A69="",Flows!$C70=""),0,IF(AND(28&lt;=Setup!$B$5,28&gt;=$C69,OR(AND($E69="once",28=$C69),AND($E69="weekly",28&lt;=$D69),AND($E69="biweekly",28&lt;=$D69,MOD(28-$C69,2)=0))),Flows!$C70,0))</f>
        <v/>
      </c>
      <c r="AH69" s="13">
        <f>IF(OR($A69="",Flows!$C70=""),0,IF(AND(29&lt;=Setup!$B$5,29&gt;=$C69,OR(AND($E69="once",29=$C69),AND($E69="weekly",29&lt;=$D69),AND($E69="biweekly",29&lt;=$D69,MOD(29-$C69,2)=0))),Flows!$C70,0))</f>
        <v/>
      </c>
      <c r="AI69" s="13">
        <f>IF(OR($A69="",Flows!$C70=""),0,IF(AND(30&lt;=Setup!$B$5,30&gt;=$C69,OR(AND($E69="once",30=$C69),AND($E69="weekly",30&lt;=$D69),AND($E69="biweekly",30&lt;=$D69,MOD(30-$C69,2)=0))),Flows!$C70,0))</f>
        <v/>
      </c>
      <c r="AJ69" s="13">
        <f>IF(OR($A69="",Flows!$C70=""),0,IF(AND(31&lt;=Setup!$B$5,31&gt;=$C69,OR(AND($E69="once",31=$C69),AND($E69="weekly",31&lt;=$D69),AND($E69="biweekly",31&lt;=$D69,MOD(31-$C69,2)=0))),Flows!$C70,0))</f>
        <v/>
      </c>
      <c r="AK69" s="13">
        <f>IF(OR($A69="",Flows!$C70=""),0,IF(AND(32&lt;=Setup!$B$5,32&gt;=$C69,OR(AND($E69="once",32=$C69),AND($E69="weekly",32&lt;=$D69),AND($E69="biweekly",32&lt;=$D69,MOD(32-$C69,2)=0))),Flows!$C70,0))</f>
        <v/>
      </c>
      <c r="AL69" s="13">
        <f>IF(OR($A69="",Flows!$C70=""),0,IF(AND(33&lt;=Setup!$B$5,33&gt;=$C69,OR(AND($E69="once",33=$C69),AND($E69="weekly",33&lt;=$D69),AND($E69="biweekly",33&lt;=$D69,MOD(33-$C69,2)=0))),Flows!$C70,0))</f>
        <v/>
      </c>
      <c r="AM69" s="13">
        <f>IF(OR($A69="",Flows!$C70=""),0,IF(AND(34&lt;=Setup!$B$5,34&gt;=$C69,OR(AND($E69="once",34=$C69),AND($E69="weekly",34&lt;=$D69),AND($E69="biweekly",34&lt;=$D69,MOD(34-$C69,2)=0))),Flows!$C70,0))</f>
        <v/>
      </c>
      <c r="AN69" s="13">
        <f>IF(OR($A69="",Flows!$C70=""),0,IF(AND(35&lt;=Setup!$B$5,35&gt;=$C69,OR(AND($E69="once",35=$C69),AND($E69="weekly",35&lt;=$D69),AND($E69="biweekly",35&lt;=$D69,MOD(35-$C69,2)=0))),Flows!$C70,0))</f>
        <v/>
      </c>
      <c r="AO69" s="13">
        <f>IF(OR($A69="",Flows!$C70=""),0,IF(AND(36&lt;=Setup!$B$5,36&gt;=$C69,OR(AND($E69="once",36=$C69),AND($E69="weekly",36&lt;=$D69),AND($E69="biweekly",36&lt;=$D69,MOD(36-$C69,2)=0))),Flows!$C70,0))</f>
        <v/>
      </c>
      <c r="AP69" s="13">
        <f>IF(OR($A69="",Flows!$C70=""),0,IF(AND(37&lt;=Setup!$B$5,37&gt;=$C69,OR(AND($E69="once",37=$C69),AND($E69="weekly",37&lt;=$D69),AND($E69="biweekly",37&lt;=$D69,MOD(37-$C69,2)=0))),Flows!$C70,0))</f>
        <v/>
      </c>
      <c r="AQ69" s="13">
        <f>IF(OR($A69="",Flows!$C70=""),0,IF(AND(38&lt;=Setup!$B$5,38&gt;=$C69,OR(AND($E69="once",38=$C69),AND($E69="weekly",38&lt;=$D69),AND($E69="biweekly",38&lt;=$D69,MOD(38-$C69,2)=0))),Flows!$C70,0))</f>
        <v/>
      </c>
      <c r="AR69" s="13">
        <f>IF(OR($A69="",Flows!$C70=""),0,IF(AND(39&lt;=Setup!$B$5,39&gt;=$C69,OR(AND($E69="once",39=$C69),AND($E69="weekly",39&lt;=$D69),AND($E69="biweekly",39&lt;=$D69,MOD(39-$C69,2)=0))),Flows!$C70,0))</f>
        <v/>
      </c>
      <c r="AS69" s="13">
        <f>IF(OR($A69="",Flows!$C70=""),0,IF(AND(40&lt;=Setup!$B$5,40&gt;=$C69,OR(AND($E69="once",40=$C69),AND($E69="weekly",40&lt;=$D69),AND($E69="biweekly",40&lt;=$D69,MOD(40-$C69,2)=0))),Flows!$C70,0))</f>
        <v/>
      </c>
      <c r="AT69" s="13">
        <f>IF(OR($A69="",Flows!$C70=""),0,IF(AND(41&lt;=Setup!$B$5,41&gt;=$C69,OR(AND($E69="once",41=$C69),AND($E69="weekly",41&lt;=$D69),AND($E69="biweekly",41&lt;=$D69,MOD(41-$C69,2)=0))),Flows!$C70,0))</f>
        <v/>
      </c>
      <c r="AU69" s="13">
        <f>IF(OR($A69="",Flows!$C70=""),0,IF(AND(42&lt;=Setup!$B$5,42&gt;=$C69,OR(AND($E69="once",42=$C69),AND($E69="weekly",42&lt;=$D69),AND($E69="biweekly",42&lt;=$D69,MOD(42-$C69,2)=0))),Flows!$C70,0))</f>
        <v/>
      </c>
      <c r="AV69" s="13">
        <f>IF(OR($A69="",Flows!$C70=""),0,IF(AND(43&lt;=Setup!$B$5,43&gt;=$C69,OR(AND($E69="once",43=$C69),AND($E69="weekly",43&lt;=$D69),AND($E69="biweekly",43&lt;=$D69,MOD(43-$C69,2)=0))),Flows!$C70,0))</f>
        <v/>
      </c>
      <c r="AW69" s="13">
        <f>IF(OR($A69="",Flows!$C70=""),0,IF(AND(44&lt;=Setup!$B$5,44&gt;=$C69,OR(AND($E69="once",44=$C69),AND($E69="weekly",44&lt;=$D69),AND($E69="biweekly",44&lt;=$D69,MOD(44-$C69,2)=0))),Flows!$C70,0))</f>
        <v/>
      </c>
      <c r="AX69" s="13">
        <f>IF(OR($A69="",Flows!$C70=""),0,IF(AND(45&lt;=Setup!$B$5,45&gt;=$C69,OR(AND($E69="once",45=$C69),AND($E69="weekly",45&lt;=$D69),AND($E69="biweekly",45&lt;=$D69,MOD(45-$C69,2)=0))),Flows!$C70,0))</f>
        <v/>
      </c>
      <c r="AY69" s="13">
        <f>IF(OR($A69="",Flows!$C70=""),0,IF(AND(46&lt;=Setup!$B$5,46&gt;=$C69,OR(AND($E69="once",46=$C69),AND($E69="weekly",46&lt;=$D69),AND($E69="biweekly",46&lt;=$D69,MOD(46-$C69,2)=0))),Flows!$C70,0))</f>
        <v/>
      </c>
      <c r="AZ69" s="13">
        <f>IF(OR($A69="",Flows!$C70=""),0,IF(AND(47&lt;=Setup!$B$5,47&gt;=$C69,OR(AND($E69="once",47=$C69),AND($E69="weekly",47&lt;=$D69),AND($E69="biweekly",47&lt;=$D69,MOD(47-$C69,2)=0))),Flows!$C70,0))</f>
        <v/>
      </c>
      <c r="BA69" s="13">
        <f>IF(OR($A69="",Flows!$C70=""),0,IF(AND(48&lt;=Setup!$B$5,48&gt;=$C69,OR(AND($E69="once",48=$C69),AND($E69="weekly",48&lt;=$D69),AND($E69="biweekly",48&lt;=$D69,MOD(48-$C69,2)=0))),Flows!$C70,0))</f>
        <v/>
      </c>
      <c r="BB69" s="13">
        <f>IF(OR($A69="",Flows!$C70=""),0,IF(AND(49&lt;=Setup!$B$5,49&gt;=$C69,OR(AND($E69="once",49=$C69),AND($E69="weekly",49&lt;=$D69),AND($E69="biweekly",49&lt;=$D69,MOD(49-$C69,2)=0))),Flows!$C70,0))</f>
        <v/>
      </c>
      <c r="BC69" s="13">
        <f>IF(OR($A69="",Flows!$C70=""),0,IF(AND(50&lt;=Setup!$B$5,50&gt;=$C69,OR(AND($E69="once",50=$C69),AND($E69="weekly",50&lt;=$D69),AND($E69="biweekly",50&lt;=$D69,MOD(50-$C69,2)=0))),Flows!$C70,0))</f>
        <v/>
      </c>
      <c r="BD69" s="13">
        <f>IF(OR($A69="",Flows!$C70=""),0,IF(AND(51&lt;=Setup!$B$5,51&gt;=$C69,OR(AND($E69="once",51=$C69),AND($E69="weekly",51&lt;=$D69),AND($E69="biweekly",51&lt;=$D69,MOD(51-$C69,2)=0))),Flows!$C70,0))</f>
        <v/>
      </c>
      <c r="BE69" s="13">
        <f>IF(OR($A69="",Flows!$C70=""),0,IF(AND(52&lt;=Setup!$B$5,52&gt;=$C69,OR(AND($E69="once",52=$C69),AND($E69="weekly",52&lt;=$D69),AND($E69="biweekly",52&lt;=$D69,MOD(52-$C69,2)=0))),Flows!$C70,0))</f>
        <v/>
      </c>
    </row>
    <row r="70">
      <c r="A70" s="7">
        <f>IF(Flows!A71="","",LOWER(Flows!A71))</f>
        <v/>
      </c>
      <c r="B70" s="7">
        <f>IF(Flows!B71="","",Flows!B71)</f>
        <v/>
      </c>
      <c r="C70" s="7">
        <f>N(Flows!D71)</f>
        <v/>
      </c>
      <c r="D70" s="7">
        <f>IF(Flows!F71="",Setup!$B$5,Flows!F71)</f>
        <v/>
      </c>
      <c r="E70" s="7">
        <f>IF(Flows!E71="","once",LOWER(Flows!E71))</f>
        <v/>
      </c>
      <c r="F70" s="13">
        <f>IF(OR($A70="",Flows!$C71=""),0,IF(AND(1&lt;=Setup!$B$5,1&gt;=$C70,OR(AND($E70="once",1=$C70),AND($E70="weekly",1&lt;=$D70),AND($E70="biweekly",1&lt;=$D70,MOD(1-$C70,2)=0))),Flows!$C71,0))</f>
        <v/>
      </c>
      <c r="G70" s="13">
        <f>IF(OR($A70="",Flows!$C71=""),0,IF(AND(2&lt;=Setup!$B$5,2&gt;=$C70,OR(AND($E70="once",2=$C70),AND($E70="weekly",2&lt;=$D70),AND($E70="biweekly",2&lt;=$D70,MOD(2-$C70,2)=0))),Flows!$C71,0))</f>
        <v/>
      </c>
      <c r="H70" s="13">
        <f>IF(OR($A70="",Flows!$C71=""),0,IF(AND(3&lt;=Setup!$B$5,3&gt;=$C70,OR(AND($E70="once",3=$C70),AND($E70="weekly",3&lt;=$D70),AND($E70="biweekly",3&lt;=$D70,MOD(3-$C70,2)=0))),Flows!$C71,0))</f>
        <v/>
      </c>
      <c r="I70" s="13">
        <f>IF(OR($A70="",Flows!$C71=""),0,IF(AND(4&lt;=Setup!$B$5,4&gt;=$C70,OR(AND($E70="once",4=$C70),AND($E70="weekly",4&lt;=$D70),AND($E70="biweekly",4&lt;=$D70,MOD(4-$C70,2)=0))),Flows!$C71,0))</f>
        <v/>
      </c>
      <c r="J70" s="13">
        <f>IF(OR($A70="",Flows!$C71=""),0,IF(AND(5&lt;=Setup!$B$5,5&gt;=$C70,OR(AND($E70="once",5=$C70),AND($E70="weekly",5&lt;=$D70),AND($E70="biweekly",5&lt;=$D70,MOD(5-$C70,2)=0))),Flows!$C71,0))</f>
        <v/>
      </c>
      <c r="K70" s="13">
        <f>IF(OR($A70="",Flows!$C71=""),0,IF(AND(6&lt;=Setup!$B$5,6&gt;=$C70,OR(AND($E70="once",6=$C70),AND($E70="weekly",6&lt;=$D70),AND($E70="biweekly",6&lt;=$D70,MOD(6-$C70,2)=0))),Flows!$C71,0))</f>
        <v/>
      </c>
      <c r="L70" s="13">
        <f>IF(OR($A70="",Flows!$C71=""),0,IF(AND(7&lt;=Setup!$B$5,7&gt;=$C70,OR(AND($E70="once",7=$C70),AND($E70="weekly",7&lt;=$D70),AND($E70="biweekly",7&lt;=$D70,MOD(7-$C70,2)=0))),Flows!$C71,0))</f>
        <v/>
      </c>
      <c r="M70" s="13">
        <f>IF(OR($A70="",Flows!$C71=""),0,IF(AND(8&lt;=Setup!$B$5,8&gt;=$C70,OR(AND($E70="once",8=$C70),AND($E70="weekly",8&lt;=$D70),AND($E70="biweekly",8&lt;=$D70,MOD(8-$C70,2)=0))),Flows!$C71,0))</f>
        <v/>
      </c>
      <c r="N70" s="13">
        <f>IF(OR($A70="",Flows!$C71=""),0,IF(AND(9&lt;=Setup!$B$5,9&gt;=$C70,OR(AND($E70="once",9=$C70),AND($E70="weekly",9&lt;=$D70),AND($E70="biweekly",9&lt;=$D70,MOD(9-$C70,2)=0))),Flows!$C71,0))</f>
        <v/>
      </c>
      <c r="O70" s="13">
        <f>IF(OR($A70="",Flows!$C71=""),0,IF(AND(10&lt;=Setup!$B$5,10&gt;=$C70,OR(AND($E70="once",10=$C70),AND($E70="weekly",10&lt;=$D70),AND($E70="biweekly",10&lt;=$D70,MOD(10-$C70,2)=0))),Flows!$C71,0))</f>
        <v/>
      </c>
      <c r="P70" s="13">
        <f>IF(OR($A70="",Flows!$C71=""),0,IF(AND(11&lt;=Setup!$B$5,11&gt;=$C70,OR(AND($E70="once",11=$C70),AND($E70="weekly",11&lt;=$D70),AND($E70="biweekly",11&lt;=$D70,MOD(11-$C70,2)=0))),Flows!$C71,0))</f>
        <v/>
      </c>
      <c r="Q70" s="13">
        <f>IF(OR($A70="",Flows!$C71=""),0,IF(AND(12&lt;=Setup!$B$5,12&gt;=$C70,OR(AND($E70="once",12=$C70),AND($E70="weekly",12&lt;=$D70),AND($E70="biweekly",12&lt;=$D70,MOD(12-$C70,2)=0))),Flows!$C71,0))</f>
        <v/>
      </c>
      <c r="R70" s="13">
        <f>IF(OR($A70="",Flows!$C71=""),0,IF(AND(13&lt;=Setup!$B$5,13&gt;=$C70,OR(AND($E70="once",13=$C70),AND($E70="weekly",13&lt;=$D70),AND($E70="biweekly",13&lt;=$D70,MOD(13-$C70,2)=0))),Flows!$C71,0))</f>
        <v/>
      </c>
      <c r="S70" s="13">
        <f>IF(OR($A70="",Flows!$C71=""),0,IF(AND(14&lt;=Setup!$B$5,14&gt;=$C70,OR(AND($E70="once",14=$C70),AND($E70="weekly",14&lt;=$D70),AND($E70="biweekly",14&lt;=$D70,MOD(14-$C70,2)=0))),Flows!$C71,0))</f>
        <v/>
      </c>
      <c r="T70" s="13">
        <f>IF(OR($A70="",Flows!$C71=""),0,IF(AND(15&lt;=Setup!$B$5,15&gt;=$C70,OR(AND($E70="once",15=$C70),AND($E70="weekly",15&lt;=$D70),AND($E70="biweekly",15&lt;=$D70,MOD(15-$C70,2)=0))),Flows!$C71,0))</f>
        <v/>
      </c>
      <c r="U70" s="13">
        <f>IF(OR($A70="",Flows!$C71=""),0,IF(AND(16&lt;=Setup!$B$5,16&gt;=$C70,OR(AND($E70="once",16=$C70),AND($E70="weekly",16&lt;=$D70),AND($E70="biweekly",16&lt;=$D70,MOD(16-$C70,2)=0))),Flows!$C71,0))</f>
        <v/>
      </c>
      <c r="V70" s="13">
        <f>IF(OR($A70="",Flows!$C71=""),0,IF(AND(17&lt;=Setup!$B$5,17&gt;=$C70,OR(AND($E70="once",17=$C70),AND($E70="weekly",17&lt;=$D70),AND($E70="biweekly",17&lt;=$D70,MOD(17-$C70,2)=0))),Flows!$C71,0))</f>
        <v/>
      </c>
      <c r="W70" s="13">
        <f>IF(OR($A70="",Flows!$C71=""),0,IF(AND(18&lt;=Setup!$B$5,18&gt;=$C70,OR(AND($E70="once",18=$C70),AND($E70="weekly",18&lt;=$D70),AND($E70="biweekly",18&lt;=$D70,MOD(18-$C70,2)=0))),Flows!$C71,0))</f>
        <v/>
      </c>
      <c r="X70" s="13">
        <f>IF(OR($A70="",Flows!$C71=""),0,IF(AND(19&lt;=Setup!$B$5,19&gt;=$C70,OR(AND($E70="once",19=$C70),AND($E70="weekly",19&lt;=$D70),AND($E70="biweekly",19&lt;=$D70,MOD(19-$C70,2)=0))),Flows!$C71,0))</f>
        <v/>
      </c>
      <c r="Y70" s="13">
        <f>IF(OR($A70="",Flows!$C71=""),0,IF(AND(20&lt;=Setup!$B$5,20&gt;=$C70,OR(AND($E70="once",20=$C70),AND($E70="weekly",20&lt;=$D70),AND($E70="biweekly",20&lt;=$D70,MOD(20-$C70,2)=0))),Flows!$C71,0))</f>
        <v/>
      </c>
      <c r="Z70" s="13">
        <f>IF(OR($A70="",Flows!$C71=""),0,IF(AND(21&lt;=Setup!$B$5,21&gt;=$C70,OR(AND($E70="once",21=$C70),AND($E70="weekly",21&lt;=$D70),AND($E70="biweekly",21&lt;=$D70,MOD(21-$C70,2)=0))),Flows!$C71,0))</f>
        <v/>
      </c>
      <c r="AA70" s="13">
        <f>IF(OR($A70="",Flows!$C71=""),0,IF(AND(22&lt;=Setup!$B$5,22&gt;=$C70,OR(AND($E70="once",22=$C70),AND($E70="weekly",22&lt;=$D70),AND($E70="biweekly",22&lt;=$D70,MOD(22-$C70,2)=0))),Flows!$C71,0))</f>
        <v/>
      </c>
      <c r="AB70" s="13">
        <f>IF(OR($A70="",Flows!$C71=""),0,IF(AND(23&lt;=Setup!$B$5,23&gt;=$C70,OR(AND($E70="once",23=$C70),AND($E70="weekly",23&lt;=$D70),AND($E70="biweekly",23&lt;=$D70,MOD(23-$C70,2)=0))),Flows!$C71,0))</f>
        <v/>
      </c>
      <c r="AC70" s="13">
        <f>IF(OR($A70="",Flows!$C71=""),0,IF(AND(24&lt;=Setup!$B$5,24&gt;=$C70,OR(AND($E70="once",24=$C70),AND($E70="weekly",24&lt;=$D70),AND($E70="biweekly",24&lt;=$D70,MOD(24-$C70,2)=0))),Flows!$C71,0))</f>
        <v/>
      </c>
      <c r="AD70" s="13">
        <f>IF(OR($A70="",Flows!$C71=""),0,IF(AND(25&lt;=Setup!$B$5,25&gt;=$C70,OR(AND($E70="once",25=$C70),AND($E70="weekly",25&lt;=$D70),AND($E70="biweekly",25&lt;=$D70,MOD(25-$C70,2)=0))),Flows!$C71,0))</f>
        <v/>
      </c>
      <c r="AE70" s="13">
        <f>IF(OR($A70="",Flows!$C71=""),0,IF(AND(26&lt;=Setup!$B$5,26&gt;=$C70,OR(AND($E70="once",26=$C70),AND($E70="weekly",26&lt;=$D70),AND($E70="biweekly",26&lt;=$D70,MOD(26-$C70,2)=0))),Flows!$C71,0))</f>
        <v/>
      </c>
      <c r="AF70" s="13">
        <f>IF(OR($A70="",Flows!$C71=""),0,IF(AND(27&lt;=Setup!$B$5,27&gt;=$C70,OR(AND($E70="once",27=$C70),AND($E70="weekly",27&lt;=$D70),AND($E70="biweekly",27&lt;=$D70,MOD(27-$C70,2)=0))),Flows!$C71,0))</f>
        <v/>
      </c>
      <c r="AG70" s="13">
        <f>IF(OR($A70="",Flows!$C71=""),0,IF(AND(28&lt;=Setup!$B$5,28&gt;=$C70,OR(AND($E70="once",28=$C70),AND($E70="weekly",28&lt;=$D70),AND($E70="biweekly",28&lt;=$D70,MOD(28-$C70,2)=0))),Flows!$C71,0))</f>
        <v/>
      </c>
      <c r="AH70" s="13">
        <f>IF(OR($A70="",Flows!$C71=""),0,IF(AND(29&lt;=Setup!$B$5,29&gt;=$C70,OR(AND($E70="once",29=$C70),AND($E70="weekly",29&lt;=$D70),AND($E70="biweekly",29&lt;=$D70,MOD(29-$C70,2)=0))),Flows!$C71,0))</f>
        <v/>
      </c>
      <c r="AI70" s="13">
        <f>IF(OR($A70="",Flows!$C71=""),0,IF(AND(30&lt;=Setup!$B$5,30&gt;=$C70,OR(AND($E70="once",30=$C70),AND($E70="weekly",30&lt;=$D70),AND($E70="biweekly",30&lt;=$D70,MOD(30-$C70,2)=0))),Flows!$C71,0))</f>
        <v/>
      </c>
      <c r="AJ70" s="13">
        <f>IF(OR($A70="",Flows!$C71=""),0,IF(AND(31&lt;=Setup!$B$5,31&gt;=$C70,OR(AND($E70="once",31=$C70),AND($E70="weekly",31&lt;=$D70),AND($E70="biweekly",31&lt;=$D70,MOD(31-$C70,2)=0))),Flows!$C71,0))</f>
        <v/>
      </c>
      <c r="AK70" s="13">
        <f>IF(OR($A70="",Flows!$C71=""),0,IF(AND(32&lt;=Setup!$B$5,32&gt;=$C70,OR(AND($E70="once",32=$C70),AND($E70="weekly",32&lt;=$D70),AND($E70="biweekly",32&lt;=$D70,MOD(32-$C70,2)=0))),Flows!$C71,0))</f>
        <v/>
      </c>
      <c r="AL70" s="13">
        <f>IF(OR($A70="",Flows!$C71=""),0,IF(AND(33&lt;=Setup!$B$5,33&gt;=$C70,OR(AND($E70="once",33=$C70),AND($E70="weekly",33&lt;=$D70),AND($E70="biweekly",33&lt;=$D70,MOD(33-$C70,2)=0))),Flows!$C71,0))</f>
        <v/>
      </c>
      <c r="AM70" s="13">
        <f>IF(OR($A70="",Flows!$C71=""),0,IF(AND(34&lt;=Setup!$B$5,34&gt;=$C70,OR(AND($E70="once",34=$C70),AND($E70="weekly",34&lt;=$D70),AND($E70="biweekly",34&lt;=$D70,MOD(34-$C70,2)=0))),Flows!$C71,0))</f>
        <v/>
      </c>
      <c r="AN70" s="13">
        <f>IF(OR($A70="",Flows!$C71=""),0,IF(AND(35&lt;=Setup!$B$5,35&gt;=$C70,OR(AND($E70="once",35=$C70),AND($E70="weekly",35&lt;=$D70),AND($E70="biweekly",35&lt;=$D70,MOD(35-$C70,2)=0))),Flows!$C71,0))</f>
        <v/>
      </c>
      <c r="AO70" s="13">
        <f>IF(OR($A70="",Flows!$C71=""),0,IF(AND(36&lt;=Setup!$B$5,36&gt;=$C70,OR(AND($E70="once",36=$C70),AND($E70="weekly",36&lt;=$D70),AND($E70="biweekly",36&lt;=$D70,MOD(36-$C70,2)=0))),Flows!$C71,0))</f>
        <v/>
      </c>
      <c r="AP70" s="13">
        <f>IF(OR($A70="",Flows!$C71=""),0,IF(AND(37&lt;=Setup!$B$5,37&gt;=$C70,OR(AND($E70="once",37=$C70),AND($E70="weekly",37&lt;=$D70),AND($E70="biweekly",37&lt;=$D70,MOD(37-$C70,2)=0))),Flows!$C71,0))</f>
        <v/>
      </c>
      <c r="AQ70" s="13">
        <f>IF(OR($A70="",Flows!$C71=""),0,IF(AND(38&lt;=Setup!$B$5,38&gt;=$C70,OR(AND($E70="once",38=$C70),AND($E70="weekly",38&lt;=$D70),AND($E70="biweekly",38&lt;=$D70,MOD(38-$C70,2)=0))),Flows!$C71,0))</f>
        <v/>
      </c>
      <c r="AR70" s="13">
        <f>IF(OR($A70="",Flows!$C71=""),0,IF(AND(39&lt;=Setup!$B$5,39&gt;=$C70,OR(AND($E70="once",39=$C70),AND($E70="weekly",39&lt;=$D70),AND($E70="biweekly",39&lt;=$D70,MOD(39-$C70,2)=0))),Flows!$C71,0))</f>
        <v/>
      </c>
      <c r="AS70" s="13">
        <f>IF(OR($A70="",Flows!$C71=""),0,IF(AND(40&lt;=Setup!$B$5,40&gt;=$C70,OR(AND($E70="once",40=$C70),AND($E70="weekly",40&lt;=$D70),AND($E70="biweekly",40&lt;=$D70,MOD(40-$C70,2)=0))),Flows!$C71,0))</f>
        <v/>
      </c>
      <c r="AT70" s="13">
        <f>IF(OR($A70="",Flows!$C71=""),0,IF(AND(41&lt;=Setup!$B$5,41&gt;=$C70,OR(AND($E70="once",41=$C70),AND($E70="weekly",41&lt;=$D70),AND($E70="biweekly",41&lt;=$D70,MOD(41-$C70,2)=0))),Flows!$C71,0))</f>
        <v/>
      </c>
      <c r="AU70" s="13">
        <f>IF(OR($A70="",Flows!$C71=""),0,IF(AND(42&lt;=Setup!$B$5,42&gt;=$C70,OR(AND($E70="once",42=$C70),AND($E70="weekly",42&lt;=$D70),AND($E70="biweekly",42&lt;=$D70,MOD(42-$C70,2)=0))),Flows!$C71,0))</f>
        <v/>
      </c>
      <c r="AV70" s="13">
        <f>IF(OR($A70="",Flows!$C71=""),0,IF(AND(43&lt;=Setup!$B$5,43&gt;=$C70,OR(AND($E70="once",43=$C70),AND($E70="weekly",43&lt;=$D70),AND($E70="biweekly",43&lt;=$D70,MOD(43-$C70,2)=0))),Flows!$C71,0))</f>
        <v/>
      </c>
      <c r="AW70" s="13">
        <f>IF(OR($A70="",Flows!$C71=""),0,IF(AND(44&lt;=Setup!$B$5,44&gt;=$C70,OR(AND($E70="once",44=$C70),AND($E70="weekly",44&lt;=$D70),AND($E70="biweekly",44&lt;=$D70,MOD(44-$C70,2)=0))),Flows!$C71,0))</f>
        <v/>
      </c>
      <c r="AX70" s="13">
        <f>IF(OR($A70="",Flows!$C71=""),0,IF(AND(45&lt;=Setup!$B$5,45&gt;=$C70,OR(AND($E70="once",45=$C70),AND($E70="weekly",45&lt;=$D70),AND($E70="biweekly",45&lt;=$D70,MOD(45-$C70,2)=0))),Flows!$C71,0))</f>
        <v/>
      </c>
      <c r="AY70" s="13">
        <f>IF(OR($A70="",Flows!$C71=""),0,IF(AND(46&lt;=Setup!$B$5,46&gt;=$C70,OR(AND($E70="once",46=$C70),AND($E70="weekly",46&lt;=$D70),AND($E70="biweekly",46&lt;=$D70,MOD(46-$C70,2)=0))),Flows!$C71,0))</f>
        <v/>
      </c>
      <c r="AZ70" s="13">
        <f>IF(OR($A70="",Flows!$C71=""),0,IF(AND(47&lt;=Setup!$B$5,47&gt;=$C70,OR(AND($E70="once",47=$C70),AND($E70="weekly",47&lt;=$D70),AND($E70="biweekly",47&lt;=$D70,MOD(47-$C70,2)=0))),Flows!$C71,0))</f>
        <v/>
      </c>
      <c r="BA70" s="13">
        <f>IF(OR($A70="",Flows!$C71=""),0,IF(AND(48&lt;=Setup!$B$5,48&gt;=$C70,OR(AND($E70="once",48=$C70),AND($E70="weekly",48&lt;=$D70),AND($E70="biweekly",48&lt;=$D70,MOD(48-$C70,2)=0))),Flows!$C71,0))</f>
        <v/>
      </c>
      <c r="BB70" s="13">
        <f>IF(OR($A70="",Flows!$C71=""),0,IF(AND(49&lt;=Setup!$B$5,49&gt;=$C70,OR(AND($E70="once",49=$C70),AND($E70="weekly",49&lt;=$D70),AND($E70="biweekly",49&lt;=$D70,MOD(49-$C70,2)=0))),Flows!$C71,0))</f>
        <v/>
      </c>
      <c r="BC70" s="13">
        <f>IF(OR($A70="",Flows!$C71=""),0,IF(AND(50&lt;=Setup!$B$5,50&gt;=$C70,OR(AND($E70="once",50=$C70),AND($E70="weekly",50&lt;=$D70),AND($E70="biweekly",50&lt;=$D70,MOD(50-$C70,2)=0))),Flows!$C71,0))</f>
        <v/>
      </c>
      <c r="BD70" s="13">
        <f>IF(OR($A70="",Flows!$C71=""),0,IF(AND(51&lt;=Setup!$B$5,51&gt;=$C70,OR(AND($E70="once",51=$C70),AND($E70="weekly",51&lt;=$D70),AND($E70="biweekly",51&lt;=$D70,MOD(51-$C70,2)=0))),Flows!$C71,0))</f>
        <v/>
      </c>
      <c r="BE70" s="13">
        <f>IF(OR($A70="",Flows!$C71=""),0,IF(AND(52&lt;=Setup!$B$5,52&gt;=$C70,OR(AND($E70="once",52=$C70),AND($E70="weekly",52&lt;=$D70),AND($E70="biweekly",52&lt;=$D70,MOD(52-$C70,2)=0))),Flows!$C71,0))</f>
        <v/>
      </c>
    </row>
    <row r="71">
      <c r="A71" s="7">
        <f>IF(Flows!A72="","",LOWER(Flows!A72))</f>
        <v/>
      </c>
      <c r="B71" s="7">
        <f>IF(Flows!B72="","",Flows!B72)</f>
        <v/>
      </c>
      <c r="C71" s="7">
        <f>N(Flows!D72)</f>
        <v/>
      </c>
      <c r="D71" s="7">
        <f>IF(Flows!F72="",Setup!$B$5,Flows!F72)</f>
        <v/>
      </c>
      <c r="E71" s="7">
        <f>IF(Flows!E72="","once",LOWER(Flows!E72))</f>
        <v/>
      </c>
      <c r="F71" s="13">
        <f>IF(OR($A71="",Flows!$C72=""),0,IF(AND(1&lt;=Setup!$B$5,1&gt;=$C71,OR(AND($E71="once",1=$C71),AND($E71="weekly",1&lt;=$D71),AND($E71="biweekly",1&lt;=$D71,MOD(1-$C71,2)=0))),Flows!$C72,0))</f>
        <v/>
      </c>
      <c r="G71" s="13">
        <f>IF(OR($A71="",Flows!$C72=""),0,IF(AND(2&lt;=Setup!$B$5,2&gt;=$C71,OR(AND($E71="once",2=$C71),AND($E71="weekly",2&lt;=$D71),AND($E71="biweekly",2&lt;=$D71,MOD(2-$C71,2)=0))),Flows!$C72,0))</f>
        <v/>
      </c>
      <c r="H71" s="13">
        <f>IF(OR($A71="",Flows!$C72=""),0,IF(AND(3&lt;=Setup!$B$5,3&gt;=$C71,OR(AND($E71="once",3=$C71),AND($E71="weekly",3&lt;=$D71),AND($E71="biweekly",3&lt;=$D71,MOD(3-$C71,2)=0))),Flows!$C72,0))</f>
        <v/>
      </c>
      <c r="I71" s="13">
        <f>IF(OR($A71="",Flows!$C72=""),0,IF(AND(4&lt;=Setup!$B$5,4&gt;=$C71,OR(AND($E71="once",4=$C71),AND($E71="weekly",4&lt;=$D71),AND($E71="biweekly",4&lt;=$D71,MOD(4-$C71,2)=0))),Flows!$C72,0))</f>
        <v/>
      </c>
      <c r="J71" s="13">
        <f>IF(OR($A71="",Flows!$C72=""),0,IF(AND(5&lt;=Setup!$B$5,5&gt;=$C71,OR(AND($E71="once",5=$C71),AND($E71="weekly",5&lt;=$D71),AND($E71="biweekly",5&lt;=$D71,MOD(5-$C71,2)=0))),Flows!$C72,0))</f>
        <v/>
      </c>
      <c r="K71" s="13">
        <f>IF(OR($A71="",Flows!$C72=""),0,IF(AND(6&lt;=Setup!$B$5,6&gt;=$C71,OR(AND($E71="once",6=$C71),AND($E71="weekly",6&lt;=$D71),AND($E71="biweekly",6&lt;=$D71,MOD(6-$C71,2)=0))),Flows!$C72,0))</f>
        <v/>
      </c>
      <c r="L71" s="13">
        <f>IF(OR($A71="",Flows!$C72=""),0,IF(AND(7&lt;=Setup!$B$5,7&gt;=$C71,OR(AND($E71="once",7=$C71),AND($E71="weekly",7&lt;=$D71),AND($E71="biweekly",7&lt;=$D71,MOD(7-$C71,2)=0))),Flows!$C72,0))</f>
        <v/>
      </c>
      <c r="M71" s="13">
        <f>IF(OR($A71="",Flows!$C72=""),0,IF(AND(8&lt;=Setup!$B$5,8&gt;=$C71,OR(AND($E71="once",8=$C71),AND($E71="weekly",8&lt;=$D71),AND($E71="biweekly",8&lt;=$D71,MOD(8-$C71,2)=0))),Flows!$C72,0))</f>
        <v/>
      </c>
      <c r="N71" s="13">
        <f>IF(OR($A71="",Flows!$C72=""),0,IF(AND(9&lt;=Setup!$B$5,9&gt;=$C71,OR(AND($E71="once",9=$C71),AND($E71="weekly",9&lt;=$D71),AND($E71="biweekly",9&lt;=$D71,MOD(9-$C71,2)=0))),Flows!$C72,0))</f>
        <v/>
      </c>
      <c r="O71" s="13">
        <f>IF(OR($A71="",Flows!$C72=""),0,IF(AND(10&lt;=Setup!$B$5,10&gt;=$C71,OR(AND($E71="once",10=$C71),AND($E71="weekly",10&lt;=$D71),AND($E71="biweekly",10&lt;=$D71,MOD(10-$C71,2)=0))),Flows!$C72,0))</f>
        <v/>
      </c>
      <c r="P71" s="13">
        <f>IF(OR($A71="",Flows!$C72=""),0,IF(AND(11&lt;=Setup!$B$5,11&gt;=$C71,OR(AND($E71="once",11=$C71),AND($E71="weekly",11&lt;=$D71),AND($E71="biweekly",11&lt;=$D71,MOD(11-$C71,2)=0))),Flows!$C72,0))</f>
        <v/>
      </c>
      <c r="Q71" s="13">
        <f>IF(OR($A71="",Flows!$C72=""),0,IF(AND(12&lt;=Setup!$B$5,12&gt;=$C71,OR(AND($E71="once",12=$C71),AND($E71="weekly",12&lt;=$D71),AND($E71="biweekly",12&lt;=$D71,MOD(12-$C71,2)=0))),Flows!$C72,0))</f>
        <v/>
      </c>
      <c r="R71" s="13">
        <f>IF(OR($A71="",Flows!$C72=""),0,IF(AND(13&lt;=Setup!$B$5,13&gt;=$C71,OR(AND($E71="once",13=$C71),AND($E71="weekly",13&lt;=$D71),AND($E71="biweekly",13&lt;=$D71,MOD(13-$C71,2)=0))),Flows!$C72,0))</f>
        <v/>
      </c>
      <c r="S71" s="13">
        <f>IF(OR($A71="",Flows!$C72=""),0,IF(AND(14&lt;=Setup!$B$5,14&gt;=$C71,OR(AND($E71="once",14=$C71),AND($E71="weekly",14&lt;=$D71),AND($E71="biweekly",14&lt;=$D71,MOD(14-$C71,2)=0))),Flows!$C72,0))</f>
        <v/>
      </c>
      <c r="T71" s="13">
        <f>IF(OR($A71="",Flows!$C72=""),0,IF(AND(15&lt;=Setup!$B$5,15&gt;=$C71,OR(AND($E71="once",15=$C71),AND($E71="weekly",15&lt;=$D71),AND($E71="biweekly",15&lt;=$D71,MOD(15-$C71,2)=0))),Flows!$C72,0))</f>
        <v/>
      </c>
      <c r="U71" s="13">
        <f>IF(OR($A71="",Flows!$C72=""),0,IF(AND(16&lt;=Setup!$B$5,16&gt;=$C71,OR(AND($E71="once",16=$C71),AND($E71="weekly",16&lt;=$D71),AND($E71="biweekly",16&lt;=$D71,MOD(16-$C71,2)=0))),Flows!$C72,0))</f>
        <v/>
      </c>
      <c r="V71" s="13">
        <f>IF(OR($A71="",Flows!$C72=""),0,IF(AND(17&lt;=Setup!$B$5,17&gt;=$C71,OR(AND($E71="once",17=$C71),AND($E71="weekly",17&lt;=$D71),AND($E71="biweekly",17&lt;=$D71,MOD(17-$C71,2)=0))),Flows!$C72,0))</f>
        <v/>
      </c>
      <c r="W71" s="13">
        <f>IF(OR($A71="",Flows!$C72=""),0,IF(AND(18&lt;=Setup!$B$5,18&gt;=$C71,OR(AND($E71="once",18=$C71),AND($E71="weekly",18&lt;=$D71),AND($E71="biweekly",18&lt;=$D71,MOD(18-$C71,2)=0))),Flows!$C72,0))</f>
        <v/>
      </c>
      <c r="X71" s="13">
        <f>IF(OR($A71="",Flows!$C72=""),0,IF(AND(19&lt;=Setup!$B$5,19&gt;=$C71,OR(AND($E71="once",19=$C71),AND($E71="weekly",19&lt;=$D71),AND($E71="biweekly",19&lt;=$D71,MOD(19-$C71,2)=0))),Flows!$C72,0))</f>
        <v/>
      </c>
      <c r="Y71" s="13">
        <f>IF(OR($A71="",Flows!$C72=""),0,IF(AND(20&lt;=Setup!$B$5,20&gt;=$C71,OR(AND($E71="once",20=$C71),AND($E71="weekly",20&lt;=$D71),AND($E71="biweekly",20&lt;=$D71,MOD(20-$C71,2)=0))),Flows!$C72,0))</f>
        <v/>
      </c>
      <c r="Z71" s="13">
        <f>IF(OR($A71="",Flows!$C72=""),0,IF(AND(21&lt;=Setup!$B$5,21&gt;=$C71,OR(AND($E71="once",21=$C71),AND($E71="weekly",21&lt;=$D71),AND($E71="biweekly",21&lt;=$D71,MOD(21-$C71,2)=0))),Flows!$C72,0))</f>
        <v/>
      </c>
      <c r="AA71" s="13">
        <f>IF(OR($A71="",Flows!$C72=""),0,IF(AND(22&lt;=Setup!$B$5,22&gt;=$C71,OR(AND($E71="once",22=$C71),AND($E71="weekly",22&lt;=$D71),AND($E71="biweekly",22&lt;=$D71,MOD(22-$C71,2)=0))),Flows!$C72,0))</f>
        <v/>
      </c>
      <c r="AB71" s="13">
        <f>IF(OR($A71="",Flows!$C72=""),0,IF(AND(23&lt;=Setup!$B$5,23&gt;=$C71,OR(AND($E71="once",23=$C71),AND($E71="weekly",23&lt;=$D71),AND($E71="biweekly",23&lt;=$D71,MOD(23-$C71,2)=0))),Flows!$C72,0))</f>
        <v/>
      </c>
      <c r="AC71" s="13">
        <f>IF(OR($A71="",Flows!$C72=""),0,IF(AND(24&lt;=Setup!$B$5,24&gt;=$C71,OR(AND($E71="once",24=$C71),AND($E71="weekly",24&lt;=$D71),AND($E71="biweekly",24&lt;=$D71,MOD(24-$C71,2)=0))),Flows!$C72,0))</f>
        <v/>
      </c>
      <c r="AD71" s="13">
        <f>IF(OR($A71="",Flows!$C72=""),0,IF(AND(25&lt;=Setup!$B$5,25&gt;=$C71,OR(AND($E71="once",25=$C71),AND($E71="weekly",25&lt;=$D71),AND($E71="biweekly",25&lt;=$D71,MOD(25-$C71,2)=0))),Flows!$C72,0))</f>
        <v/>
      </c>
      <c r="AE71" s="13">
        <f>IF(OR($A71="",Flows!$C72=""),0,IF(AND(26&lt;=Setup!$B$5,26&gt;=$C71,OR(AND($E71="once",26=$C71),AND($E71="weekly",26&lt;=$D71),AND($E71="biweekly",26&lt;=$D71,MOD(26-$C71,2)=0))),Flows!$C72,0))</f>
        <v/>
      </c>
      <c r="AF71" s="13">
        <f>IF(OR($A71="",Flows!$C72=""),0,IF(AND(27&lt;=Setup!$B$5,27&gt;=$C71,OR(AND($E71="once",27=$C71),AND($E71="weekly",27&lt;=$D71),AND($E71="biweekly",27&lt;=$D71,MOD(27-$C71,2)=0))),Flows!$C72,0))</f>
        <v/>
      </c>
      <c r="AG71" s="13">
        <f>IF(OR($A71="",Flows!$C72=""),0,IF(AND(28&lt;=Setup!$B$5,28&gt;=$C71,OR(AND($E71="once",28=$C71),AND($E71="weekly",28&lt;=$D71),AND($E71="biweekly",28&lt;=$D71,MOD(28-$C71,2)=0))),Flows!$C72,0))</f>
        <v/>
      </c>
      <c r="AH71" s="13">
        <f>IF(OR($A71="",Flows!$C72=""),0,IF(AND(29&lt;=Setup!$B$5,29&gt;=$C71,OR(AND($E71="once",29=$C71),AND($E71="weekly",29&lt;=$D71),AND($E71="biweekly",29&lt;=$D71,MOD(29-$C71,2)=0))),Flows!$C72,0))</f>
        <v/>
      </c>
      <c r="AI71" s="13">
        <f>IF(OR($A71="",Flows!$C72=""),0,IF(AND(30&lt;=Setup!$B$5,30&gt;=$C71,OR(AND($E71="once",30=$C71),AND($E71="weekly",30&lt;=$D71),AND($E71="biweekly",30&lt;=$D71,MOD(30-$C71,2)=0))),Flows!$C72,0))</f>
        <v/>
      </c>
      <c r="AJ71" s="13">
        <f>IF(OR($A71="",Flows!$C72=""),0,IF(AND(31&lt;=Setup!$B$5,31&gt;=$C71,OR(AND($E71="once",31=$C71),AND($E71="weekly",31&lt;=$D71),AND($E71="biweekly",31&lt;=$D71,MOD(31-$C71,2)=0))),Flows!$C72,0))</f>
        <v/>
      </c>
      <c r="AK71" s="13">
        <f>IF(OR($A71="",Flows!$C72=""),0,IF(AND(32&lt;=Setup!$B$5,32&gt;=$C71,OR(AND($E71="once",32=$C71),AND($E71="weekly",32&lt;=$D71),AND($E71="biweekly",32&lt;=$D71,MOD(32-$C71,2)=0))),Flows!$C72,0))</f>
        <v/>
      </c>
      <c r="AL71" s="13">
        <f>IF(OR($A71="",Flows!$C72=""),0,IF(AND(33&lt;=Setup!$B$5,33&gt;=$C71,OR(AND($E71="once",33=$C71),AND($E71="weekly",33&lt;=$D71),AND($E71="biweekly",33&lt;=$D71,MOD(33-$C71,2)=0))),Flows!$C72,0))</f>
        <v/>
      </c>
      <c r="AM71" s="13">
        <f>IF(OR($A71="",Flows!$C72=""),0,IF(AND(34&lt;=Setup!$B$5,34&gt;=$C71,OR(AND($E71="once",34=$C71),AND($E71="weekly",34&lt;=$D71),AND($E71="biweekly",34&lt;=$D71,MOD(34-$C71,2)=0))),Flows!$C72,0))</f>
        <v/>
      </c>
      <c r="AN71" s="13">
        <f>IF(OR($A71="",Flows!$C72=""),0,IF(AND(35&lt;=Setup!$B$5,35&gt;=$C71,OR(AND($E71="once",35=$C71),AND($E71="weekly",35&lt;=$D71),AND($E71="biweekly",35&lt;=$D71,MOD(35-$C71,2)=0))),Flows!$C72,0))</f>
        <v/>
      </c>
      <c r="AO71" s="13">
        <f>IF(OR($A71="",Flows!$C72=""),0,IF(AND(36&lt;=Setup!$B$5,36&gt;=$C71,OR(AND($E71="once",36=$C71),AND($E71="weekly",36&lt;=$D71),AND($E71="biweekly",36&lt;=$D71,MOD(36-$C71,2)=0))),Flows!$C72,0))</f>
        <v/>
      </c>
      <c r="AP71" s="13">
        <f>IF(OR($A71="",Flows!$C72=""),0,IF(AND(37&lt;=Setup!$B$5,37&gt;=$C71,OR(AND($E71="once",37=$C71),AND($E71="weekly",37&lt;=$D71),AND($E71="biweekly",37&lt;=$D71,MOD(37-$C71,2)=0))),Flows!$C72,0))</f>
        <v/>
      </c>
      <c r="AQ71" s="13">
        <f>IF(OR($A71="",Flows!$C72=""),0,IF(AND(38&lt;=Setup!$B$5,38&gt;=$C71,OR(AND($E71="once",38=$C71),AND($E71="weekly",38&lt;=$D71),AND($E71="biweekly",38&lt;=$D71,MOD(38-$C71,2)=0))),Flows!$C72,0))</f>
        <v/>
      </c>
      <c r="AR71" s="13">
        <f>IF(OR($A71="",Flows!$C72=""),0,IF(AND(39&lt;=Setup!$B$5,39&gt;=$C71,OR(AND($E71="once",39=$C71),AND($E71="weekly",39&lt;=$D71),AND($E71="biweekly",39&lt;=$D71,MOD(39-$C71,2)=0))),Flows!$C72,0))</f>
        <v/>
      </c>
      <c r="AS71" s="13">
        <f>IF(OR($A71="",Flows!$C72=""),0,IF(AND(40&lt;=Setup!$B$5,40&gt;=$C71,OR(AND($E71="once",40=$C71),AND($E71="weekly",40&lt;=$D71),AND($E71="biweekly",40&lt;=$D71,MOD(40-$C71,2)=0))),Flows!$C72,0))</f>
        <v/>
      </c>
      <c r="AT71" s="13">
        <f>IF(OR($A71="",Flows!$C72=""),0,IF(AND(41&lt;=Setup!$B$5,41&gt;=$C71,OR(AND($E71="once",41=$C71),AND($E71="weekly",41&lt;=$D71),AND($E71="biweekly",41&lt;=$D71,MOD(41-$C71,2)=0))),Flows!$C72,0))</f>
        <v/>
      </c>
      <c r="AU71" s="13">
        <f>IF(OR($A71="",Flows!$C72=""),0,IF(AND(42&lt;=Setup!$B$5,42&gt;=$C71,OR(AND($E71="once",42=$C71),AND($E71="weekly",42&lt;=$D71),AND($E71="biweekly",42&lt;=$D71,MOD(42-$C71,2)=0))),Flows!$C72,0))</f>
        <v/>
      </c>
      <c r="AV71" s="13">
        <f>IF(OR($A71="",Flows!$C72=""),0,IF(AND(43&lt;=Setup!$B$5,43&gt;=$C71,OR(AND($E71="once",43=$C71),AND($E71="weekly",43&lt;=$D71),AND($E71="biweekly",43&lt;=$D71,MOD(43-$C71,2)=0))),Flows!$C72,0))</f>
        <v/>
      </c>
      <c r="AW71" s="13">
        <f>IF(OR($A71="",Flows!$C72=""),0,IF(AND(44&lt;=Setup!$B$5,44&gt;=$C71,OR(AND($E71="once",44=$C71),AND($E71="weekly",44&lt;=$D71),AND($E71="biweekly",44&lt;=$D71,MOD(44-$C71,2)=0))),Flows!$C72,0))</f>
        <v/>
      </c>
      <c r="AX71" s="13">
        <f>IF(OR($A71="",Flows!$C72=""),0,IF(AND(45&lt;=Setup!$B$5,45&gt;=$C71,OR(AND($E71="once",45=$C71),AND($E71="weekly",45&lt;=$D71),AND($E71="biweekly",45&lt;=$D71,MOD(45-$C71,2)=0))),Flows!$C72,0))</f>
        <v/>
      </c>
      <c r="AY71" s="13">
        <f>IF(OR($A71="",Flows!$C72=""),0,IF(AND(46&lt;=Setup!$B$5,46&gt;=$C71,OR(AND($E71="once",46=$C71),AND($E71="weekly",46&lt;=$D71),AND($E71="biweekly",46&lt;=$D71,MOD(46-$C71,2)=0))),Flows!$C72,0))</f>
        <v/>
      </c>
      <c r="AZ71" s="13">
        <f>IF(OR($A71="",Flows!$C72=""),0,IF(AND(47&lt;=Setup!$B$5,47&gt;=$C71,OR(AND($E71="once",47=$C71),AND($E71="weekly",47&lt;=$D71),AND($E71="biweekly",47&lt;=$D71,MOD(47-$C71,2)=0))),Flows!$C72,0))</f>
        <v/>
      </c>
      <c r="BA71" s="13">
        <f>IF(OR($A71="",Flows!$C72=""),0,IF(AND(48&lt;=Setup!$B$5,48&gt;=$C71,OR(AND($E71="once",48=$C71),AND($E71="weekly",48&lt;=$D71),AND($E71="biweekly",48&lt;=$D71,MOD(48-$C71,2)=0))),Flows!$C72,0))</f>
        <v/>
      </c>
      <c r="BB71" s="13">
        <f>IF(OR($A71="",Flows!$C72=""),0,IF(AND(49&lt;=Setup!$B$5,49&gt;=$C71,OR(AND($E71="once",49=$C71),AND($E71="weekly",49&lt;=$D71),AND($E71="biweekly",49&lt;=$D71,MOD(49-$C71,2)=0))),Flows!$C72,0))</f>
        <v/>
      </c>
      <c r="BC71" s="13">
        <f>IF(OR($A71="",Flows!$C72=""),0,IF(AND(50&lt;=Setup!$B$5,50&gt;=$C71,OR(AND($E71="once",50=$C71),AND($E71="weekly",50&lt;=$D71),AND($E71="biweekly",50&lt;=$D71,MOD(50-$C71,2)=0))),Flows!$C72,0))</f>
        <v/>
      </c>
      <c r="BD71" s="13">
        <f>IF(OR($A71="",Flows!$C72=""),0,IF(AND(51&lt;=Setup!$B$5,51&gt;=$C71,OR(AND($E71="once",51=$C71),AND($E71="weekly",51&lt;=$D71),AND($E71="biweekly",51&lt;=$D71,MOD(51-$C71,2)=0))),Flows!$C72,0))</f>
        <v/>
      </c>
      <c r="BE71" s="13">
        <f>IF(OR($A71="",Flows!$C72=""),0,IF(AND(52&lt;=Setup!$B$5,52&gt;=$C71,OR(AND($E71="once",52=$C71),AND($E71="weekly",52&lt;=$D71),AND($E71="biweekly",52&lt;=$D71,MOD(52-$C71,2)=0))),Flows!$C72,0))</f>
        <v/>
      </c>
    </row>
    <row r="72">
      <c r="A72" s="7">
        <f>IF(Flows!A73="","",LOWER(Flows!A73))</f>
        <v/>
      </c>
      <c r="B72" s="7">
        <f>IF(Flows!B73="","",Flows!B73)</f>
        <v/>
      </c>
      <c r="C72" s="7">
        <f>N(Flows!D73)</f>
        <v/>
      </c>
      <c r="D72" s="7">
        <f>IF(Flows!F73="",Setup!$B$5,Flows!F73)</f>
        <v/>
      </c>
      <c r="E72" s="7">
        <f>IF(Flows!E73="","once",LOWER(Flows!E73))</f>
        <v/>
      </c>
      <c r="F72" s="13">
        <f>IF(OR($A72="",Flows!$C73=""),0,IF(AND(1&lt;=Setup!$B$5,1&gt;=$C72,OR(AND($E72="once",1=$C72),AND($E72="weekly",1&lt;=$D72),AND($E72="biweekly",1&lt;=$D72,MOD(1-$C72,2)=0))),Flows!$C73,0))</f>
        <v/>
      </c>
      <c r="G72" s="13">
        <f>IF(OR($A72="",Flows!$C73=""),0,IF(AND(2&lt;=Setup!$B$5,2&gt;=$C72,OR(AND($E72="once",2=$C72),AND($E72="weekly",2&lt;=$D72),AND($E72="biweekly",2&lt;=$D72,MOD(2-$C72,2)=0))),Flows!$C73,0))</f>
        <v/>
      </c>
      <c r="H72" s="13">
        <f>IF(OR($A72="",Flows!$C73=""),0,IF(AND(3&lt;=Setup!$B$5,3&gt;=$C72,OR(AND($E72="once",3=$C72),AND($E72="weekly",3&lt;=$D72),AND($E72="biweekly",3&lt;=$D72,MOD(3-$C72,2)=0))),Flows!$C73,0))</f>
        <v/>
      </c>
      <c r="I72" s="13">
        <f>IF(OR($A72="",Flows!$C73=""),0,IF(AND(4&lt;=Setup!$B$5,4&gt;=$C72,OR(AND($E72="once",4=$C72),AND($E72="weekly",4&lt;=$D72),AND($E72="biweekly",4&lt;=$D72,MOD(4-$C72,2)=0))),Flows!$C73,0))</f>
        <v/>
      </c>
      <c r="J72" s="13">
        <f>IF(OR($A72="",Flows!$C73=""),0,IF(AND(5&lt;=Setup!$B$5,5&gt;=$C72,OR(AND($E72="once",5=$C72),AND($E72="weekly",5&lt;=$D72),AND($E72="biweekly",5&lt;=$D72,MOD(5-$C72,2)=0))),Flows!$C73,0))</f>
        <v/>
      </c>
      <c r="K72" s="13">
        <f>IF(OR($A72="",Flows!$C73=""),0,IF(AND(6&lt;=Setup!$B$5,6&gt;=$C72,OR(AND($E72="once",6=$C72),AND($E72="weekly",6&lt;=$D72),AND($E72="biweekly",6&lt;=$D72,MOD(6-$C72,2)=0))),Flows!$C73,0))</f>
        <v/>
      </c>
      <c r="L72" s="13">
        <f>IF(OR($A72="",Flows!$C73=""),0,IF(AND(7&lt;=Setup!$B$5,7&gt;=$C72,OR(AND($E72="once",7=$C72),AND($E72="weekly",7&lt;=$D72),AND($E72="biweekly",7&lt;=$D72,MOD(7-$C72,2)=0))),Flows!$C73,0))</f>
        <v/>
      </c>
      <c r="M72" s="13">
        <f>IF(OR($A72="",Flows!$C73=""),0,IF(AND(8&lt;=Setup!$B$5,8&gt;=$C72,OR(AND($E72="once",8=$C72),AND($E72="weekly",8&lt;=$D72),AND($E72="biweekly",8&lt;=$D72,MOD(8-$C72,2)=0))),Flows!$C73,0))</f>
        <v/>
      </c>
      <c r="N72" s="13">
        <f>IF(OR($A72="",Flows!$C73=""),0,IF(AND(9&lt;=Setup!$B$5,9&gt;=$C72,OR(AND($E72="once",9=$C72),AND($E72="weekly",9&lt;=$D72),AND($E72="biweekly",9&lt;=$D72,MOD(9-$C72,2)=0))),Flows!$C73,0))</f>
        <v/>
      </c>
      <c r="O72" s="13">
        <f>IF(OR($A72="",Flows!$C73=""),0,IF(AND(10&lt;=Setup!$B$5,10&gt;=$C72,OR(AND($E72="once",10=$C72),AND($E72="weekly",10&lt;=$D72),AND($E72="biweekly",10&lt;=$D72,MOD(10-$C72,2)=0))),Flows!$C73,0))</f>
        <v/>
      </c>
      <c r="P72" s="13">
        <f>IF(OR($A72="",Flows!$C73=""),0,IF(AND(11&lt;=Setup!$B$5,11&gt;=$C72,OR(AND($E72="once",11=$C72),AND($E72="weekly",11&lt;=$D72),AND($E72="biweekly",11&lt;=$D72,MOD(11-$C72,2)=0))),Flows!$C73,0))</f>
        <v/>
      </c>
      <c r="Q72" s="13">
        <f>IF(OR($A72="",Flows!$C73=""),0,IF(AND(12&lt;=Setup!$B$5,12&gt;=$C72,OR(AND($E72="once",12=$C72),AND($E72="weekly",12&lt;=$D72),AND($E72="biweekly",12&lt;=$D72,MOD(12-$C72,2)=0))),Flows!$C73,0))</f>
        <v/>
      </c>
      <c r="R72" s="13">
        <f>IF(OR($A72="",Flows!$C73=""),0,IF(AND(13&lt;=Setup!$B$5,13&gt;=$C72,OR(AND($E72="once",13=$C72),AND($E72="weekly",13&lt;=$D72),AND($E72="biweekly",13&lt;=$D72,MOD(13-$C72,2)=0))),Flows!$C73,0))</f>
        <v/>
      </c>
      <c r="S72" s="13">
        <f>IF(OR($A72="",Flows!$C73=""),0,IF(AND(14&lt;=Setup!$B$5,14&gt;=$C72,OR(AND($E72="once",14=$C72),AND($E72="weekly",14&lt;=$D72),AND($E72="biweekly",14&lt;=$D72,MOD(14-$C72,2)=0))),Flows!$C73,0))</f>
        <v/>
      </c>
      <c r="T72" s="13">
        <f>IF(OR($A72="",Flows!$C73=""),0,IF(AND(15&lt;=Setup!$B$5,15&gt;=$C72,OR(AND($E72="once",15=$C72),AND($E72="weekly",15&lt;=$D72),AND($E72="biweekly",15&lt;=$D72,MOD(15-$C72,2)=0))),Flows!$C73,0))</f>
        <v/>
      </c>
      <c r="U72" s="13">
        <f>IF(OR($A72="",Flows!$C73=""),0,IF(AND(16&lt;=Setup!$B$5,16&gt;=$C72,OR(AND($E72="once",16=$C72),AND($E72="weekly",16&lt;=$D72),AND($E72="biweekly",16&lt;=$D72,MOD(16-$C72,2)=0))),Flows!$C73,0))</f>
        <v/>
      </c>
      <c r="V72" s="13">
        <f>IF(OR($A72="",Flows!$C73=""),0,IF(AND(17&lt;=Setup!$B$5,17&gt;=$C72,OR(AND($E72="once",17=$C72),AND($E72="weekly",17&lt;=$D72),AND($E72="biweekly",17&lt;=$D72,MOD(17-$C72,2)=0))),Flows!$C73,0))</f>
        <v/>
      </c>
      <c r="W72" s="13">
        <f>IF(OR($A72="",Flows!$C73=""),0,IF(AND(18&lt;=Setup!$B$5,18&gt;=$C72,OR(AND($E72="once",18=$C72),AND($E72="weekly",18&lt;=$D72),AND($E72="biweekly",18&lt;=$D72,MOD(18-$C72,2)=0))),Flows!$C73,0))</f>
        <v/>
      </c>
      <c r="X72" s="13">
        <f>IF(OR($A72="",Flows!$C73=""),0,IF(AND(19&lt;=Setup!$B$5,19&gt;=$C72,OR(AND($E72="once",19=$C72),AND($E72="weekly",19&lt;=$D72),AND($E72="biweekly",19&lt;=$D72,MOD(19-$C72,2)=0))),Flows!$C73,0))</f>
        <v/>
      </c>
      <c r="Y72" s="13">
        <f>IF(OR($A72="",Flows!$C73=""),0,IF(AND(20&lt;=Setup!$B$5,20&gt;=$C72,OR(AND($E72="once",20=$C72),AND($E72="weekly",20&lt;=$D72),AND($E72="biweekly",20&lt;=$D72,MOD(20-$C72,2)=0))),Flows!$C73,0))</f>
        <v/>
      </c>
      <c r="Z72" s="13">
        <f>IF(OR($A72="",Flows!$C73=""),0,IF(AND(21&lt;=Setup!$B$5,21&gt;=$C72,OR(AND($E72="once",21=$C72),AND($E72="weekly",21&lt;=$D72),AND($E72="biweekly",21&lt;=$D72,MOD(21-$C72,2)=0))),Flows!$C73,0))</f>
        <v/>
      </c>
      <c r="AA72" s="13">
        <f>IF(OR($A72="",Flows!$C73=""),0,IF(AND(22&lt;=Setup!$B$5,22&gt;=$C72,OR(AND($E72="once",22=$C72),AND($E72="weekly",22&lt;=$D72),AND($E72="biweekly",22&lt;=$D72,MOD(22-$C72,2)=0))),Flows!$C73,0))</f>
        <v/>
      </c>
      <c r="AB72" s="13">
        <f>IF(OR($A72="",Flows!$C73=""),0,IF(AND(23&lt;=Setup!$B$5,23&gt;=$C72,OR(AND($E72="once",23=$C72),AND($E72="weekly",23&lt;=$D72),AND($E72="biweekly",23&lt;=$D72,MOD(23-$C72,2)=0))),Flows!$C73,0))</f>
        <v/>
      </c>
      <c r="AC72" s="13">
        <f>IF(OR($A72="",Flows!$C73=""),0,IF(AND(24&lt;=Setup!$B$5,24&gt;=$C72,OR(AND($E72="once",24=$C72),AND($E72="weekly",24&lt;=$D72),AND($E72="biweekly",24&lt;=$D72,MOD(24-$C72,2)=0))),Flows!$C73,0))</f>
        <v/>
      </c>
      <c r="AD72" s="13">
        <f>IF(OR($A72="",Flows!$C73=""),0,IF(AND(25&lt;=Setup!$B$5,25&gt;=$C72,OR(AND($E72="once",25=$C72),AND($E72="weekly",25&lt;=$D72),AND($E72="biweekly",25&lt;=$D72,MOD(25-$C72,2)=0))),Flows!$C73,0))</f>
        <v/>
      </c>
      <c r="AE72" s="13">
        <f>IF(OR($A72="",Flows!$C73=""),0,IF(AND(26&lt;=Setup!$B$5,26&gt;=$C72,OR(AND($E72="once",26=$C72),AND($E72="weekly",26&lt;=$D72),AND($E72="biweekly",26&lt;=$D72,MOD(26-$C72,2)=0))),Flows!$C73,0))</f>
        <v/>
      </c>
      <c r="AF72" s="13">
        <f>IF(OR($A72="",Flows!$C73=""),0,IF(AND(27&lt;=Setup!$B$5,27&gt;=$C72,OR(AND($E72="once",27=$C72),AND($E72="weekly",27&lt;=$D72),AND($E72="biweekly",27&lt;=$D72,MOD(27-$C72,2)=0))),Flows!$C73,0))</f>
        <v/>
      </c>
      <c r="AG72" s="13">
        <f>IF(OR($A72="",Flows!$C73=""),0,IF(AND(28&lt;=Setup!$B$5,28&gt;=$C72,OR(AND($E72="once",28=$C72),AND($E72="weekly",28&lt;=$D72),AND($E72="biweekly",28&lt;=$D72,MOD(28-$C72,2)=0))),Flows!$C73,0))</f>
        <v/>
      </c>
      <c r="AH72" s="13">
        <f>IF(OR($A72="",Flows!$C73=""),0,IF(AND(29&lt;=Setup!$B$5,29&gt;=$C72,OR(AND($E72="once",29=$C72),AND($E72="weekly",29&lt;=$D72),AND($E72="biweekly",29&lt;=$D72,MOD(29-$C72,2)=0))),Flows!$C73,0))</f>
        <v/>
      </c>
      <c r="AI72" s="13">
        <f>IF(OR($A72="",Flows!$C73=""),0,IF(AND(30&lt;=Setup!$B$5,30&gt;=$C72,OR(AND($E72="once",30=$C72),AND($E72="weekly",30&lt;=$D72),AND($E72="biweekly",30&lt;=$D72,MOD(30-$C72,2)=0))),Flows!$C73,0))</f>
        <v/>
      </c>
      <c r="AJ72" s="13">
        <f>IF(OR($A72="",Flows!$C73=""),0,IF(AND(31&lt;=Setup!$B$5,31&gt;=$C72,OR(AND($E72="once",31=$C72),AND($E72="weekly",31&lt;=$D72),AND($E72="biweekly",31&lt;=$D72,MOD(31-$C72,2)=0))),Flows!$C73,0))</f>
        <v/>
      </c>
      <c r="AK72" s="13">
        <f>IF(OR($A72="",Flows!$C73=""),0,IF(AND(32&lt;=Setup!$B$5,32&gt;=$C72,OR(AND($E72="once",32=$C72),AND($E72="weekly",32&lt;=$D72),AND($E72="biweekly",32&lt;=$D72,MOD(32-$C72,2)=0))),Flows!$C73,0))</f>
        <v/>
      </c>
      <c r="AL72" s="13">
        <f>IF(OR($A72="",Flows!$C73=""),0,IF(AND(33&lt;=Setup!$B$5,33&gt;=$C72,OR(AND($E72="once",33=$C72),AND($E72="weekly",33&lt;=$D72),AND($E72="biweekly",33&lt;=$D72,MOD(33-$C72,2)=0))),Flows!$C73,0))</f>
        <v/>
      </c>
      <c r="AM72" s="13">
        <f>IF(OR($A72="",Flows!$C73=""),0,IF(AND(34&lt;=Setup!$B$5,34&gt;=$C72,OR(AND($E72="once",34=$C72),AND($E72="weekly",34&lt;=$D72),AND($E72="biweekly",34&lt;=$D72,MOD(34-$C72,2)=0))),Flows!$C73,0))</f>
        <v/>
      </c>
      <c r="AN72" s="13">
        <f>IF(OR($A72="",Flows!$C73=""),0,IF(AND(35&lt;=Setup!$B$5,35&gt;=$C72,OR(AND($E72="once",35=$C72),AND($E72="weekly",35&lt;=$D72),AND($E72="biweekly",35&lt;=$D72,MOD(35-$C72,2)=0))),Flows!$C73,0))</f>
        <v/>
      </c>
      <c r="AO72" s="13">
        <f>IF(OR($A72="",Flows!$C73=""),0,IF(AND(36&lt;=Setup!$B$5,36&gt;=$C72,OR(AND($E72="once",36=$C72),AND($E72="weekly",36&lt;=$D72),AND($E72="biweekly",36&lt;=$D72,MOD(36-$C72,2)=0))),Flows!$C73,0))</f>
        <v/>
      </c>
      <c r="AP72" s="13">
        <f>IF(OR($A72="",Flows!$C73=""),0,IF(AND(37&lt;=Setup!$B$5,37&gt;=$C72,OR(AND($E72="once",37=$C72),AND($E72="weekly",37&lt;=$D72),AND($E72="biweekly",37&lt;=$D72,MOD(37-$C72,2)=0))),Flows!$C73,0))</f>
        <v/>
      </c>
      <c r="AQ72" s="13">
        <f>IF(OR($A72="",Flows!$C73=""),0,IF(AND(38&lt;=Setup!$B$5,38&gt;=$C72,OR(AND($E72="once",38=$C72),AND($E72="weekly",38&lt;=$D72),AND($E72="biweekly",38&lt;=$D72,MOD(38-$C72,2)=0))),Flows!$C73,0))</f>
        <v/>
      </c>
      <c r="AR72" s="13">
        <f>IF(OR($A72="",Flows!$C73=""),0,IF(AND(39&lt;=Setup!$B$5,39&gt;=$C72,OR(AND($E72="once",39=$C72),AND($E72="weekly",39&lt;=$D72),AND($E72="biweekly",39&lt;=$D72,MOD(39-$C72,2)=0))),Flows!$C73,0))</f>
        <v/>
      </c>
      <c r="AS72" s="13">
        <f>IF(OR($A72="",Flows!$C73=""),0,IF(AND(40&lt;=Setup!$B$5,40&gt;=$C72,OR(AND($E72="once",40=$C72),AND($E72="weekly",40&lt;=$D72),AND($E72="biweekly",40&lt;=$D72,MOD(40-$C72,2)=0))),Flows!$C73,0))</f>
        <v/>
      </c>
      <c r="AT72" s="13">
        <f>IF(OR($A72="",Flows!$C73=""),0,IF(AND(41&lt;=Setup!$B$5,41&gt;=$C72,OR(AND($E72="once",41=$C72),AND($E72="weekly",41&lt;=$D72),AND($E72="biweekly",41&lt;=$D72,MOD(41-$C72,2)=0))),Flows!$C73,0))</f>
        <v/>
      </c>
      <c r="AU72" s="13">
        <f>IF(OR($A72="",Flows!$C73=""),0,IF(AND(42&lt;=Setup!$B$5,42&gt;=$C72,OR(AND($E72="once",42=$C72),AND($E72="weekly",42&lt;=$D72),AND($E72="biweekly",42&lt;=$D72,MOD(42-$C72,2)=0))),Flows!$C73,0))</f>
        <v/>
      </c>
      <c r="AV72" s="13">
        <f>IF(OR($A72="",Flows!$C73=""),0,IF(AND(43&lt;=Setup!$B$5,43&gt;=$C72,OR(AND($E72="once",43=$C72),AND($E72="weekly",43&lt;=$D72),AND($E72="biweekly",43&lt;=$D72,MOD(43-$C72,2)=0))),Flows!$C73,0))</f>
        <v/>
      </c>
      <c r="AW72" s="13">
        <f>IF(OR($A72="",Flows!$C73=""),0,IF(AND(44&lt;=Setup!$B$5,44&gt;=$C72,OR(AND($E72="once",44=$C72),AND($E72="weekly",44&lt;=$D72),AND($E72="biweekly",44&lt;=$D72,MOD(44-$C72,2)=0))),Flows!$C73,0))</f>
        <v/>
      </c>
      <c r="AX72" s="13">
        <f>IF(OR($A72="",Flows!$C73=""),0,IF(AND(45&lt;=Setup!$B$5,45&gt;=$C72,OR(AND($E72="once",45=$C72),AND($E72="weekly",45&lt;=$D72),AND($E72="biweekly",45&lt;=$D72,MOD(45-$C72,2)=0))),Flows!$C73,0))</f>
        <v/>
      </c>
      <c r="AY72" s="13">
        <f>IF(OR($A72="",Flows!$C73=""),0,IF(AND(46&lt;=Setup!$B$5,46&gt;=$C72,OR(AND($E72="once",46=$C72),AND($E72="weekly",46&lt;=$D72),AND($E72="biweekly",46&lt;=$D72,MOD(46-$C72,2)=0))),Flows!$C73,0))</f>
        <v/>
      </c>
      <c r="AZ72" s="13">
        <f>IF(OR($A72="",Flows!$C73=""),0,IF(AND(47&lt;=Setup!$B$5,47&gt;=$C72,OR(AND($E72="once",47=$C72),AND($E72="weekly",47&lt;=$D72),AND($E72="biweekly",47&lt;=$D72,MOD(47-$C72,2)=0))),Flows!$C73,0))</f>
        <v/>
      </c>
      <c r="BA72" s="13">
        <f>IF(OR($A72="",Flows!$C73=""),0,IF(AND(48&lt;=Setup!$B$5,48&gt;=$C72,OR(AND($E72="once",48=$C72),AND($E72="weekly",48&lt;=$D72),AND($E72="biweekly",48&lt;=$D72,MOD(48-$C72,2)=0))),Flows!$C73,0))</f>
        <v/>
      </c>
      <c r="BB72" s="13">
        <f>IF(OR($A72="",Flows!$C73=""),0,IF(AND(49&lt;=Setup!$B$5,49&gt;=$C72,OR(AND($E72="once",49=$C72),AND($E72="weekly",49&lt;=$D72),AND($E72="biweekly",49&lt;=$D72,MOD(49-$C72,2)=0))),Flows!$C73,0))</f>
        <v/>
      </c>
      <c r="BC72" s="13">
        <f>IF(OR($A72="",Flows!$C73=""),0,IF(AND(50&lt;=Setup!$B$5,50&gt;=$C72,OR(AND($E72="once",50=$C72),AND($E72="weekly",50&lt;=$D72),AND($E72="biweekly",50&lt;=$D72,MOD(50-$C72,2)=0))),Flows!$C73,0))</f>
        <v/>
      </c>
      <c r="BD72" s="13">
        <f>IF(OR($A72="",Flows!$C73=""),0,IF(AND(51&lt;=Setup!$B$5,51&gt;=$C72,OR(AND($E72="once",51=$C72),AND($E72="weekly",51&lt;=$D72),AND($E72="biweekly",51&lt;=$D72,MOD(51-$C72,2)=0))),Flows!$C73,0))</f>
        <v/>
      </c>
      <c r="BE72" s="13">
        <f>IF(OR($A72="",Flows!$C73=""),0,IF(AND(52&lt;=Setup!$B$5,52&gt;=$C72,OR(AND($E72="once",52=$C72),AND($E72="weekly",52&lt;=$D72),AND($E72="biweekly",52&lt;=$D72,MOD(52-$C72,2)=0))),Flows!$C73,0))</f>
        <v/>
      </c>
    </row>
    <row r="73">
      <c r="A73" s="7">
        <f>IF(Flows!A74="","",LOWER(Flows!A74))</f>
        <v/>
      </c>
      <c r="B73" s="7">
        <f>IF(Flows!B74="","",Flows!B74)</f>
        <v/>
      </c>
      <c r="C73" s="7">
        <f>N(Flows!D74)</f>
        <v/>
      </c>
      <c r="D73" s="7">
        <f>IF(Flows!F74="",Setup!$B$5,Flows!F74)</f>
        <v/>
      </c>
      <c r="E73" s="7">
        <f>IF(Flows!E74="","once",LOWER(Flows!E74))</f>
        <v/>
      </c>
      <c r="F73" s="13">
        <f>IF(OR($A73="",Flows!$C74=""),0,IF(AND(1&lt;=Setup!$B$5,1&gt;=$C73,OR(AND($E73="once",1=$C73),AND($E73="weekly",1&lt;=$D73),AND($E73="biweekly",1&lt;=$D73,MOD(1-$C73,2)=0))),Flows!$C74,0))</f>
        <v/>
      </c>
      <c r="G73" s="13">
        <f>IF(OR($A73="",Flows!$C74=""),0,IF(AND(2&lt;=Setup!$B$5,2&gt;=$C73,OR(AND($E73="once",2=$C73),AND($E73="weekly",2&lt;=$D73),AND($E73="biweekly",2&lt;=$D73,MOD(2-$C73,2)=0))),Flows!$C74,0))</f>
        <v/>
      </c>
      <c r="H73" s="13">
        <f>IF(OR($A73="",Flows!$C74=""),0,IF(AND(3&lt;=Setup!$B$5,3&gt;=$C73,OR(AND($E73="once",3=$C73),AND($E73="weekly",3&lt;=$D73),AND($E73="biweekly",3&lt;=$D73,MOD(3-$C73,2)=0))),Flows!$C74,0))</f>
        <v/>
      </c>
      <c r="I73" s="13">
        <f>IF(OR($A73="",Flows!$C74=""),0,IF(AND(4&lt;=Setup!$B$5,4&gt;=$C73,OR(AND($E73="once",4=$C73),AND($E73="weekly",4&lt;=$D73),AND($E73="biweekly",4&lt;=$D73,MOD(4-$C73,2)=0))),Flows!$C74,0))</f>
        <v/>
      </c>
      <c r="J73" s="13">
        <f>IF(OR($A73="",Flows!$C74=""),0,IF(AND(5&lt;=Setup!$B$5,5&gt;=$C73,OR(AND($E73="once",5=$C73),AND($E73="weekly",5&lt;=$D73),AND($E73="biweekly",5&lt;=$D73,MOD(5-$C73,2)=0))),Flows!$C74,0))</f>
        <v/>
      </c>
      <c r="K73" s="13">
        <f>IF(OR($A73="",Flows!$C74=""),0,IF(AND(6&lt;=Setup!$B$5,6&gt;=$C73,OR(AND($E73="once",6=$C73),AND($E73="weekly",6&lt;=$D73),AND($E73="biweekly",6&lt;=$D73,MOD(6-$C73,2)=0))),Flows!$C74,0))</f>
        <v/>
      </c>
      <c r="L73" s="13">
        <f>IF(OR($A73="",Flows!$C74=""),0,IF(AND(7&lt;=Setup!$B$5,7&gt;=$C73,OR(AND($E73="once",7=$C73),AND($E73="weekly",7&lt;=$D73),AND($E73="biweekly",7&lt;=$D73,MOD(7-$C73,2)=0))),Flows!$C74,0))</f>
        <v/>
      </c>
      <c r="M73" s="13">
        <f>IF(OR($A73="",Flows!$C74=""),0,IF(AND(8&lt;=Setup!$B$5,8&gt;=$C73,OR(AND($E73="once",8=$C73),AND($E73="weekly",8&lt;=$D73),AND($E73="biweekly",8&lt;=$D73,MOD(8-$C73,2)=0))),Flows!$C74,0))</f>
        <v/>
      </c>
      <c r="N73" s="13">
        <f>IF(OR($A73="",Flows!$C74=""),0,IF(AND(9&lt;=Setup!$B$5,9&gt;=$C73,OR(AND($E73="once",9=$C73),AND($E73="weekly",9&lt;=$D73),AND($E73="biweekly",9&lt;=$D73,MOD(9-$C73,2)=0))),Flows!$C74,0))</f>
        <v/>
      </c>
      <c r="O73" s="13">
        <f>IF(OR($A73="",Flows!$C74=""),0,IF(AND(10&lt;=Setup!$B$5,10&gt;=$C73,OR(AND($E73="once",10=$C73),AND($E73="weekly",10&lt;=$D73),AND($E73="biweekly",10&lt;=$D73,MOD(10-$C73,2)=0))),Flows!$C74,0))</f>
        <v/>
      </c>
      <c r="P73" s="13">
        <f>IF(OR($A73="",Flows!$C74=""),0,IF(AND(11&lt;=Setup!$B$5,11&gt;=$C73,OR(AND($E73="once",11=$C73),AND($E73="weekly",11&lt;=$D73),AND($E73="biweekly",11&lt;=$D73,MOD(11-$C73,2)=0))),Flows!$C74,0))</f>
        <v/>
      </c>
      <c r="Q73" s="13">
        <f>IF(OR($A73="",Flows!$C74=""),0,IF(AND(12&lt;=Setup!$B$5,12&gt;=$C73,OR(AND($E73="once",12=$C73),AND($E73="weekly",12&lt;=$D73),AND($E73="biweekly",12&lt;=$D73,MOD(12-$C73,2)=0))),Flows!$C74,0))</f>
        <v/>
      </c>
      <c r="R73" s="13">
        <f>IF(OR($A73="",Flows!$C74=""),0,IF(AND(13&lt;=Setup!$B$5,13&gt;=$C73,OR(AND($E73="once",13=$C73),AND($E73="weekly",13&lt;=$D73),AND($E73="biweekly",13&lt;=$D73,MOD(13-$C73,2)=0))),Flows!$C74,0))</f>
        <v/>
      </c>
      <c r="S73" s="13">
        <f>IF(OR($A73="",Flows!$C74=""),0,IF(AND(14&lt;=Setup!$B$5,14&gt;=$C73,OR(AND($E73="once",14=$C73),AND($E73="weekly",14&lt;=$D73),AND($E73="biweekly",14&lt;=$D73,MOD(14-$C73,2)=0))),Flows!$C74,0))</f>
        <v/>
      </c>
      <c r="T73" s="13">
        <f>IF(OR($A73="",Flows!$C74=""),0,IF(AND(15&lt;=Setup!$B$5,15&gt;=$C73,OR(AND($E73="once",15=$C73),AND($E73="weekly",15&lt;=$D73),AND($E73="biweekly",15&lt;=$D73,MOD(15-$C73,2)=0))),Flows!$C74,0))</f>
        <v/>
      </c>
      <c r="U73" s="13">
        <f>IF(OR($A73="",Flows!$C74=""),0,IF(AND(16&lt;=Setup!$B$5,16&gt;=$C73,OR(AND($E73="once",16=$C73),AND($E73="weekly",16&lt;=$D73),AND($E73="biweekly",16&lt;=$D73,MOD(16-$C73,2)=0))),Flows!$C74,0))</f>
        <v/>
      </c>
      <c r="V73" s="13">
        <f>IF(OR($A73="",Flows!$C74=""),0,IF(AND(17&lt;=Setup!$B$5,17&gt;=$C73,OR(AND($E73="once",17=$C73),AND($E73="weekly",17&lt;=$D73),AND($E73="biweekly",17&lt;=$D73,MOD(17-$C73,2)=0))),Flows!$C74,0))</f>
        <v/>
      </c>
      <c r="W73" s="13">
        <f>IF(OR($A73="",Flows!$C74=""),0,IF(AND(18&lt;=Setup!$B$5,18&gt;=$C73,OR(AND($E73="once",18=$C73),AND($E73="weekly",18&lt;=$D73),AND($E73="biweekly",18&lt;=$D73,MOD(18-$C73,2)=0))),Flows!$C74,0))</f>
        <v/>
      </c>
      <c r="X73" s="13">
        <f>IF(OR($A73="",Flows!$C74=""),0,IF(AND(19&lt;=Setup!$B$5,19&gt;=$C73,OR(AND($E73="once",19=$C73),AND($E73="weekly",19&lt;=$D73),AND($E73="biweekly",19&lt;=$D73,MOD(19-$C73,2)=0))),Flows!$C74,0))</f>
        <v/>
      </c>
      <c r="Y73" s="13">
        <f>IF(OR($A73="",Flows!$C74=""),0,IF(AND(20&lt;=Setup!$B$5,20&gt;=$C73,OR(AND($E73="once",20=$C73),AND($E73="weekly",20&lt;=$D73),AND($E73="biweekly",20&lt;=$D73,MOD(20-$C73,2)=0))),Flows!$C74,0))</f>
        <v/>
      </c>
      <c r="Z73" s="13">
        <f>IF(OR($A73="",Flows!$C74=""),0,IF(AND(21&lt;=Setup!$B$5,21&gt;=$C73,OR(AND($E73="once",21=$C73),AND($E73="weekly",21&lt;=$D73),AND($E73="biweekly",21&lt;=$D73,MOD(21-$C73,2)=0))),Flows!$C74,0))</f>
        <v/>
      </c>
      <c r="AA73" s="13">
        <f>IF(OR($A73="",Flows!$C74=""),0,IF(AND(22&lt;=Setup!$B$5,22&gt;=$C73,OR(AND($E73="once",22=$C73),AND($E73="weekly",22&lt;=$D73),AND($E73="biweekly",22&lt;=$D73,MOD(22-$C73,2)=0))),Flows!$C74,0))</f>
        <v/>
      </c>
      <c r="AB73" s="13">
        <f>IF(OR($A73="",Flows!$C74=""),0,IF(AND(23&lt;=Setup!$B$5,23&gt;=$C73,OR(AND($E73="once",23=$C73),AND($E73="weekly",23&lt;=$D73),AND($E73="biweekly",23&lt;=$D73,MOD(23-$C73,2)=0))),Flows!$C74,0))</f>
        <v/>
      </c>
      <c r="AC73" s="13">
        <f>IF(OR($A73="",Flows!$C74=""),0,IF(AND(24&lt;=Setup!$B$5,24&gt;=$C73,OR(AND($E73="once",24=$C73),AND($E73="weekly",24&lt;=$D73),AND($E73="biweekly",24&lt;=$D73,MOD(24-$C73,2)=0))),Flows!$C74,0))</f>
        <v/>
      </c>
      <c r="AD73" s="13">
        <f>IF(OR($A73="",Flows!$C74=""),0,IF(AND(25&lt;=Setup!$B$5,25&gt;=$C73,OR(AND($E73="once",25=$C73),AND($E73="weekly",25&lt;=$D73),AND($E73="biweekly",25&lt;=$D73,MOD(25-$C73,2)=0))),Flows!$C74,0))</f>
        <v/>
      </c>
      <c r="AE73" s="13">
        <f>IF(OR($A73="",Flows!$C74=""),0,IF(AND(26&lt;=Setup!$B$5,26&gt;=$C73,OR(AND($E73="once",26=$C73),AND($E73="weekly",26&lt;=$D73),AND($E73="biweekly",26&lt;=$D73,MOD(26-$C73,2)=0))),Flows!$C74,0))</f>
        <v/>
      </c>
      <c r="AF73" s="13">
        <f>IF(OR($A73="",Flows!$C74=""),0,IF(AND(27&lt;=Setup!$B$5,27&gt;=$C73,OR(AND($E73="once",27=$C73),AND($E73="weekly",27&lt;=$D73),AND($E73="biweekly",27&lt;=$D73,MOD(27-$C73,2)=0))),Flows!$C74,0))</f>
        <v/>
      </c>
      <c r="AG73" s="13">
        <f>IF(OR($A73="",Flows!$C74=""),0,IF(AND(28&lt;=Setup!$B$5,28&gt;=$C73,OR(AND($E73="once",28=$C73),AND($E73="weekly",28&lt;=$D73),AND($E73="biweekly",28&lt;=$D73,MOD(28-$C73,2)=0))),Flows!$C74,0))</f>
        <v/>
      </c>
      <c r="AH73" s="13">
        <f>IF(OR($A73="",Flows!$C74=""),0,IF(AND(29&lt;=Setup!$B$5,29&gt;=$C73,OR(AND($E73="once",29=$C73),AND($E73="weekly",29&lt;=$D73),AND($E73="biweekly",29&lt;=$D73,MOD(29-$C73,2)=0))),Flows!$C74,0))</f>
        <v/>
      </c>
      <c r="AI73" s="13">
        <f>IF(OR($A73="",Flows!$C74=""),0,IF(AND(30&lt;=Setup!$B$5,30&gt;=$C73,OR(AND($E73="once",30=$C73),AND($E73="weekly",30&lt;=$D73),AND($E73="biweekly",30&lt;=$D73,MOD(30-$C73,2)=0))),Flows!$C74,0))</f>
        <v/>
      </c>
      <c r="AJ73" s="13">
        <f>IF(OR($A73="",Flows!$C74=""),0,IF(AND(31&lt;=Setup!$B$5,31&gt;=$C73,OR(AND($E73="once",31=$C73),AND($E73="weekly",31&lt;=$D73),AND($E73="biweekly",31&lt;=$D73,MOD(31-$C73,2)=0))),Flows!$C74,0))</f>
        <v/>
      </c>
      <c r="AK73" s="13">
        <f>IF(OR($A73="",Flows!$C74=""),0,IF(AND(32&lt;=Setup!$B$5,32&gt;=$C73,OR(AND($E73="once",32=$C73),AND($E73="weekly",32&lt;=$D73),AND($E73="biweekly",32&lt;=$D73,MOD(32-$C73,2)=0))),Flows!$C74,0))</f>
        <v/>
      </c>
      <c r="AL73" s="13">
        <f>IF(OR($A73="",Flows!$C74=""),0,IF(AND(33&lt;=Setup!$B$5,33&gt;=$C73,OR(AND($E73="once",33=$C73),AND($E73="weekly",33&lt;=$D73),AND($E73="biweekly",33&lt;=$D73,MOD(33-$C73,2)=0))),Flows!$C74,0))</f>
        <v/>
      </c>
      <c r="AM73" s="13">
        <f>IF(OR($A73="",Flows!$C74=""),0,IF(AND(34&lt;=Setup!$B$5,34&gt;=$C73,OR(AND($E73="once",34=$C73),AND($E73="weekly",34&lt;=$D73),AND($E73="biweekly",34&lt;=$D73,MOD(34-$C73,2)=0))),Flows!$C74,0))</f>
        <v/>
      </c>
      <c r="AN73" s="13">
        <f>IF(OR($A73="",Flows!$C74=""),0,IF(AND(35&lt;=Setup!$B$5,35&gt;=$C73,OR(AND($E73="once",35=$C73),AND($E73="weekly",35&lt;=$D73),AND($E73="biweekly",35&lt;=$D73,MOD(35-$C73,2)=0))),Flows!$C74,0))</f>
        <v/>
      </c>
      <c r="AO73" s="13">
        <f>IF(OR($A73="",Flows!$C74=""),0,IF(AND(36&lt;=Setup!$B$5,36&gt;=$C73,OR(AND($E73="once",36=$C73),AND($E73="weekly",36&lt;=$D73),AND($E73="biweekly",36&lt;=$D73,MOD(36-$C73,2)=0))),Flows!$C74,0))</f>
        <v/>
      </c>
      <c r="AP73" s="13">
        <f>IF(OR($A73="",Flows!$C74=""),0,IF(AND(37&lt;=Setup!$B$5,37&gt;=$C73,OR(AND($E73="once",37=$C73),AND($E73="weekly",37&lt;=$D73),AND($E73="biweekly",37&lt;=$D73,MOD(37-$C73,2)=0))),Flows!$C74,0))</f>
        <v/>
      </c>
      <c r="AQ73" s="13">
        <f>IF(OR($A73="",Flows!$C74=""),0,IF(AND(38&lt;=Setup!$B$5,38&gt;=$C73,OR(AND($E73="once",38=$C73),AND($E73="weekly",38&lt;=$D73),AND($E73="biweekly",38&lt;=$D73,MOD(38-$C73,2)=0))),Flows!$C74,0))</f>
        <v/>
      </c>
      <c r="AR73" s="13">
        <f>IF(OR($A73="",Flows!$C74=""),0,IF(AND(39&lt;=Setup!$B$5,39&gt;=$C73,OR(AND($E73="once",39=$C73),AND($E73="weekly",39&lt;=$D73),AND($E73="biweekly",39&lt;=$D73,MOD(39-$C73,2)=0))),Flows!$C74,0))</f>
        <v/>
      </c>
      <c r="AS73" s="13">
        <f>IF(OR($A73="",Flows!$C74=""),0,IF(AND(40&lt;=Setup!$B$5,40&gt;=$C73,OR(AND($E73="once",40=$C73),AND($E73="weekly",40&lt;=$D73),AND($E73="biweekly",40&lt;=$D73,MOD(40-$C73,2)=0))),Flows!$C74,0))</f>
        <v/>
      </c>
      <c r="AT73" s="13">
        <f>IF(OR($A73="",Flows!$C74=""),0,IF(AND(41&lt;=Setup!$B$5,41&gt;=$C73,OR(AND($E73="once",41=$C73),AND($E73="weekly",41&lt;=$D73),AND($E73="biweekly",41&lt;=$D73,MOD(41-$C73,2)=0))),Flows!$C74,0))</f>
        <v/>
      </c>
      <c r="AU73" s="13">
        <f>IF(OR($A73="",Flows!$C74=""),0,IF(AND(42&lt;=Setup!$B$5,42&gt;=$C73,OR(AND($E73="once",42=$C73),AND($E73="weekly",42&lt;=$D73),AND($E73="biweekly",42&lt;=$D73,MOD(42-$C73,2)=0))),Flows!$C74,0))</f>
        <v/>
      </c>
      <c r="AV73" s="13">
        <f>IF(OR($A73="",Flows!$C74=""),0,IF(AND(43&lt;=Setup!$B$5,43&gt;=$C73,OR(AND($E73="once",43=$C73),AND($E73="weekly",43&lt;=$D73),AND($E73="biweekly",43&lt;=$D73,MOD(43-$C73,2)=0))),Flows!$C74,0))</f>
        <v/>
      </c>
      <c r="AW73" s="13">
        <f>IF(OR($A73="",Flows!$C74=""),0,IF(AND(44&lt;=Setup!$B$5,44&gt;=$C73,OR(AND($E73="once",44=$C73),AND($E73="weekly",44&lt;=$D73),AND($E73="biweekly",44&lt;=$D73,MOD(44-$C73,2)=0))),Flows!$C74,0))</f>
        <v/>
      </c>
      <c r="AX73" s="13">
        <f>IF(OR($A73="",Flows!$C74=""),0,IF(AND(45&lt;=Setup!$B$5,45&gt;=$C73,OR(AND($E73="once",45=$C73),AND($E73="weekly",45&lt;=$D73),AND($E73="biweekly",45&lt;=$D73,MOD(45-$C73,2)=0))),Flows!$C74,0))</f>
        <v/>
      </c>
      <c r="AY73" s="13">
        <f>IF(OR($A73="",Flows!$C74=""),0,IF(AND(46&lt;=Setup!$B$5,46&gt;=$C73,OR(AND($E73="once",46=$C73),AND($E73="weekly",46&lt;=$D73),AND($E73="biweekly",46&lt;=$D73,MOD(46-$C73,2)=0))),Flows!$C74,0))</f>
        <v/>
      </c>
      <c r="AZ73" s="13">
        <f>IF(OR($A73="",Flows!$C74=""),0,IF(AND(47&lt;=Setup!$B$5,47&gt;=$C73,OR(AND($E73="once",47=$C73),AND($E73="weekly",47&lt;=$D73),AND($E73="biweekly",47&lt;=$D73,MOD(47-$C73,2)=0))),Flows!$C74,0))</f>
        <v/>
      </c>
      <c r="BA73" s="13">
        <f>IF(OR($A73="",Flows!$C74=""),0,IF(AND(48&lt;=Setup!$B$5,48&gt;=$C73,OR(AND($E73="once",48=$C73),AND($E73="weekly",48&lt;=$D73),AND($E73="biweekly",48&lt;=$D73,MOD(48-$C73,2)=0))),Flows!$C74,0))</f>
        <v/>
      </c>
      <c r="BB73" s="13">
        <f>IF(OR($A73="",Flows!$C74=""),0,IF(AND(49&lt;=Setup!$B$5,49&gt;=$C73,OR(AND($E73="once",49=$C73),AND($E73="weekly",49&lt;=$D73),AND($E73="biweekly",49&lt;=$D73,MOD(49-$C73,2)=0))),Flows!$C74,0))</f>
        <v/>
      </c>
      <c r="BC73" s="13">
        <f>IF(OR($A73="",Flows!$C74=""),0,IF(AND(50&lt;=Setup!$B$5,50&gt;=$C73,OR(AND($E73="once",50=$C73),AND($E73="weekly",50&lt;=$D73),AND($E73="biweekly",50&lt;=$D73,MOD(50-$C73,2)=0))),Flows!$C74,0))</f>
        <v/>
      </c>
      <c r="BD73" s="13">
        <f>IF(OR($A73="",Flows!$C74=""),0,IF(AND(51&lt;=Setup!$B$5,51&gt;=$C73,OR(AND($E73="once",51=$C73),AND($E73="weekly",51&lt;=$D73),AND($E73="biweekly",51&lt;=$D73,MOD(51-$C73,2)=0))),Flows!$C74,0))</f>
        <v/>
      </c>
      <c r="BE73" s="13">
        <f>IF(OR($A73="",Flows!$C74=""),0,IF(AND(52&lt;=Setup!$B$5,52&gt;=$C73,OR(AND($E73="once",52=$C73),AND($E73="weekly",52&lt;=$D73),AND($E73="biweekly",52&lt;=$D73,MOD(52-$C73,2)=0))),Flows!$C74,0))</f>
        <v/>
      </c>
    </row>
    <row r="74">
      <c r="A74" s="7">
        <f>IF(Flows!A75="","",LOWER(Flows!A75))</f>
        <v/>
      </c>
      <c r="B74" s="7">
        <f>IF(Flows!B75="","",Flows!B75)</f>
        <v/>
      </c>
      <c r="C74" s="7">
        <f>N(Flows!D75)</f>
        <v/>
      </c>
      <c r="D74" s="7">
        <f>IF(Flows!F75="",Setup!$B$5,Flows!F75)</f>
        <v/>
      </c>
      <c r="E74" s="7">
        <f>IF(Flows!E75="","once",LOWER(Flows!E75))</f>
        <v/>
      </c>
      <c r="F74" s="13">
        <f>IF(OR($A74="",Flows!$C75=""),0,IF(AND(1&lt;=Setup!$B$5,1&gt;=$C74,OR(AND($E74="once",1=$C74),AND($E74="weekly",1&lt;=$D74),AND($E74="biweekly",1&lt;=$D74,MOD(1-$C74,2)=0))),Flows!$C75,0))</f>
        <v/>
      </c>
      <c r="G74" s="13">
        <f>IF(OR($A74="",Flows!$C75=""),0,IF(AND(2&lt;=Setup!$B$5,2&gt;=$C74,OR(AND($E74="once",2=$C74),AND($E74="weekly",2&lt;=$D74),AND($E74="biweekly",2&lt;=$D74,MOD(2-$C74,2)=0))),Flows!$C75,0))</f>
        <v/>
      </c>
      <c r="H74" s="13">
        <f>IF(OR($A74="",Flows!$C75=""),0,IF(AND(3&lt;=Setup!$B$5,3&gt;=$C74,OR(AND($E74="once",3=$C74),AND($E74="weekly",3&lt;=$D74),AND($E74="biweekly",3&lt;=$D74,MOD(3-$C74,2)=0))),Flows!$C75,0))</f>
        <v/>
      </c>
      <c r="I74" s="13">
        <f>IF(OR($A74="",Flows!$C75=""),0,IF(AND(4&lt;=Setup!$B$5,4&gt;=$C74,OR(AND($E74="once",4=$C74),AND($E74="weekly",4&lt;=$D74),AND($E74="biweekly",4&lt;=$D74,MOD(4-$C74,2)=0))),Flows!$C75,0))</f>
        <v/>
      </c>
      <c r="J74" s="13">
        <f>IF(OR($A74="",Flows!$C75=""),0,IF(AND(5&lt;=Setup!$B$5,5&gt;=$C74,OR(AND($E74="once",5=$C74),AND($E74="weekly",5&lt;=$D74),AND($E74="biweekly",5&lt;=$D74,MOD(5-$C74,2)=0))),Flows!$C75,0))</f>
        <v/>
      </c>
      <c r="K74" s="13">
        <f>IF(OR($A74="",Flows!$C75=""),0,IF(AND(6&lt;=Setup!$B$5,6&gt;=$C74,OR(AND($E74="once",6=$C74),AND($E74="weekly",6&lt;=$D74),AND($E74="biweekly",6&lt;=$D74,MOD(6-$C74,2)=0))),Flows!$C75,0))</f>
        <v/>
      </c>
      <c r="L74" s="13">
        <f>IF(OR($A74="",Flows!$C75=""),0,IF(AND(7&lt;=Setup!$B$5,7&gt;=$C74,OR(AND($E74="once",7=$C74),AND($E74="weekly",7&lt;=$D74),AND($E74="biweekly",7&lt;=$D74,MOD(7-$C74,2)=0))),Flows!$C75,0))</f>
        <v/>
      </c>
      <c r="M74" s="13">
        <f>IF(OR($A74="",Flows!$C75=""),0,IF(AND(8&lt;=Setup!$B$5,8&gt;=$C74,OR(AND($E74="once",8=$C74),AND($E74="weekly",8&lt;=$D74),AND($E74="biweekly",8&lt;=$D74,MOD(8-$C74,2)=0))),Flows!$C75,0))</f>
        <v/>
      </c>
      <c r="N74" s="13">
        <f>IF(OR($A74="",Flows!$C75=""),0,IF(AND(9&lt;=Setup!$B$5,9&gt;=$C74,OR(AND($E74="once",9=$C74),AND($E74="weekly",9&lt;=$D74),AND($E74="biweekly",9&lt;=$D74,MOD(9-$C74,2)=0))),Flows!$C75,0))</f>
        <v/>
      </c>
      <c r="O74" s="13">
        <f>IF(OR($A74="",Flows!$C75=""),0,IF(AND(10&lt;=Setup!$B$5,10&gt;=$C74,OR(AND($E74="once",10=$C74),AND($E74="weekly",10&lt;=$D74),AND($E74="biweekly",10&lt;=$D74,MOD(10-$C74,2)=0))),Flows!$C75,0))</f>
        <v/>
      </c>
      <c r="P74" s="13">
        <f>IF(OR($A74="",Flows!$C75=""),0,IF(AND(11&lt;=Setup!$B$5,11&gt;=$C74,OR(AND($E74="once",11=$C74),AND($E74="weekly",11&lt;=$D74),AND($E74="biweekly",11&lt;=$D74,MOD(11-$C74,2)=0))),Flows!$C75,0))</f>
        <v/>
      </c>
      <c r="Q74" s="13">
        <f>IF(OR($A74="",Flows!$C75=""),0,IF(AND(12&lt;=Setup!$B$5,12&gt;=$C74,OR(AND($E74="once",12=$C74),AND($E74="weekly",12&lt;=$D74),AND($E74="biweekly",12&lt;=$D74,MOD(12-$C74,2)=0))),Flows!$C75,0))</f>
        <v/>
      </c>
      <c r="R74" s="13">
        <f>IF(OR($A74="",Flows!$C75=""),0,IF(AND(13&lt;=Setup!$B$5,13&gt;=$C74,OR(AND($E74="once",13=$C74),AND($E74="weekly",13&lt;=$D74),AND($E74="biweekly",13&lt;=$D74,MOD(13-$C74,2)=0))),Flows!$C75,0))</f>
        <v/>
      </c>
      <c r="S74" s="13">
        <f>IF(OR($A74="",Flows!$C75=""),0,IF(AND(14&lt;=Setup!$B$5,14&gt;=$C74,OR(AND($E74="once",14=$C74),AND($E74="weekly",14&lt;=$D74),AND($E74="biweekly",14&lt;=$D74,MOD(14-$C74,2)=0))),Flows!$C75,0))</f>
        <v/>
      </c>
      <c r="T74" s="13">
        <f>IF(OR($A74="",Flows!$C75=""),0,IF(AND(15&lt;=Setup!$B$5,15&gt;=$C74,OR(AND($E74="once",15=$C74),AND($E74="weekly",15&lt;=$D74),AND($E74="biweekly",15&lt;=$D74,MOD(15-$C74,2)=0))),Flows!$C75,0))</f>
        <v/>
      </c>
      <c r="U74" s="13">
        <f>IF(OR($A74="",Flows!$C75=""),0,IF(AND(16&lt;=Setup!$B$5,16&gt;=$C74,OR(AND($E74="once",16=$C74),AND($E74="weekly",16&lt;=$D74),AND($E74="biweekly",16&lt;=$D74,MOD(16-$C74,2)=0))),Flows!$C75,0))</f>
        <v/>
      </c>
      <c r="V74" s="13">
        <f>IF(OR($A74="",Flows!$C75=""),0,IF(AND(17&lt;=Setup!$B$5,17&gt;=$C74,OR(AND($E74="once",17=$C74),AND($E74="weekly",17&lt;=$D74),AND($E74="biweekly",17&lt;=$D74,MOD(17-$C74,2)=0))),Flows!$C75,0))</f>
        <v/>
      </c>
      <c r="W74" s="13">
        <f>IF(OR($A74="",Flows!$C75=""),0,IF(AND(18&lt;=Setup!$B$5,18&gt;=$C74,OR(AND($E74="once",18=$C74),AND($E74="weekly",18&lt;=$D74),AND($E74="biweekly",18&lt;=$D74,MOD(18-$C74,2)=0))),Flows!$C75,0))</f>
        <v/>
      </c>
      <c r="X74" s="13">
        <f>IF(OR($A74="",Flows!$C75=""),0,IF(AND(19&lt;=Setup!$B$5,19&gt;=$C74,OR(AND($E74="once",19=$C74),AND($E74="weekly",19&lt;=$D74),AND($E74="biweekly",19&lt;=$D74,MOD(19-$C74,2)=0))),Flows!$C75,0))</f>
        <v/>
      </c>
      <c r="Y74" s="13">
        <f>IF(OR($A74="",Flows!$C75=""),0,IF(AND(20&lt;=Setup!$B$5,20&gt;=$C74,OR(AND($E74="once",20=$C74),AND($E74="weekly",20&lt;=$D74),AND($E74="biweekly",20&lt;=$D74,MOD(20-$C74,2)=0))),Flows!$C75,0))</f>
        <v/>
      </c>
      <c r="Z74" s="13">
        <f>IF(OR($A74="",Flows!$C75=""),0,IF(AND(21&lt;=Setup!$B$5,21&gt;=$C74,OR(AND($E74="once",21=$C74),AND($E74="weekly",21&lt;=$D74),AND($E74="biweekly",21&lt;=$D74,MOD(21-$C74,2)=0))),Flows!$C75,0))</f>
        <v/>
      </c>
      <c r="AA74" s="13">
        <f>IF(OR($A74="",Flows!$C75=""),0,IF(AND(22&lt;=Setup!$B$5,22&gt;=$C74,OR(AND($E74="once",22=$C74),AND($E74="weekly",22&lt;=$D74),AND($E74="biweekly",22&lt;=$D74,MOD(22-$C74,2)=0))),Flows!$C75,0))</f>
        <v/>
      </c>
      <c r="AB74" s="13">
        <f>IF(OR($A74="",Flows!$C75=""),0,IF(AND(23&lt;=Setup!$B$5,23&gt;=$C74,OR(AND($E74="once",23=$C74),AND($E74="weekly",23&lt;=$D74),AND($E74="biweekly",23&lt;=$D74,MOD(23-$C74,2)=0))),Flows!$C75,0))</f>
        <v/>
      </c>
      <c r="AC74" s="13">
        <f>IF(OR($A74="",Flows!$C75=""),0,IF(AND(24&lt;=Setup!$B$5,24&gt;=$C74,OR(AND($E74="once",24=$C74),AND($E74="weekly",24&lt;=$D74),AND($E74="biweekly",24&lt;=$D74,MOD(24-$C74,2)=0))),Flows!$C75,0))</f>
        <v/>
      </c>
      <c r="AD74" s="13">
        <f>IF(OR($A74="",Flows!$C75=""),0,IF(AND(25&lt;=Setup!$B$5,25&gt;=$C74,OR(AND($E74="once",25=$C74),AND($E74="weekly",25&lt;=$D74),AND($E74="biweekly",25&lt;=$D74,MOD(25-$C74,2)=0))),Flows!$C75,0))</f>
        <v/>
      </c>
      <c r="AE74" s="13">
        <f>IF(OR($A74="",Flows!$C75=""),0,IF(AND(26&lt;=Setup!$B$5,26&gt;=$C74,OR(AND($E74="once",26=$C74),AND($E74="weekly",26&lt;=$D74),AND($E74="biweekly",26&lt;=$D74,MOD(26-$C74,2)=0))),Flows!$C75,0))</f>
        <v/>
      </c>
      <c r="AF74" s="13">
        <f>IF(OR($A74="",Flows!$C75=""),0,IF(AND(27&lt;=Setup!$B$5,27&gt;=$C74,OR(AND($E74="once",27=$C74),AND($E74="weekly",27&lt;=$D74),AND($E74="biweekly",27&lt;=$D74,MOD(27-$C74,2)=0))),Flows!$C75,0))</f>
        <v/>
      </c>
      <c r="AG74" s="13">
        <f>IF(OR($A74="",Flows!$C75=""),0,IF(AND(28&lt;=Setup!$B$5,28&gt;=$C74,OR(AND($E74="once",28=$C74),AND($E74="weekly",28&lt;=$D74),AND($E74="biweekly",28&lt;=$D74,MOD(28-$C74,2)=0))),Flows!$C75,0))</f>
        <v/>
      </c>
      <c r="AH74" s="13">
        <f>IF(OR($A74="",Flows!$C75=""),0,IF(AND(29&lt;=Setup!$B$5,29&gt;=$C74,OR(AND($E74="once",29=$C74),AND($E74="weekly",29&lt;=$D74),AND($E74="biweekly",29&lt;=$D74,MOD(29-$C74,2)=0))),Flows!$C75,0))</f>
        <v/>
      </c>
      <c r="AI74" s="13">
        <f>IF(OR($A74="",Flows!$C75=""),0,IF(AND(30&lt;=Setup!$B$5,30&gt;=$C74,OR(AND($E74="once",30=$C74),AND($E74="weekly",30&lt;=$D74),AND($E74="biweekly",30&lt;=$D74,MOD(30-$C74,2)=0))),Flows!$C75,0))</f>
        <v/>
      </c>
      <c r="AJ74" s="13">
        <f>IF(OR($A74="",Flows!$C75=""),0,IF(AND(31&lt;=Setup!$B$5,31&gt;=$C74,OR(AND($E74="once",31=$C74),AND($E74="weekly",31&lt;=$D74),AND($E74="biweekly",31&lt;=$D74,MOD(31-$C74,2)=0))),Flows!$C75,0))</f>
        <v/>
      </c>
      <c r="AK74" s="13">
        <f>IF(OR($A74="",Flows!$C75=""),0,IF(AND(32&lt;=Setup!$B$5,32&gt;=$C74,OR(AND($E74="once",32=$C74),AND($E74="weekly",32&lt;=$D74),AND($E74="biweekly",32&lt;=$D74,MOD(32-$C74,2)=0))),Flows!$C75,0))</f>
        <v/>
      </c>
      <c r="AL74" s="13">
        <f>IF(OR($A74="",Flows!$C75=""),0,IF(AND(33&lt;=Setup!$B$5,33&gt;=$C74,OR(AND($E74="once",33=$C74),AND($E74="weekly",33&lt;=$D74),AND($E74="biweekly",33&lt;=$D74,MOD(33-$C74,2)=0))),Flows!$C75,0))</f>
        <v/>
      </c>
      <c r="AM74" s="13">
        <f>IF(OR($A74="",Flows!$C75=""),0,IF(AND(34&lt;=Setup!$B$5,34&gt;=$C74,OR(AND($E74="once",34=$C74),AND($E74="weekly",34&lt;=$D74),AND($E74="biweekly",34&lt;=$D74,MOD(34-$C74,2)=0))),Flows!$C75,0))</f>
        <v/>
      </c>
      <c r="AN74" s="13">
        <f>IF(OR($A74="",Flows!$C75=""),0,IF(AND(35&lt;=Setup!$B$5,35&gt;=$C74,OR(AND($E74="once",35=$C74),AND($E74="weekly",35&lt;=$D74),AND($E74="biweekly",35&lt;=$D74,MOD(35-$C74,2)=0))),Flows!$C75,0))</f>
        <v/>
      </c>
      <c r="AO74" s="13">
        <f>IF(OR($A74="",Flows!$C75=""),0,IF(AND(36&lt;=Setup!$B$5,36&gt;=$C74,OR(AND($E74="once",36=$C74),AND($E74="weekly",36&lt;=$D74),AND($E74="biweekly",36&lt;=$D74,MOD(36-$C74,2)=0))),Flows!$C75,0))</f>
        <v/>
      </c>
      <c r="AP74" s="13">
        <f>IF(OR($A74="",Flows!$C75=""),0,IF(AND(37&lt;=Setup!$B$5,37&gt;=$C74,OR(AND($E74="once",37=$C74),AND($E74="weekly",37&lt;=$D74),AND($E74="biweekly",37&lt;=$D74,MOD(37-$C74,2)=0))),Flows!$C75,0))</f>
        <v/>
      </c>
      <c r="AQ74" s="13">
        <f>IF(OR($A74="",Flows!$C75=""),0,IF(AND(38&lt;=Setup!$B$5,38&gt;=$C74,OR(AND($E74="once",38=$C74),AND($E74="weekly",38&lt;=$D74),AND($E74="biweekly",38&lt;=$D74,MOD(38-$C74,2)=0))),Flows!$C75,0))</f>
        <v/>
      </c>
      <c r="AR74" s="13">
        <f>IF(OR($A74="",Flows!$C75=""),0,IF(AND(39&lt;=Setup!$B$5,39&gt;=$C74,OR(AND($E74="once",39=$C74),AND($E74="weekly",39&lt;=$D74),AND($E74="biweekly",39&lt;=$D74,MOD(39-$C74,2)=0))),Flows!$C75,0))</f>
        <v/>
      </c>
      <c r="AS74" s="13">
        <f>IF(OR($A74="",Flows!$C75=""),0,IF(AND(40&lt;=Setup!$B$5,40&gt;=$C74,OR(AND($E74="once",40=$C74),AND($E74="weekly",40&lt;=$D74),AND($E74="biweekly",40&lt;=$D74,MOD(40-$C74,2)=0))),Flows!$C75,0))</f>
        <v/>
      </c>
      <c r="AT74" s="13">
        <f>IF(OR($A74="",Flows!$C75=""),0,IF(AND(41&lt;=Setup!$B$5,41&gt;=$C74,OR(AND($E74="once",41=$C74),AND($E74="weekly",41&lt;=$D74),AND($E74="biweekly",41&lt;=$D74,MOD(41-$C74,2)=0))),Flows!$C75,0))</f>
        <v/>
      </c>
      <c r="AU74" s="13">
        <f>IF(OR($A74="",Flows!$C75=""),0,IF(AND(42&lt;=Setup!$B$5,42&gt;=$C74,OR(AND($E74="once",42=$C74),AND($E74="weekly",42&lt;=$D74),AND($E74="biweekly",42&lt;=$D74,MOD(42-$C74,2)=0))),Flows!$C75,0))</f>
        <v/>
      </c>
      <c r="AV74" s="13">
        <f>IF(OR($A74="",Flows!$C75=""),0,IF(AND(43&lt;=Setup!$B$5,43&gt;=$C74,OR(AND($E74="once",43=$C74),AND($E74="weekly",43&lt;=$D74),AND($E74="biweekly",43&lt;=$D74,MOD(43-$C74,2)=0))),Flows!$C75,0))</f>
        <v/>
      </c>
      <c r="AW74" s="13">
        <f>IF(OR($A74="",Flows!$C75=""),0,IF(AND(44&lt;=Setup!$B$5,44&gt;=$C74,OR(AND($E74="once",44=$C74),AND($E74="weekly",44&lt;=$D74),AND($E74="biweekly",44&lt;=$D74,MOD(44-$C74,2)=0))),Flows!$C75,0))</f>
        <v/>
      </c>
      <c r="AX74" s="13">
        <f>IF(OR($A74="",Flows!$C75=""),0,IF(AND(45&lt;=Setup!$B$5,45&gt;=$C74,OR(AND($E74="once",45=$C74),AND($E74="weekly",45&lt;=$D74),AND($E74="biweekly",45&lt;=$D74,MOD(45-$C74,2)=0))),Flows!$C75,0))</f>
        <v/>
      </c>
      <c r="AY74" s="13">
        <f>IF(OR($A74="",Flows!$C75=""),0,IF(AND(46&lt;=Setup!$B$5,46&gt;=$C74,OR(AND($E74="once",46=$C74),AND($E74="weekly",46&lt;=$D74),AND($E74="biweekly",46&lt;=$D74,MOD(46-$C74,2)=0))),Flows!$C75,0))</f>
        <v/>
      </c>
      <c r="AZ74" s="13">
        <f>IF(OR($A74="",Flows!$C75=""),0,IF(AND(47&lt;=Setup!$B$5,47&gt;=$C74,OR(AND($E74="once",47=$C74),AND($E74="weekly",47&lt;=$D74),AND($E74="biweekly",47&lt;=$D74,MOD(47-$C74,2)=0))),Flows!$C75,0))</f>
        <v/>
      </c>
      <c r="BA74" s="13">
        <f>IF(OR($A74="",Flows!$C75=""),0,IF(AND(48&lt;=Setup!$B$5,48&gt;=$C74,OR(AND($E74="once",48=$C74),AND($E74="weekly",48&lt;=$D74),AND($E74="biweekly",48&lt;=$D74,MOD(48-$C74,2)=0))),Flows!$C75,0))</f>
        <v/>
      </c>
      <c r="BB74" s="13">
        <f>IF(OR($A74="",Flows!$C75=""),0,IF(AND(49&lt;=Setup!$B$5,49&gt;=$C74,OR(AND($E74="once",49=$C74),AND($E74="weekly",49&lt;=$D74),AND($E74="biweekly",49&lt;=$D74,MOD(49-$C74,2)=0))),Flows!$C75,0))</f>
        <v/>
      </c>
      <c r="BC74" s="13">
        <f>IF(OR($A74="",Flows!$C75=""),0,IF(AND(50&lt;=Setup!$B$5,50&gt;=$C74,OR(AND($E74="once",50=$C74),AND($E74="weekly",50&lt;=$D74),AND($E74="biweekly",50&lt;=$D74,MOD(50-$C74,2)=0))),Flows!$C75,0))</f>
        <v/>
      </c>
      <c r="BD74" s="13">
        <f>IF(OR($A74="",Flows!$C75=""),0,IF(AND(51&lt;=Setup!$B$5,51&gt;=$C74,OR(AND($E74="once",51=$C74),AND($E74="weekly",51&lt;=$D74),AND($E74="biweekly",51&lt;=$D74,MOD(51-$C74,2)=0))),Flows!$C75,0))</f>
        <v/>
      </c>
      <c r="BE74" s="13">
        <f>IF(OR($A74="",Flows!$C75=""),0,IF(AND(52&lt;=Setup!$B$5,52&gt;=$C74,OR(AND($E74="once",52=$C74),AND($E74="weekly",52&lt;=$D74),AND($E74="biweekly",52&lt;=$D74,MOD(52-$C74,2)=0))),Flows!$C75,0))</f>
        <v/>
      </c>
    </row>
    <row r="75">
      <c r="A75" s="7">
        <f>IF(Flows!A76="","",LOWER(Flows!A76))</f>
        <v/>
      </c>
      <c r="B75" s="7">
        <f>IF(Flows!B76="","",Flows!B76)</f>
        <v/>
      </c>
      <c r="C75" s="7">
        <f>N(Flows!D76)</f>
        <v/>
      </c>
      <c r="D75" s="7">
        <f>IF(Flows!F76="",Setup!$B$5,Flows!F76)</f>
        <v/>
      </c>
      <c r="E75" s="7">
        <f>IF(Flows!E76="","once",LOWER(Flows!E76))</f>
        <v/>
      </c>
      <c r="F75" s="13">
        <f>IF(OR($A75="",Flows!$C76=""),0,IF(AND(1&lt;=Setup!$B$5,1&gt;=$C75,OR(AND($E75="once",1=$C75),AND($E75="weekly",1&lt;=$D75),AND($E75="biweekly",1&lt;=$D75,MOD(1-$C75,2)=0))),Flows!$C76,0))</f>
        <v/>
      </c>
      <c r="G75" s="13">
        <f>IF(OR($A75="",Flows!$C76=""),0,IF(AND(2&lt;=Setup!$B$5,2&gt;=$C75,OR(AND($E75="once",2=$C75),AND($E75="weekly",2&lt;=$D75),AND($E75="biweekly",2&lt;=$D75,MOD(2-$C75,2)=0))),Flows!$C76,0))</f>
        <v/>
      </c>
      <c r="H75" s="13">
        <f>IF(OR($A75="",Flows!$C76=""),0,IF(AND(3&lt;=Setup!$B$5,3&gt;=$C75,OR(AND($E75="once",3=$C75),AND($E75="weekly",3&lt;=$D75),AND($E75="biweekly",3&lt;=$D75,MOD(3-$C75,2)=0))),Flows!$C76,0))</f>
        <v/>
      </c>
      <c r="I75" s="13">
        <f>IF(OR($A75="",Flows!$C76=""),0,IF(AND(4&lt;=Setup!$B$5,4&gt;=$C75,OR(AND($E75="once",4=$C75),AND($E75="weekly",4&lt;=$D75),AND($E75="biweekly",4&lt;=$D75,MOD(4-$C75,2)=0))),Flows!$C76,0))</f>
        <v/>
      </c>
      <c r="J75" s="13">
        <f>IF(OR($A75="",Flows!$C76=""),0,IF(AND(5&lt;=Setup!$B$5,5&gt;=$C75,OR(AND($E75="once",5=$C75),AND($E75="weekly",5&lt;=$D75),AND($E75="biweekly",5&lt;=$D75,MOD(5-$C75,2)=0))),Flows!$C76,0))</f>
        <v/>
      </c>
      <c r="K75" s="13">
        <f>IF(OR($A75="",Flows!$C76=""),0,IF(AND(6&lt;=Setup!$B$5,6&gt;=$C75,OR(AND($E75="once",6=$C75),AND($E75="weekly",6&lt;=$D75),AND($E75="biweekly",6&lt;=$D75,MOD(6-$C75,2)=0))),Flows!$C76,0))</f>
        <v/>
      </c>
      <c r="L75" s="13">
        <f>IF(OR($A75="",Flows!$C76=""),0,IF(AND(7&lt;=Setup!$B$5,7&gt;=$C75,OR(AND($E75="once",7=$C75),AND($E75="weekly",7&lt;=$D75),AND($E75="biweekly",7&lt;=$D75,MOD(7-$C75,2)=0))),Flows!$C76,0))</f>
        <v/>
      </c>
      <c r="M75" s="13">
        <f>IF(OR($A75="",Flows!$C76=""),0,IF(AND(8&lt;=Setup!$B$5,8&gt;=$C75,OR(AND($E75="once",8=$C75),AND($E75="weekly",8&lt;=$D75),AND($E75="biweekly",8&lt;=$D75,MOD(8-$C75,2)=0))),Flows!$C76,0))</f>
        <v/>
      </c>
      <c r="N75" s="13">
        <f>IF(OR($A75="",Flows!$C76=""),0,IF(AND(9&lt;=Setup!$B$5,9&gt;=$C75,OR(AND($E75="once",9=$C75),AND($E75="weekly",9&lt;=$D75),AND($E75="biweekly",9&lt;=$D75,MOD(9-$C75,2)=0))),Flows!$C76,0))</f>
        <v/>
      </c>
      <c r="O75" s="13">
        <f>IF(OR($A75="",Flows!$C76=""),0,IF(AND(10&lt;=Setup!$B$5,10&gt;=$C75,OR(AND($E75="once",10=$C75),AND($E75="weekly",10&lt;=$D75),AND($E75="biweekly",10&lt;=$D75,MOD(10-$C75,2)=0))),Flows!$C76,0))</f>
        <v/>
      </c>
      <c r="P75" s="13">
        <f>IF(OR($A75="",Flows!$C76=""),0,IF(AND(11&lt;=Setup!$B$5,11&gt;=$C75,OR(AND($E75="once",11=$C75),AND($E75="weekly",11&lt;=$D75),AND($E75="biweekly",11&lt;=$D75,MOD(11-$C75,2)=0))),Flows!$C76,0))</f>
        <v/>
      </c>
      <c r="Q75" s="13">
        <f>IF(OR($A75="",Flows!$C76=""),0,IF(AND(12&lt;=Setup!$B$5,12&gt;=$C75,OR(AND($E75="once",12=$C75),AND($E75="weekly",12&lt;=$D75),AND($E75="biweekly",12&lt;=$D75,MOD(12-$C75,2)=0))),Flows!$C76,0))</f>
        <v/>
      </c>
      <c r="R75" s="13">
        <f>IF(OR($A75="",Flows!$C76=""),0,IF(AND(13&lt;=Setup!$B$5,13&gt;=$C75,OR(AND($E75="once",13=$C75),AND($E75="weekly",13&lt;=$D75),AND($E75="biweekly",13&lt;=$D75,MOD(13-$C75,2)=0))),Flows!$C76,0))</f>
        <v/>
      </c>
      <c r="S75" s="13">
        <f>IF(OR($A75="",Flows!$C76=""),0,IF(AND(14&lt;=Setup!$B$5,14&gt;=$C75,OR(AND($E75="once",14=$C75),AND($E75="weekly",14&lt;=$D75),AND($E75="biweekly",14&lt;=$D75,MOD(14-$C75,2)=0))),Flows!$C76,0))</f>
        <v/>
      </c>
      <c r="T75" s="13">
        <f>IF(OR($A75="",Flows!$C76=""),0,IF(AND(15&lt;=Setup!$B$5,15&gt;=$C75,OR(AND($E75="once",15=$C75),AND($E75="weekly",15&lt;=$D75),AND($E75="biweekly",15&lt;=$D75,MOD(15-$C75,2)=0))),Flows!$C76,0))</f>
        <v/>
      </c>
      <c r="U75" s="13">
        <f>IF(OR($A75="",Flows!$C76=""),0,IF(AND(16&lt;=Setup!$B$5,16&gt;=$C75,OR(AND($E75="once",16=$C75),AND($E75="weekly",16&lt;=$D75),AND($E75="biweekly",16&lt;=$D75,MOD(16-$C75,2)=0))),Flows!$C76,0))</f>
        <v/>
      </c>
      <c r="V75" s="13">
        <f>IF(OR($A75="",Flows!$C76=""),0,IF(AND(17&lt;=Setup!$B$5,17&gt;=$C75,OR(AND($E75="once",17=$C75),AND($E75="weekly",17&lt;=$D75),AND($E75="biweekly",17&lt;=$D75,MOD(17-$C75,2)=0))),Flows!$C76,0))</f>
        <v/>
      </c>
      <c r="W75" s="13">
        <f>IF(OR($A75="",Flows!$C76=""),0,IF(AND(18&lt;=Setup!$B$5,18&gt;=$C75,OR(AND($E75="once",18=$C75),AND($E75="weekly",18&lt;=$D75),AND($E75="biweekly",18&lt;=$D75,MOD(18-$C75,2)=0))),Flows!$C76,0))</f>
        <v/>
      </c>
      <c r="X75" s="13">
        <f>IF(OR($A75="",Flows!$C76=""),0,IF(AND(19&lt;=Setup!$B$5,19&gt;=$C75,OR(AND($E75="once",19=$C75),AND($E75="weekly",19&lt;=$D75),AND($E75="biweekly",19&lt;=$D75,MOD(19-$C75,2)=0))),Flows!$C76,0))</f>
        <v/>
      </c>
      <c r="Y75" s="13">
        <f>IF(OR($A75="",Flows!$C76=""),0,IF(AND(20&lt;=Setup!$B$5,20&gt;=$C75,OR(AND($E75="once",20=$C75),AND($E75="weekly",20&lt;=$D75),AND($E75="biweekly",20&lt;=$D75,MOD(20-$C75,2)=0))),Flows!$C76,0))</f>
        <v/>
      </c>
      <c r="Z75" s="13">
        <f>IF(OR($A75="",Flows!$C76=""),0,IF(AND(21&lt;=Setup!$B$5,21&gt;=$C75,OR(AND($E75="once",21=$C75),AND($E75="weekly",21&lt;=$D75),AND($E75="biweekly",21&lt;=$D75,MOD(21-$C75,2)=0))),Flows!$C76,0))</f>
        <v/>
      </c>
      <c r="AA75" s="13">
        <f>IF(OR($A75="",Flows!$C76=""),0,IF(AND(22&lt;=Setup!$B$5,22&gt;=$C75,OR(AND($E75="once",22=$C75),AND($E75="weekly",22&lt;=$D75),AND($E75="biweekly",22&lt;=$D75,MOD(22-$C75,2)=0))),Flows!$C76,0))</f>
        <v/>
      </c>
      <c r="AB75" s="13">
        <f>IF(OR($A75="",Flows!$C76=""),0,IF(AND(23&lt;=Setup!$B$5,23&gt;=$C75,OR(AND($E75="once",23=$C75),AND($E75="weekly",23&lt;=$D75),AND($E75="biweekly",23&lt;=$D75,MOD(23-$C75,2)=0))),Flows!$C76,0))</f>
        <v/>
      </c>
      <c r="AC75" s="13">
        <f>IF(OR($A75="",Flows!$C76=""),0,IF(AND(24&lt;=Setup!$B$5,24&gt;=$C75,OR(AND($E75="once",24=$C75),AND($E75="weekly",24&lt;=$D75),AND($E75="biweekly",24&lt;=$D75,MOD(24-$C75,2)=0))),Flows!$C76,0))</f>
        <v/>
      </c>
      <c r="AD75" s="13">
        <f>IF(OR($A75="",Flows!$C76=""),0,IF(AND(25&lt;=Setup!$B$5,25&gt;=$C75,OR(AND($E75="once",25=$C75),AND($E75="weekly",25&lt;=$D75),AND($E75="biweekly",25&lt;=$D75,MOD(25-$C75,2)=0))),Flows!$C76,0))</f>
        <v/>
      </c>
      <c r="AE75" s="13">
        <f>IF(OR($A75="",Flows!$C76=""),0,IF(AND(26&lt;=Setup!$B$5,26&gt;=$C75,OR(AND($E75="once",26=$C75),AND($E75="weekly",26&lt;=$D75),AND($E75="biweekly",26&lt;=$D75,MOD(26-$C75,2)=0))),Flows!$C76,0))</f>
        <v/>
      </c>
      <c r="AF75" s="13">
        <f>IF(OR($A75="",Flows!$C76=""),0,IF(AND(27&lt;=Setup!$B$5,27&gt;=$C75,OR(AND($E75="once",27=$C75),AND($E75="weekly",27&lt;=$D75),AND($E75="biweekly",27&lt;=$D75,MOD(27-$C75,2)=0))),Flows!$C76,0))</f>
        <v/>
      </c>
      <c r="AG75" s="13">
        <f>IF(OR($A75="",Flows!$C76=""),0,IF(AND(28&lt;=Setup!$B$5,28&gt;=$C75,OR(AND($E75="once",28=$C75),AND($E75="weekly",28&lt;=$D75),AND($E75="biweekly",28&lt;=$D75,MOD(28-$C75,2)=0))),Flows!$C76,0))</f>
        <v/>
      </c>
      <c r="AH75" s="13">
        <f>IF(OR($A75="",Flows!$C76=""),0,IF(AND(29&lt;=Setup!$B$5,29&gt;=$C75,OR(AND($E75="once",29=$C75),AND($E75="weekly",29&lt;=$D75),AND($E75="biweekly",29&lt;=$D75,MOD(29-$C75,2)=0))),Flows!$C76,0))</f>
        <v/>
      </c>
      <c r="AI75" s="13">
        <f>IF(OR($A75="",Flows!$C76=""),0,IF(AND(30&lt;=Setup!$B$5,30&gt;=$C75,OR(AND($E75="once",30=$C75),AND($E75="weekly",30&lt;=$D75),AND($E75="biweekly",30&lt;=$D75,MOD(30-$C75,2)=0))),Flows!$C76,0))</f>
        <v/>
      </c>
      <c r="AJ75" s="13">
        <f>IF(OR($A75="",Flows!$C76=""),0,IF(AND(31&lt;=Setup!$B$5,31&gt;=$C75,OR(AND($E75="once",31=$C75),AND($E75="weekly",31&lt;=$D75),AND($E75="biweekly",31&lt;=$D75,MOD(31-$C75,2)=0))),Flows!$C76,0))</f>
        <v/>
      </c>
      <c r="AK75" s="13">
        <f>IF(OR($A75="",Flows!$C76=""),0,IF(AND(32&lt;=Setup!$B$5,32&gt;=$C75,OR(AND($E75="once",32=$C75),AND($E75="weekly",32&lt;=$D75),AND($E75="biweekly",32&lt;=$D75,MOD(32-$C75,2)=0))),Flows!$C76,0))</f>
        <v/>
      </c>
      <c r="AL75" s="13">
        <f>IF(OR($A75="",Flows!$C76=""),0,IF(AND(33&lt;=Setup!$B$5,33&gt;=$C75,OR(AND($E75="once",33=$C75),AND($E75="weekly",33&lt;=$D75),AND($E75="biweekly",33&lt;=$D75,MOD(33-$C75,2)=0))),Flows!$C76,0))</f>
        <v/>
      </c>
      <c r="AM75" s="13">
        <f>IF(OR($A75="",Flows!$C76=""),0,IF(AND(34&lt;=Setup!$B$5,34&gt;=$C75,OR(AND($E75="once",34=$C75),AND($E75="weekly",34&lt;=$D75),AND($E75="biweekly",34&lt;=$D75,MOD(34-$C75,2)=0))),Flows!$C76,0))</f>
        <v/>
      </c>
      <c r="AN75" s="13">
        <f>IF(OR($A75="",Flows!$C76=""),0,IF(AND(35&lt;=Setup!$B$5,35&gt;=$C75,OR(AND($E75="once",35=$C75),AND($E75="weekly",35&lt;=$D75),AND($E75="biweekly",35&lt;=$D75,MOD(35-$C75,2)=0))),Flows!$C76,0))</f>
        <v/>
      </c>
      <c r="AO75" s="13">
        <f>IF(OR($A75="",Flows!$C76=""),0,IF(AND(36&lt;=Setup!$B$5,36&gt;=$C75,OR(AND($E75="once",36=$C75),AND($E75="weekly",36&lt;=$D75),AND($E75="biweekly",36&lt;=$D75,MOD(36-$C75,2)=0))),Flows!$C76,0))</f>
        <v/>
      </c>
      <c r="AP75" s="13">
        <f>IF(OR($A75="",Flows!$C76=""),0,IF(AND(37&lt;=Setup!$B$5,37&gt;=$C75,OR(AND($E75="once",37=$C75),AND($E75="weekly",37&lt;=$D75),AND($E75="biweekly",37&lt;=$D75,MOD(37-$C75,2)=0))),Flows!$C76,0))</f>
        <v/>
      </c>
      <c r="AQ75" s="13">
        <f>IF(OR($A75="",Flows!$C76=""),0,IF(AND(38&lt;=Setup!$B$5,38&gt;=$C75,OR(AND($E75="once",38=$C75),AND($E75="weekly",38&lt;=$D75),AND($E75="biweekly",38&lt;=$D75,MOD(38-$C75,2)=0))),Flows!$C76,0))</f>
        <v/>
      </c>
      <c r="AR75" s="13">
        <f>IF(OR($A75="",Flows!$C76=""),0,IF(AND(39&lt;=Setup!$B$5,39&gt;=$C75,OR(AND($E75="once",39=$C75),AND($E75="weekly",39&lt;=$D75),AND($E75="biweekly",39&lt;=$D75,MOD(39-$C75,2)=0))),Flows!$C76,0))</f>
        <v/>
      </c>
      <c r="AS75" s="13">
        <f>IF(OR($A75="",Flows!$C76=""),0,IF(AND(40&lt;=Setup!$B$5,40&gt;=$C75,OR(AND($E75="once",40=$C75),AND($E75="weekly",40&lt;=$D75),AND($E75="biweekly",40&lt;=$D75,MOD(40-$C75,2)=0))),Flows!$C76,0))</f>
        <v/>
      </c>
      <c r="AT75" s="13">
        <f>IF(OR($A75="",Flows!$C76=""),0,IF(AND(41&lt;=Setup!$B$5,41&gt;=$C75,OR(AND($E75="once",41=$C75),AND($E75="weekly",41&lt;=$D75),AND($E75="biweekly",41&lt;=$D75,MOD(41-$C75,2)=0))),Flows!$C76,0))</f>
        <v/>
      </c>
      <c r="AU75" s="13">
        <f>IF(OR($A75="",Flows!$C76=""),0,IF(AND(42&lt;=Setup!$B$5,42&gt;=$C75,OR(AND($E75="once",42=$C75),AND($E75="weekly",42&lt;=$D75),AND($E75="biweekly",42&lt;=$D75,MOD(42-$C75,2)=0))),Flows!$C76,0))</f>
        <v/>
      </c>
      <c r="AV75" s="13">
        <f>IF(OR($A75="",Flows!$C76=""),0,IF(AND(43&lt;=Setup!$B$5,43&gt;=$C75,OR(AND($E75="once",43=$C75),AND($E75="weekly",43&lt;=$D75),AND($E75="biweekly",43&lt;=$D75,MOD(43-$C75,2)=0))),Flows!$C76,0))</f>
        <v/>
      </c>
      <c r="AW75" s="13">
        <f>IF(OR($A75="",Flows!$C76=""),0,IF(AND(44&lt;=Setup!$B$5,44&gt;=$C75,OR(AND($E75="once",44=$C75),AND($E75="weekly",44&lt;=$D75),AND($E75="biweekly",44&lt;=$D75,MOD(44-$C75,2)=0))),Flows!$C76,0))</f>
        <v/>
      </c>
      <c r="AX75" s="13">
        <f>IF(OR($A75="",Flows!$C76=""),0,IF(AND(45&lt;=Setup!$B$5,45&gt;=$C75,OR(AND($E75="once",45=$C75),AND($E75="weekly",45&lt;=$D75),AND($E75="biweekly",45&lt;=$D75,MOD(45-$C75,2)=0))),Flows!$C76,0))</f>
        <v/>
      </c>
      <c r="AY75" s="13">
        <f>IF(OR($A75="",Flows!$C76=""),0,IF(AND(46&lt;=Setup!$B$5,46&gt;=$C75,OR(AND($E75="once",46=$C75),AND($E75="weekly",46&lt;=$D75),AND($E75="biweekly",46&lt;=$D75,MOD(46-$C75,2)=0))),Flows!$C76,0))</f>
        <v/>
      </c>
      <c r="AZ75" s="13">
        <f>IF(OR($A75="",Flows!$C76=""),0,IF(AND(47&lt;=Setup!$B$5,47&gt;=$C75,OR(AND($E75="once",47=$C75),AND($E75="weekly",47&lt;=$D75),AND($E75="biweekly",47&lt;=$D75,MOD(47-$C75,2)=0))),Flows!$C76,0))</f>
        <v/>
      </c>
      <c r="BA75" s="13">
        <f>IF(OR($A75="",Flows!$C76=""),0,IF(AND(48&lt;=Setup!$B$5,48&gt;=$C75,OR(AND($E75="once",48=$C75),AND($E75="weekly",48&lt;=$D75),AND($E75="biweekly",48&lt;=$D75,MOD(48-$C75,2)=0))),Flows!$C76,0))</f>
        <v/>
      </c>
      <c r="BB75" s="13">
        <f>IF(OR($A75="",Flows!$C76=""),0,IF(AND(49&lt;=Setup!$B$5,49&gt;=$C75,OR(AND($E75="once",49=$C75),AND($E75="weekly",49&lt;=$D75),AND($E75="biweekly",49&lt;=$D75,MOD(49-$C75,2)=0))),Flows!$C76,0))</f>
        <v/>
      </c>
      <c r="BC75" s="13">
        <f>IF(OR($A75="",Flows!$C76=""),0,IF(AND(50&lt;=Setup!$B$5,50&gt;=$C75,OR(AND($E75="once",50=$C75),AND($E75="weekly",50&lt;=$D75),AND($E75="biweekly",50&lt;=$D75,MOD(50-$C75,2)=0))),Flows!$C76,0))</f>
        <v/>
      </c>
      <c r="BD75" s="13">
        <f>IF(OR($A75="",Flows!$C76=""),0,IF(AND(51&lt;=Setup!$B$5,51&gt;=$C75,OR(AND($E75="once",51=$C75),AND($E75="weekly",51&lt;=$D75),AND($E75="biweekly",51&lt;=$D75,MOD(51-$C75,2)=0))),Flows!$C76,0))</f>
        <v/>
      </c>
      <c r="BE75" s="13">
        <f>IF(OR($A75="",Flows!$C76=""),0,IF(AND(52&lt;=Setup!$B$5,52&gt;=$C75,OR(AND($E75="once",52=$C75),AND($E75="weekly",52&lt;=$D75),AND($E75="biweekly",52&lt;=$D75,MOD(52-$C75,2)=0))),Flows!$C76,0))</f>
        <v/>
      </c>
    </row>
    <row r="76">
      <c r="A76" s="7">
        <f>IF(Flows!A77="","",LOWER(Flows!A77))</f>
        <v/>
      </c>
      <c r="B76" s="7">
        <f>IF(Flows!B77="","",Flows!B77)</f>
        <v/>
      </c>
      <c r="C76" s="7">
        <f>N(Flows!D77)</f>
        <v/>
      </c>
      <c r="D76" s="7">
        <f>IF(Flows!F77="",Setup!$B$5,Flows!F77)</f>
        <v/>
      </c>
      <c r="E76" s="7">
        <f>IF(Flows!E77="","once",LOWER(Flows!E77))</f>
        <v/>
      </c>
      <c r="F76" s="13">
        <f>IF(OR($A76="",Flows!$C77=""),0,IF(AND(1&lt;=Setup!$B$5,1&gt;=$C76,OR(AND($E76="once",1=$C76),AND($E76="weekly",1&lt;=$D76),AND($E76="biweekly",1&lt;=$D76,MOD(1-$C76,2)=0))),Flows!$C77,0))</f>
        <v/>
      </c>
      <c r="G76" s="13">
        <f>IF(OR($A76="",Flows!$C77=""),0,IF(AND(2&lt;=Setup!$B$5,2&gt;=$C76,OR(AND($E76="once",2=$C76),AND($E76="weekly",2&lt;=$D76),AND($E76="biweekly",2&lt;=$D76,MOD(2-$C76,2)=0))),Flows!$C77,0))</f>
        <v/>
      </c>
      <c r="H76" s="13">
        <f>IF(OR($A76="",Flows!$C77=""),0,IF(AND(3&lt;=Setup!$B$5,3&gt;=$C76,OR(AND($E76="once",3=$C76),AND($E76="weekly",3&lt;=$D76),AND($E76="biweekly",3&lt;=$D76,MOD(3-$C76,2)=0))),Flows!$C77,0))</f>
        <v/>
      </c>
      <c r="I76" s="13">
        <f>IF(OR($A76="",Flows!$C77=""),0,IF(AND(4&lt;=Setup!$B$5,4&gt;=$C76,OR(AND($E76="once",4=$C76),AND($E76="weekly",4&lt;=$D76),AND($E76="biweekly",4&lt;=$D76,MOD(4-$C76,2)=0))),Flows!$C77,0))</f>
        <v/>
      </c>
      <c r="J76" s="13">
        <f>IF(OR($A76="",Flows!$C77=""),0,IF(AND(5&lt;=Setup!$B$5,5&gt;=$C76,OR(AND($E76="once",5=$C76),AND($E76="weekly",5&lt;=$D76),AND($E76="biweekly",5&lt;=$D76,MOD(5-$C76,2)=0))),Flows!$C77,0))</f>
        <v/>
      </c>
      <c r="K76" s="13">
        <f>IF(OR($A76="",Flows!$C77=""),0,IF(AND(6&lt;=Setup!$B$5,6&gt;=$C76,OR(AND($E76="once",6=$C76),AND($E76="weekly",6&lt;=$D76),AND($E76="biweekly",6&lt;=$D76,MOD(6-$C76,2)=0))),Flows!$C77,0))</f>
        <v/>
      </c>
      <c r="L76" s="13">
        <f>IF(OR($A76="",Flows!$C77=""),0,IF(AND(7&lt;=Setup!$B$5,7&gt;=$C76,OR(AND($E76="once",7=$C76),AND($E76="weekly",7&lt;=$D76),AND($E76="biweekly",7&lt;=$D76,MOD(7-$C76,2)=0))),Flows!$C77,0))</f>
        <v/>
      </c>
      <c r="M76" s="13">
        <f>IF(OR($A76="",Flows!$C77=""),0,IF(AND(8&lt;=Setup!$B$5,8&gt;=$C76,OR(AND($E76="once",8=$C76),AND($E76="weekly",8&lt;=$D76),AND($E76="biweekly",8&lt;=$D76,MOD(8-$C76,2)=0))),Flows!$C77,0))</f>
        <v/>
      </c>
      <c r="N76" s="13">
        <f>IF(OR($A76="",Flows!$C77=""),0,IF(AND(9&lt;=Setup!$B$5,9&gt;=$C76,OR(AND($E76="once",9=$C76),AND($E76="weekly",9&lt;=$D76),AND($E76="biweekly",9&lt;=$D76,MOD(9-$C76,2)=0))),Flows!$C77,0))</f>
        <v/>
      </c>
      <c r="O76" s="13">
        <f>IF(OR($A76="",Flows!$C77=""),0,IF(AND(10&lt;=Setup!$B$5,10&gt;=$C76,OR(AND($E76="once",10=$C76),AND($E76="weekly",10&lt;=$D76),AND($E76="biweekly",10&lt;=$D76,MOD(10-$C76,2)=0))),Flows!$C77,0))</f>
        <v/>
      </c>
      <c r="P76" s="13">
        <f>IF(OR($A76="",Flows!$C77=""),0,IF(AND(11&lt;=Setup!$B$5,11&gt;=$C76,OR(AND($E76="once",11=$C76),AND($E76="weekly",11&lt;=$D76),AND($E76="biweekly",11&lt;=$D76,MOD(11-$C76,2)=0))),Flows!$C77,0))</f>
        <v/>
      </c>
      <c r="Q76" s="13">
        <f>IF(OR($A76="",Flows!$C77=""),0,IF(AND(12&lt;=Setup!$B$5,12&gt;=$C76,OR(AND($E76="once",12=$C76),AND($E76="weekly",12&lt;=$D76),AND($E76="biweekly",12&lt;=$D76,MOD(12-$C76,2)=0))),Flows!$C77,0))</f>
        <v/>
      </c>
      <c r="R76" s="13">
        <f>IF(OR($A76="",Flows!$C77=""),0,IF(AND(13&lt;=Setup!$B$5,13&gt;=$C76,OR(AND($E76="once",13=$C76),AND($E76="weekly",13&lt;=$D76),AND($E76="biweekly",13&lt;=$D76,MOD(13-$C76,2)=0))),Flows!$C77,0))</f>
        <v/>
      </c>
      <c r="S76" s="13">
        <f>IF(OR($A76="",Flows!$C77=""),0,IF(AND(14&lt;=Setup!$B$5,14&gt;=$C76,OR(AND($E76="once",14=$C76),AND($E76="weekly",14&lt;=$D76),AND($E76="biweekly",14&lt;=$D76,MOD(14-$C76,2)=0))),Flows!$C77,0))</f>
        <v/>
      </c>
      <c r="T76" s="13">
        <f>IF(OR($A76="",Flows!$C77=""),0,IF(AND(15&lt;=Setup!$B$5,15&gt;=$C76,OR(AND($E76="once",15=$C76),AND($E76="weekly",15&lt;=$D76),AND($E76="biweekly",15&lt;=$D76,MOD(15-$C76,2)=0))),Flows!$C77,0))</f>
        <v/>
      </c>
      <c r="U76" s="13">
        <f>IF(OR($A76="",Flows!$C77=""),0,IF(AND(16&lt;=Setup!$B$5,16&gt;=$C76,OR(AND($E76="once",16=$C76),AND($E76="weekly",16&lt;=$D76),AND($E76="biweekly",16&lt;=$D76,MOD(16-$C76,2)=0))),Flows!$C77,0))</f>
        <v/>
      </c>
      <c r="V76" s="13">
        <f>IF(OR($A76="",Flows!$C77=""),0,IF(AND(17&lt;=Setup!$B$5,17&gt;=$C76,OR(AND($E76="once",17=$C76),AND($E76="weekly",17&lt;=$D76),AND($E76="biweekly",17&lt;=$D76,MOD(17-$C76,2)=0))),Flows!$C77,0))</f>
        <v/>
      </c>
      <c r="W76" s="13">
        <f>IF(OR($A76="",Flows!$C77=""),0,IF(AND(18&lt;=Setup!$B$5,18&gt;=$C76,OR(AND($E76="once",18=$C76),AND($E76="weekly",18&lt;=$D76),AND($E76="biweekly",18&lt;=$D76,MOD(18-$C76,2)=0))),Flows!$C77,0))</f>
        <v/>
      </c>
      <c r="X76" s="13">
        <f>IF(OR($A76="",Flows!$C77=""),0,IF(AND(19&lt;=Setup!$B$5,19&gt;=$C76,OR(AND($E76="once",19=$C76),AND($E76="weekly",19&lt;=$D76),AND($E76="biweekly",19&lt;=$D76,MOD(19-$C76,2)=0))),Flows!$C77,0))</f>
        <v/>
      </c>
      <c r="Y76" s="13">
        <f>IF(OR($A76="",Flows!$C77=""),0,IF(AND(20&lt;=Setup!$B$5,20&gt;=$C76,OR(AND($E76="once",20=$C76),AND($E76="weekly",20&lt;=$D76),AND($E76="biweekly",20&lt;=$D76,MOD(20-$C76,2)=0))),Flows!$C77,0))</f>
        <v/>
      </c>
      <c r="Z76" s="13">
        <f>IF(OR($A76="",Flows!$C77=""),0,IF(AND(21&lt;=Setup!$B$5,21&gt;=$C76,OR(AND($E76="once",21=$C76),AND($E76="weekly",21&lt;=$D76),AND($E76="biweekly",21&lt;=$D76,MOD(21-$C76,2)=0))),Flows!$C77,0))</f>
        <v/>
      </c>
      <c r="AA76" s="13">
        <f>IF(OR($A76="",Flows!$C77=""),0,IF(AND(22&lt;=Setup!$B$5,22&gt;=$C76,OR(AND($E76="once",22=$C76),AND($E76="weekly",22&lt;=$D76),AND($E76="biweekly",22&lt;=$D76,MOD(22-$C76,2)=0))),Flows!$C77,0))</f>
        <v/>
      </c>
      <c r="AB76" s="13">
        <f>IF(OR($A76="",Flows!$C77=""),0,IF(AND(23&lt;=Setup!$B$5,23&gt;=$C76,OR(AND($E76="once",23=$C76),AND($E76="weekly",23&lt;=$D76),AND($E76="biweekly",23&lt;=$D76,MOD(23-$C76,2)=0))),Flows!$C77,0))</f>
        <v/>
      </c>
      <c r="AC76" s="13">
        <f>IF(OR($A76="",Flows!$C77=""),0,IF(AND(24&lt;=Setup!$B$5,24&gt;=$C76,OR(AND($E76="once",24=$C76),AND($E76="weekly",24&lt;=$D76),AND($E76="biweekly",24&lt;=$D76,MOD(24-$C76,2)=0))),Flows!$C77,0))</f>
        <v/>
      </c>
      <c r="AD76" s="13">
        <f>IF(OR($A76="",Flows!$C77=""),0,IF(AND(25&lt;=Setup!$B$5,25&gt;=$C76,OR(AND($E76="once",25=$C76),AND($E76="weekly",25&lt;=$D76),AND($E76="biweekly",25&lt;=$D76,MOD(25-$C76,2)=0))),Flows!$C77,0))</f>
        <v/>
      </c>
      <c r="AE76" s="13">
        <f>IF(OR($A76="",Flows!$C77=""),0,IF(AND(26&lt;=Setup!$B$5,26&gt;=$C76,OR(AND($E76="once",26=$C76),AND($E76="weekly",26&lt;=$D76),AND($E76="biweekly",26&lt;=$D76,MOD(26-$C76,2)=0))),Flows!$C77,0))</f>
        <v/>
      </c>
      <c r="AF76" s="13">
        <f>IF(OR($A76="",Flows!$C77=""),0,IF(AND(27&lt;=Setup!$B$5,27&gt;=$C76,OR(AND($E76="once",27=$C76),AND($E76="weekly",27&lt;=$D76),AND($E76="biweekly",27&lt;=$D76,MOD(27-$C76,2)=0))),Flows!$C77,0))</f>
        <v/>
      </c>
      <c r="AG76" s="13">
        <f>IF(OR($A76="",Flows!$C77=""),0,IF(AND(28&lt;=Setup!$B$5,28&gt;=$C76,OR(AND($E76="once",28=$C76),AND($E76="weekly",28&lt;=$D76),AND($E76="biweekly",28&lt;=$D76,MOD(28-$C76,2)=0))),Flows!$C77,0))</f>
        <v/>
      </c>
      <c r="AH76" s="13">
        <f>IF(OR($A76="",Flows!$C77=""),0,IF(AND(29&lt;=Setup!$B$5,29&gt;=$C76,OR(AND($E76="once",29=$C76),AND($E76="weekly",29&lt;=$D76),AND($E76="biweekly",29&lt;=$D76,MOD(29-$C76,2)=0))),Flows!$C77,0))</f>
        <v/>
      </c>
      <c r="AI76" s="13">
        <f>IF(OR($A76="",Flows!$C77=""),0,IF(AND(30&lt;=Setup!$B$5,30&gt;=$C76,OR(AND($E76="once",30=$C76),AND($E76="weekly",30&lt;=$D76),AND($E76="biweekly",30&lt;=$D76,MOD(30-$C76,2)=0))),Flows!$C77,0))</f>
        <v/>
      </c>
      <c r="AJ76" s="13">
        <f>IF(OR($A76="",Flows!$C77=""),0,IF(AND(31&lt;=Setup!$B$5,31&gt;=$C76,OR(AND($E76="once",31=$C76),AND($E76="weekly",31&lt;=$D76),AND($E76="biweekly",31&lt;=$D76,MOD(31-$C76,2)=0))),Flows!$C77,0))</f>
        <v/>
      </c>
      <c r="AK76" s="13">
        <f>IF(OR($A76="",Flows!$C77=""),0,IF(AND(32&lt;=Setup!$B$5,32&gt;=$C76,OR(AND($E76="once",32=$C76),AND($E76="weekly",32&lt;=$D76),AND($E76="biweekly",32&lt;=$D76,MOD(32-$C76,2)=0))),Flows!$C77,0))</f>
        <v/>
      </c>
      <c r="AL76" s="13">
        <f>IF(OR($A76="",Flows!$C77=""),0,IF(AND(33&lt;=Setup!$B$5,33&gt;=$C76,OR(AND($E76="once",33=$C76),AND($E76="weekly",33&lt;=$D76),AND($E76="biweekly",33&lt;=$D76,MOD(33-$C76,2)=0))),Flows!$C77,0))</f>
        <v/>
      </c>
      <c r="AM76" s="13">
        <f>IF(OR($A76="",Flows!$C77=""),0,IF(AND(34&lt;=Setup!$B$5,34&gt;=$C76,OR(AND($E76="once",34=$C76),AND($E76="weekly",34&lt;=$D76),AND($E76="biweekly",34&lt;=$D76,MOD(34-$C76,2)=0))),Flows!$C77,0))</f>
        <v/>
      </c>
      <c r="AN76" s="13">
        <f>IF(OR($A76="",Flows!$C77=""),0,IF(AND(35&lt;=Setup!$B$5,35&gt;=$C76,OR(AND($E76="once",35=$C76),AND($E76="weekly",35&lt;=$D76),AND($E76="biweekly",35&lt;=$D76,MOD(35-$C76,2)=0))),Flows!$C77,0))</f>
        <v/>
      </c>
      <c r="AO76" s="13">
        <f>IF(OR($A76="",Flows!$C77=""),0,IF(AND(36&lt;=Setup!$B$5,36&gt;=$C76,OR(AND($E76="once",36=$C76),AND($E76="weekly",36&lt;=$D76),AND($E76="biweekly",36&lt;=$D76,MOD(36-$C76,2)=0))),Flows!$C77,0))</f>
        <v/>
      </c>
      <c r="AP76" s="13">
        <f>IF(OR($A76="",Flows!$C77=""),0,IF(AND(37&lt;=Setup!$B$5,37&gt;=$C76,OR(AND($E76="once",37=$C76),AND($E76="weekly",37&lt;=$D76),AND($E76="biweekly",37&lt;=$D76,MOD(37-$C76,2)=0))),Flows!$C77,0))</f>
        <v/>
      </c>
      <c r="AQ76" s="13">
        <f>IF(OR($A76="",Flows!$C77=""),0,IF(AND(38&lt;=Setup!$B$5,38&gt;=$C76,OR(AND($E76="once",38=$C76),AND($E76="weekly",38&lt;=$D76),AND($E76="biweekly",38&lt;=$D76,MOD(38-$C76,2)=0))),Flows!$C77,0))</f>
        <v/>
      </c>
      <c r="AR76" s="13">
        <f>IF(OR($A76="",Flows!$C77=""),0,IF(AND(39&lt;=Setup!$B$5,39&gt;=$C76,OR(AND($E76="once",39=$C76),AND($E76="weekly",39&lt;=$D76),AND($E76="biweekly",39&lt;=$D76,MOD(39-$C76,2)=0))),Flows!$C77,0))</f>
        <v/>
      </c>
      <c r="AS76" s="13">
        <f>IF(OR($A76="",Flows!$C77=""),0,IF(AND(40&lt;=Setup!$B$5,40&gt;=$C76,OR(AND($E76="once",40=$C76),AND($E76="weekly",40&lt;=$D76),AND($E76="biweekly",40&lt;=$D76,MOD(40-$C76,2)=0))),Flows!$C77,0))</f>
        <v/>
      </c>
      <c r="AT76" s="13">
        <f>IF(OR($A76="",Flows!$C77=""),0,IF(AND(41&lt;=Setup!$B$5,41&gt;=$C76,OR(AND($E76="once",41=$C76),AND($E76="weekly",41&lt;=$D76),AND($E76="biweekly",41&lt;=$D76,MOD(41-$C76,2)=0))),Flows!$C77,0))</f>
        <v/>
      </c>
      <c r="AU76" s="13">
        <f>IF(OR($A76="",Flows!$C77=""),0,IF(AND(42&lt;=Setup!$B$5,42&gt;=$C76,OR(AND($E76="once",42=$C76),AND($E76="weekly",42&lt;=$D76),AND($E76="biweekly",42&lt;=$D76,MOD(42-$C76,2)=0))),Flows!$C77,0))</f>
        <v/>
      </c>
      <c r="AV76" s="13">
        <f>IF(OR($A76="",Flows!$C77=""),0,IF(AND(43&lt;=Setup!$B$5,43&gt;=$C76,OR(AND($E76="once",43=$C76),AND($E76="weekly",43&lt;=$D76),AND($E76="biweekly",43&lt;=$D76,MOD(43-$C76,2)=0))),Flows!$C77,0))</f>
        <v/>
      </c>
      <c r="AW76" s="13">
        <f>IF(OR($A76="",Flows!$C77=""),0,IF(AND(44&lt;=Setup!$B$5,44&gt;=$C76,OR(AND($E76="once",44=$C76),AND($E76="weekly",44&lt;=$D76),AND($E76="biweekly",44&lt;=$D76,MOD(44-$C76,2)=0))),Flows!$C77,0))</f>
        <v/>
      </c>
      <c r="AX76" s="13">
        <f>IF(OR($A76="",Flows!$C77=""),0,IF(AND(45&lt;=Setup!$B$5,45&gt;=$C76,OR(AND($E76="once",45=$C76),AND($E76="weekly",45&lt;=$D76),AND($E76="biweekly",45&lt;=$D76,MOD(45-$C76,2)=0))),Flows!$C77,0))</f>
        <v/>
      </c>
      <c r="AY76" s="13">
        <f>IF(OR($A76="",Flows!$C77=""),0,IF(AND(46&lt;=Setup!$B$5,46&gt;=$C76,OR(AND($E76="once",46=$C76),AND($E76="weekly",46&lt;=$D76),AND($E76="biweekly",46&lt;=$D76,MOD(46-$C76,2)=0))),Flows!$C77,0))</f>
        <v/>
      </c>
      <c r="AZ76" s="13">
        <f>IF(OR($A76="",Flows!$C77=""),0,IF(AND(47&lt;=Setup!$B$5,47&gt;=$C76,OR(AND($E76="once",47=$C76),AND($E76="weekly",47&lt;=$D76),AND($E76="biweekly",47&lt;=$D76,MOD(47-$C76,2)=0))),Flows!$C77,0))</f>
        <v/>
      </c>
      <c r="BA76" s="13">
        <f>IF(OR($A76="",Flows!$C77=""),0,IF(AND(48&lt;=Setup!$B$5,48&gt;=$C76,OR(AND($E76="once",48=$C76),AND($E76="weekly",48&lt;=$D76),AND($E76="biweekly",48&lt;=$D76,MOD(48-$C76,2)=0))),Flows!$C77,0))</f>
        <v/>
      </c>
      <c r="BB76" s="13">
        <f>IF(OR($A76="",Flows!$C77=""),0,IF(AND(49&lt;=Setup!$B$5,49&gt;=$C76,OR(AND($E76="once",49=$C76),AND($E76="weekly",49&lt;=$D76),AND($E76="biweekly",49&lt;=$D76,MOD(49-$C76,2)=0))),Flows!$C77,0))</f>
        <v/>
      </c>
      <c r="BC76" s="13">
        <f>IF(OR($A76="",Flows!$C77=""),0,IF(AND(50&lt;=Setup!$B$5,50&gt;=$C76,OR(AND($E76="once",50=$C76),AND($E76="weekly",50&lt;=$D76),AND($E76="biweekly",50&lt;=$D76,MOD(50-$C76,2)=0))),Flows!$C77,0))</f>
        <v/>
      </c>
      <c r="BD76" s="13">
        <f>IF(OR($A76="",Flows!$C77=""),0,IF(AND(51&lt;=Setup!$B$5,51&gt;=$C76,OR(AND($E76="once",51=$C76),AND($E76="weekly",51&lt;=$D76),AND($E76="biweekly",51&lt;=$D76,MOD(51-$C76,2)=0))),Flows!$C77,0))</f>
        <v/>
      </c>
      <c r="BE76" s="13">
        <f>IF(OR($A76="",Flows!$C77=""),0,IF(AND(52&lt;=Setup!$B$5,52&gt;=$C76,OR(AND($E76="once",52=$C76),AND($E76="weekly",52&lt;=$D76),AND($E76="biweekly",52&lt;=$D76,MOD(52-$C76,2)=0))),Flows!$C77,0))</f>
        <v/>
      </c>
    </row>
    <row r="77">
      <c r="A77" s="7">
        <f>IF(Flows!A78="","",LOWER(Flows!A78))</f>
        <v/>
      </c>
      <c r="B77" s="7">
        <f>IF(Flows!B78="","",Flows!B78)</f>
        <v/>
      </c>
      <c r="C77" s="7">
        <f>N(Flows!D78)</f>
        <v/>
      </c>
      <c r="D77" s="7">
        <f>IF(Flows!F78="",Setup!$B$5,Flows!F78)</f>
        <v/>
      </c>
      <c r="E77" s="7">
        <f>IF(Flows!E78="","once",LOWER(Flows!E78))</f>
        <v/>
      </c>
      <c r="F77" s="13">
        <f>IF(OR($A77="",Flows!$C78=""),0,IF(AND(1&lt;=Setup!$B$5,1&gt;=$C77,OR(AND($E77="once",1=$C77),AND($E77="weekly",1&lt;=$D77),AND($E77="biweekly",1&lt;=$D77,MOD(1-$C77,2)=0))),Flows!$C78,0))</f>
        <v/>
      </c>
      <c r="G77" s="13">
        <f>IF(OR($A77="",Flows!$C78=""),0,IF(AND(2&lt;=Setup!$B$5,2&gt;=$C77,OR(AND($E77="once",2=$C77),AND($E77="weekly",2&lt;=$D77),AND($E77="biweekly",2&lt;=$D77,MOD(2-$C77,2)=0))),Flows!$C78,0))</f>
        <v/>
      </c>
      <c r="H77" s="13">
        <f>IF(OR($A77="",Flows!$C78=""),0,IF(AND(3&lt;=Setup!$B$5,3&gt;=$C77,OR(AND($E77="once",3=$C77),AND($E77="weekly",3&lt;=$D77),AND($E77="biweekly",3&lt;=$D77,MOD(3-$C77,2)=0))),Flows!$C78,0))</f>
        <v/>
      </c>
      <c r="I77" s="13">
        <f>IF(OR($A77="",Flows!$C78=""),0,IF(AND(4&lt;=Setup!$B$5,4&gt;=$C77,OR(AND($E77="once",4=$C77),AND($E77="weekly",4&lt;=$D77),AND($E77="biweekly",4&lt;=$D77,MOD(4-$C77,2)=0))),Flows!$C78,0))</f>
        <v/>
      </c>
      <c r="J77" s="13">
        <f>IF(OR($A77="",Flows!$C78=""),0,IF(AND(5&lt;=Setup!$B$5,5&gt;=$C77,OR(AND($E77="once",5=$C77),AND($E77="weekly",5&lt;=$D77),AND($E77="biweekly",5&lt;=$D77,MOD(5-$C77,2)=0))),Flows!$C78,0))</f>
        <v/>
      </c>
      <c r="K77" s="13">
        <f>IF(OR($A77="",Flows!$C78=""),0,IF(AND(6&lt;=Setup!$B$5,6&gt;=$C77,OR(AND($E77="once",6=$C77),AND($E77="weekly",6&lt;=$D77),AND($E77="biweekly",6&lt;=$D77,MOD(6-$C77,2)=0))),Flows!$C78,0))</f>
        <v/>
      </c>
      <c r="L77" s="13">
        <f>IF(OR($A77="",Flows!$C78=""),0,IF(AND(7&lt;=Setup!$B$5,7&gt;=$C77,OR(AND($E77="once",7=$C77),AND($E77="weekly",7&lt;=$D77),AND($E77="biweekly",7&lt;=$D77,MOD(7-$C77,2)=0))),Flows!$C78,0))</f>
        <v/>
      </c>
      <c r="M77" s="13">
        <f>IF(OR($A77="",Flows!$C78=""),0,IF(AND(8&lt;=Setup!$B$5,8&gt;=$C77,OR(AND($E77="once",8=$C77),AND($E77="weekly",8&lt;=$D77),AND($E77="biweekly",8&lt;=$D77,MOD(8-$C77,2)=0))),Flows!$C78,0))</f>
        <v/>
      </c>
      <c r="N77" s="13">
        <f>IF(OR($A77="",Flows!$C78=""),0,IF(AND(9&lt;=Setup!$B$5,9&gt;=$C77,OR(AND($E77="once",9=$C77),AND($E77="weekly",9&lt;=$D77),AND($E77="biweekly",9&lt;=$D77,MOD(9-$C77,2)=0))),Flows!$C78,0))</f>
        <v/>
      </c>
      <c r="O77" s="13">
        <f>IF(OR($A77="",Flows!$C78=""),0,IF(AND(10&lt;=Setup!$B$5,10&gt;=$C77,OR(AND($E77="once",10=$C77),AND($E77="weekly",10&lt;=$D77),AND($E77="biweekly",10&lt;=$D77,MOD(10-$C77,2)=0))),Flows!$C78,0))</f>
        <v/>
      </c>
      <c r="P77" s="13">
        <f>IF(OR($A77="",Flows!$C78=""),0,IF(AND(11&lt;=Setup!$B$5,11&gt;=$C77,OR(AND($E77="once",11=$C77),AND($E77="weekly",11&lt;=$D77),AND($E77="biweekly",11&lt;=$D77,MOD(11-$C77,2)=0))),Flows!$C78,0))</f>
        <v/>
      </c>
      <c r="Q77" s="13">
        <f>IF(OR($A77="",Flows!$C78=""),0,IF(AND(12&lt;=Setup!$B$5,12&gt;=$C77,OR(AND($E77="once",12=$C77),AND($E77="weekly",12&lt;=$D77),AND($E77="biweekly",12&lt;=$D77,MOD(12-$C77,2)=0))),Flows!$C78,0))</f>
        <v/>
      </c>
      <c r="R77" s="13">
        <f>IF(OR($A77="",Flows!$C78=""),0,IF(AND(13&lt;=Setup!$B$5,13&gt;=$C77,OR(AND($E77="once",13=$C77),AND($E77="weekly",13&lt;=$D77),AND($E77="biweekly",13&lt;=$D77,MOD(13-$C77,2)=0))),Flows!$C78,0))</f>
        <v/>
      </c>
      <c r="S77" s="13">
        <f>IF(OR($A77="",Flows!$C78=""),0,IF(AND(14&lt;=Setup!$B$5,14&gt;=$C77,OR(AND($E77="once",14=$C77),AND($E77="weekly",14&lt;=$D77),AND($E77="biweekly",14&lt;=$D77,MOD(14-$C77,2)=0))),Flows!$C78,0))</f>
        <v/>
      </c>
      <c r="T77" s="13">
        <f>IF(OR($A77="",Flows!$C78=""),0,IF(AND(15&lt;=Setup!$B$5,15&gt;=$C77,OR(AND($E77="once",15=$C77),AND($E77="weekly",15&lt;=$D77),AND($E77="biweekly",15&lt;=$D77,MOD(15-$C77,2)=0))),Flows!$C78,0))</f>
        <v/>
      </c>
      <c r="U77" s="13">
        <f>IF(OR($A77="",Flows!$C78=""),0,IF(AND(16&lt;=Setup!$B$5,16&gt;=$C77,OR(AND($E77="once",16=$C77),AND($E77="weekly",16&lt;=$D77),AND($E77="biweekly",16&lt;=$D77,MOD(16-$C77,2)=0))),Flows!$C78,0))</f>
        <v/>
      </c>
      <c r="V77" s="13">
        <f>IF(OR($A77="",Flows!$C78=""),0,IF(AND(17&lt;=Setup!$B$5,17&gt;=$C77,OR(AND($E77="once",17=$C77),AND($E77="weekly",17&lt;=$D77),AND($E77="biweekly",17&lt;=$D77,MOD(17-$C77,2)=0))),Flows!$C78,0))</f>
        <v/>
      </c>
      <c r="W77" s="13">
        <f>IF(OR($A77="",Flows!$C78=""),0,IF(AND(18&lt;=Setup!$B$5,18&gt;=$C77,OR(AND($E77="once",18=$C77),AND($E77="weekly",18&lt;=$D77),AND($E77="biweekly",18&lt;=$D77,MOD(18-$C77,2)=0))),Flows!$C78,0))</f>
        <v/>
      </c>
      <c r="X77" s="13">
        <f>IF(OR($A77="",Flows!$C78=""),0,IF(AND(19&lt;=Setup!$B$5,19&gt;=$C77,OR(AND($E77="once",19=$C77),AND($E77="weekly",19&lt;=$D77),AND($E77="biweekly",19&lt;=$D77,MOD(19-$C77,2)=0))),Flows!$C78,0))</f>
        <v/>
      </c>
      <c r="Y77" s="13">
        <f>IF(OR($A77="",Flows!$C78=""),0,IF(AND(20&lt;=Setup!$B$5,20&gt;=$C77,OR(AND($E77="once",20=$C77),AND($E77="weekly",20&lt;=$D77),AND($E77="biweekly",20&lt;=$D77,MOD(20-$C77,2)=0))),Flows!$C78,0))</f>
        <v/>
      </c>
      <c r="Z77" s="13">
        <f>IF(OR($A77="",Flows!$C78=""),0,IF(AND(21&lt;=Setup!$B$5,21&gt;=$C77,OR(AND($E77="once",21=$C77),AND($E77="weekly",21&lt;=$D77),AND($E77="biweekly",21&lt;=$D77,MOD(21-$C77,2)=0))),Flows!$C78,0))</f>
        <v/>
      </c>
      <c r="AA77" s="13">
        <f>IF(OR($A77="",Flows!$C78=""),0,IF(AND(22&lt;=Setup!$B$5,22&gt;=$C77,OR(AND($E77="once",22=$C77),AND($E77="weekly",22&lt;=$D77),AND($E77="biweekly",22&lt;=$D77,MOD(22-$C77,2)=0))),Flows!$C78,0))</f>
        <v/>
      </c>
      <c r="AB77" s="13">
        <f>IF(OR($A77="",Flows!$C78=""),0,IF(AND(23&lt;=Setup!$B$5,23&gt;=$C77,OR(AND($E77="once",23=$C77),AND($E77="weekly",23&lt;=$D77),AND($E77="biweekly",23&lt;=$D77,MOD(23-$C77,2)=0))),Flows!$C78,0))</f>
        <v/>
      </c>
      <c r="AC77" s="13">
        <f>IF(OR($A77="",Flows!$C78=""),0,IF(AND(24&lt;=Setup!$B$5,24&gt;=$C77,OR(AND($E77="once",24=$C77),AND($E77="weekly",24&lt;=$D77),AND($E77="biweekly",24&lt;=$D77,MOD(24-$C77,2)=0))),Flows!$C78,0))</f>
        <v/>
      </c>
      <c r="AD77" s="13">
        <f>IF(OR($A77="",Flows!$C78=""),0,IF(AND(25&lt;=Setup!$B$5,25&gt;=$C77,OR(AND($E77="once",25=$C77),AND($E77="weekly",25&lt;=$D77),AND($E77="biweekly",25&lt;=$D77,MOD(25-$C77,2)=0))),Flows!$C78,0))</f>
        <v/>
      </c>
      <c r="AE77" s="13">
        <f>IF(OR($A77="",Flows!$C78=""),0,IF(AND(26&lt;=Setup!$B$5,26&gt;=$C77,OR(AND($E77="once",26=$C77),AND($E77="weekly",26&lt;=$D77),AND($E77="biweekly",26&lt;=$D77,MOD(26-$C77,2)=0))),Flows!$C78,0))</f>
        <v/>
      </c>
      <c r="AF77" s="13">
        <f>IF(OR($A77="",Flows!$C78=""),0,IF(AND(27&lt;=Setup!$B$5,27&gt;=$C77,OR(AND($E77="once",27=$C77),AND($E77="weekly",27&lt;=$D77),AND($E77="biweekly",27&lt;=$D77,MOD(27-$C77,2)=0))),Flows!$C78,0))</f>
        <v/>
      </c>
      <c r="AG77" s="13">
        <f>IF(OR($A77="",Flows!$C78=""),0,IF(AND(28&lt;=Setup!$B$5,28&gt;=$C77,OR(AND($E77="once",28=$C77),AND($E77="weekly",28&lt;=$D77),AND($E77="biweekly",28&lt;=$D77,MOD(28-$C77,2)=0))),Flows!$C78,0))</f>
        <v/>
      </c>
      <c r="AH77" s="13">
        <f>IF(OR($A77="",Flows!$C78=""),0,IF(AND(29&lt;=Setup!$B$5,29&gt;=$C77,OR(AND($E77="once",29=$C77),AND($E77="weekly",29&lt;=$D77),AND($E77="biweekly",29&lt;=$D77,MOD(29-$C77,2)=0))),Flows!$C78,0))</f>
        <v/>
      </c>
      <c r="AI77" s="13">
        <f>IF(OR($A77="",Flows!$C78=""),0,IF(AND(30&lt;=Setup!$B$5,30&gt;=$C77,OR(AND($E77="once",30=$C77),AND($E77="weekly",30&lt;=$D77),AND($E77="biweekly",30&lt;=$D77,MOD(30-$C77,2)=0))),Flows!$C78,0))</f>
        <v/>
      </c>
      <c r="AJ77" s="13">
        <f>IF(OR($A77="",Flows!$C78=""),0,IF(AND(31&lt;=Setup!$B$5,31&gt;=$C77,OR(AND($E77="once",31=$C77),AND($E77="weekly",31&lt;=$D77),AND($E77="biweekly",31&lt;=$D77,MOD(31-$C77,2)=0))),Flows!$C78,0))</f>
        <v/>
      </c>
      <c r="AK77" s="13">
        <f>IF(OR($A77="",Flows!$C78=""),0,IF(AND(32&lt;=Setup!$B$5,32&gt;=$C77,OR(AND($E77="once",32=$C77),AND($E77="weekly",32&lt;=$D77),AND($E77="biweekly",32&lt;=$D77,MOD(32-$C77,2)=0))),Flows!$C78,0))</f>
        <v/>
      </c>
      <c r="AL77" s="13">
        <f>IF(OR($A77="",Flows!$C78=""),0,IF(AND(33&lt;=Setup!$B$5,33&gt;=$C77,OR(AND($E77="once",33=$C77),AND($E77="weekly",33&lt;=$D77),AND($E77="biweekly",33&lt;=$D77,MOD(33-$C77,2)=0))),Flows!$C78,0))</f>
        <v/>
      </c>
      <c r="AM77" s="13">
        <f>IF(OR($A77="",Flows!$C78=""),0,IF(AND(34&lt;=Setup!$B$5,34&gt;=$C77,OR(AND($E77="once",34=$C77),AND($E77="weekly",34&lt;=$D77),AND($E77="biweekly",34&lt;=$D77,MOD(34-$C77,2)=0))),Flows!$C78,0))</f>
        <v/>
      </c>
      <c r="AN77" s="13">
        <f>IF(OR($A77="",Flows!$C78=""),0,IF(AND(35&lt;=Setup!$B$5,35&gt;=$C77,OR(AND($E77="once",35=$C77),AND($E77="weekly",35&lt;=$D77),AND($E77="biweekly",35&lt;=$D77,MOD(35-$C77,2)=0))),Flows!$C78,0))</f>
        <v/>
      </c>
      <c r="AO77" s="13">
        <f>IF(OR($A77="",Flows!$C78=""),0,IF(AND(36&lt;=Setup!$B$5,36&gt;=$C77,OR(AND($E77="once",36=$C77),AND($E77="weekly",36&lt;=$D77),AND($E77="biweekly",36&lt;=$D77,MOD(36-$C77,2)=0))),Flows!$C78,0))</f>
        <v/>
      </c>
      <c r="AP77" s="13">
        <f>IF(OR($A77="",Flows!$C78=""),0,IF(AND(37&lt;=Setup!$B$5,37&gt;=$C77,OR(AND($E77="once",37=$C77),AND($E77="weekly",37&lt;=$D77),AND($E77="biweekly",37&lt;=$D77,MOD(37-$C77,2)=0))),Flows!$C78,0))</f>
        <v/>
      </c>
      <c r="AQ77" s="13">
        <f>IF(OR($A77="",Flows!$C78=""),0,IF(AND(38&lt;=Setup!$B$5,38&gt;=$C77,OR(AND($E77="once",38=$C77),AND($E77="weekly",38&lt;=$D77),AND($E77="biweekly",38&lt;=$D77,MOD(38-$C77,2)=0))),Flows!$C78,0))</f>
        <v/>
      </c>
      <c r="AR77" s="13">
        <f>IF(OR($A77="",Flows!$C78=""),0,IF(AND(39&lt;=Setup!$B$5,39&gt;=$C77,OR(AND($E77="once",39=$C77),AND($E77="weekly",39&lt;=$D77),AND($E77="biweekly",39&lt;=$D77,MOD(39-$C77,2)=0))),Flows!$C78,0))</f>
        <v/>
      </c>
      <c r="AS77" s="13">
        <f>IF(OR($A77="",Flows!$C78=""),0,IF(AND(40&lt;=Setup!$B$5,40&gt;=$C77,OR(AND($E77="once",40=$C77),AND($E77="weekly",40&lt;=$D77),AND($E77="biweekly",40&lt;=$D77,MOD(40-$C77,2)=0))),Flows!$C78,0))</f>
        <v/>
      </c>
      <c r="AT77" s="13">
        <f>IF(OR($A77="",Flows!$C78=""),0,IF(AND(41&lt;=Setup!$B$5,41&gt;=$C77,OR(AND($E77="once",41=$C77),AND($E77="weekly",41&lt;=$D77),AND($E77="biweekly",41&lt;=$D77,MOD(41-$C77,2)=0))),Flows!$C78,0))</f>
        <v/>
      </c>
      <c r="AU77" s="13">
        <f>IF(OR($A77="",Flows!$C78=""),0,IF(AND(42&lt;=Setup!$B$5,42&gt;=$C77,OR(AND($E77="once",42=$C77),AND($E77="weekly",42&lt;=$D77),AND($E77="biweekly",42&lt;=$D77,MOD(42-$C77,2)=0))),Flows!$C78,0))</f>
        <v/>
      </c>
      <c r="AV77" s="13">
        <f>IF(OR($A77="",Flows!$C78=""),0,IF(AND(43&lt;=Setup!$B$5,43&gt;=$C77,OR(AND($E77="once",43=$C77),AND($E77="weekly",43&lt;=$D77),AND($E77="biweekly",43&lt;=$D77,MOD(43-$C77,2)=0))),Flows!$C78,0))</f>
        <v/>
      </c>
      <c r="AW77" s="13">
        <f>IF(OR($A77="",Flows!$C78=""),0,IF(AND(44&lt;=Setup!$B$5,44&gt;=$C77,OR(AND($E77="once",44=$C77),AND($E77="weekly",44&lt;=$D77),AND($E77="biweekly",44&lt;=$D77,MOD(44-$C77,2)=0))),Flows!$C78,0))</f>
        <v/>
      </c>
      <c r="AX77" s="13">
        <f>IF(OR($A77="",Flows!$C78=""),0,IF(AND(45&lt;=Setup!$B$5,45&gt;=$C77,OR(AND($E77="once",45=$C77),AND($E77="weekly",45&lt;=$D77),AND($E77="biweekly",45&lt;=$D77,MOD(45-$C77,2)=0))),Flows!$C78,0))</f>
        <v/>
      </c>
      <c r="AY77" s="13">
        <f>IF(OR($A77="",Flows!$C78=""),0,IF(AND(46&lt;=Setup!$B$5,46&gt;=$C77,OR(AND($E77="once",46=$C77),AND($E77="weekly",46&lt;=$D77),AND($E77="biweekly",46&lt;=$D77,MOD(46-$C77,2)=0))),Flows!$C78,0))</f>
        <v/>
      </c>
      <c r="AZ77" s="13">
        <f>IF(OR($A77="",Flows!$C78=""),0,IF(AND(47&lt;=Setup!$B$5,47&gt;=$C77,OR(AND($E77="once",47=$C77),AND($E77="weekly",47&lt;=$D77),AND($E77="biweekly",47&lt;=$D77,MOD(47-$C77,2)=0))),Flows!$C78,0))</f>
        <v/>
      </c>
      <c r="BA77" s="13">
        <f>IF(OR($A77="",Flows!$C78=""),0,IF(AND(48&lt;=Setup!$B$5,48&gt;=$C77,OR(AND($E77="once",48=$C77),AND($E77="weekly",48&lt;=$D77),AND($E77="biweekly",48&lt;=$D77,MOD(48-$C77,2)=0))),Flows!$C78,0))</f>
        <v/>
      </c>
      <c r="BB77" s="13">
        <f>IF(OR($A77="",Flows!$C78=""),0,IF(AND(49&lt;=Setup!$B$5,49&gt;=$C77,OR(AND($E77="once",49=$C77),AND($E77="weekly",49&lt;=$D77),AND($E77="biweekly",49&lt;=$D77,MOD(49-$C77,2)=0))),Flows!$C78,0))</f>
        <v/>
      </c>
      <c r="BC77" s="13">
        <f>IF(OR($A77="",Flows!$C78=""),0,IF(AND(50&lt;=Setup!$B$5,50&gt;=$C77,OR(AND($E77="once",50=$C77),AND($E77="weekly",50&lt;=$D77),AND($E77="biweekly",50&lt;=$D77,MOD(50-$C77,2)=0))),Flows!$C78,0))</f>
        <v/>
      </c>
      <c r="BD77" s="13">
        <f>IF(OR($A77="",Flows!$C78=""),0,IF(AND(51&lt;=Setup!$B$5,51&gt;=$C77,OR(AND($E77="once",51=$C77),AND($E77="weekly",51&lt;=$D77),AND($E77="biweekly",51&lt;=$D77,MOD(51-$C77,2)=0))),Flows!$C78,0))</f>
        <v/>
      </c>
      <c r="BE77" s="13">
        <f>IF(OR($A77="",Flows!$C78=""),0,IF(AND(52&lt;=Setup!$B$5,52&gt;=$C77,OR(AND($E77="once",52=$C77),AND($E77="weekly",52&lt;=$D77),AND($E77="biweekly",52&lt;=$D77,MOD(52-$C77,2)=0))),Flows!$C78,0))</f>
        <v/>
      </c>
    </row>
    <row r="78">
      <c r="A78" s="7">
        <f>IF(Flows!A79="","",LOWER(Flows!A79))</f>
        <v/>
      </c>
      <c r="B78" s="7">
        <f>IF(Flows!B79="","",Flows!B79)</f>
        <v/>
      </c>
      <c r="C78" s="7">
        <f>N(Flows!D79)</f>
        <v/>
      </c>
      <c r="D78" s="7">
        <f>IF(Flows!F79="",Setup!$B$5,Flows!F79)</f>
        <v/>
      </c>
      <c r="E78" s="7">
        <f>IF(Flows!E79="","once",LOWER(Flows!E79))</f>
        <v/>
      </c>
      <c r="F78" s="13">
        <f>IF(OR($A78="",Flows!$C79=""),0,IF(AND(1&lt;=Setup!$B$5,1&gt;=$C78,OR(AND($E78="once",1=$C78),AND($E78="weekly",1&lt;=$D78),AND($E78="biweekly",1&lt;=$D78,MOD(1-$C78,2)=0))),Flows!$C79,0))</f>
        <v/>
      </c>
      <c r="G78" s="13">
        <f>IF(OR($A78="",Flows!$C79=""),0,IF(AND(2&lt;=Setup!$B$5,2&gt;=$C78,OR(AND($E78="once",2=$C78),AND($E78="weekly",2&lt;=$D78),AND($E78="biweekly",2&lt;=$D78,MOD(2-$C78,2)=0))),Flows!$C79,0))</f>
        <v/>
      </c>
      <c r="H78" s="13">
        <f>IF(OR($A78="",Flows!$C79=""),0,IF(AND(3&lt;=Setup!$B$5,3&gt;=$C78,OR(AND($E78="once",3=$C78),AND($E78="weekly",3&lt;=$D78),AND($E78="biweekly",3&lt;=$D78,MOD(3-$C78,2)=0))),Flows!$C79,0))</f>
        <v/>
      </c>
      <c r="I78" s="13">
        <f>IF(OR($A78="",Flows!$C79=""),0,IF(AND(4&lt;=Setup!$B$5,4&gt;=$C78,OR(AND($E78="once",4=$C78),AND($E78="weekly",4&lt;=$D78),AND($E78="biweekly",4&lt;=$D78,MOD(4-$C78,2)=0))),Flows!$C79,0))</f>
        <v/>
      </c>
      <c r="J78" s="13">
        <f>IF(OR($A78="",Flows!$C79=""),0,IF(AND(5&lt;=Setup!$B$5,5&gt;=$C78,OR(AND($E78="once",5=$C78),AND($E78="weekly",5&lt;=$D78),AND($E78="biweekly",5&lt;=$D78,MOD(5-$C78,2)=0))),Flows!$C79,0))</f>
        <v/>
      </c>
      <c r="K78" s="13">
        <f>IF(OR($A78="",Flows!$C79=""),0,IF(AND(6&lt;=Setup!$B$5,6&gt;=$C78,OR(AND($E78="once",6=$C78),AND($E78="weekly",6&lt;=$D78),AND($E78="biweekly",6&lt;=$D78,MOD(6-$C78,2)=0))),Flows!$C79,0))</f>
        <v/>
      </c>
      <c r="L78" s="13">
        <f>IF(OR($A78="",Flows!$C79=""),0,IF(AND(7&lt;=Setup!$B$5,7&gt;=$C78,OR(AND($E78="once",7=$C78),AND($E78="weekly",7&lt;=$D78),AND($E78="biweekly",7&lt;=$D78,MOD(7-$C78,2)=0))),Flows!$C79,0))</f>
        <v/>
      </c>
      <c r="M78" s="13">
        <f>IF(OR($A78="",Flows!$C79=""),0,IF(AND(8&lt;=Setup!$B$5,8&gt;=$C78,OR(AND($E78="once",8=$C78),AND($E78="weekly",8&lt;=$D78),AND($E78="biweekly",8&lt;=$D78,MOD(8-$C78,2)=0))),Flows!$C79,0))</f>
        <v/>
      </c>
      <c r="N78" s="13">
        <f>IF(OR($A78="",Flows!$C79=""),0,IF(AND(9&lt;=Setup!$B$5,9&gt;=$C78,OR(AND($E78="once",9=$C78),AND($E78="weekly",9&lt;=$D78),AND($E78="biweekly",9&lt;=$D78,MOD(9-$C78,2)=0))),Flows!$C79,0))</f>
        <v/>
      </c>
      <c r="O78" s="13">
        <f>IF(OR($A78="",Flows!$C79=""),0,IF(AND(10&lt;=Setup!$B$5,10&gt;=$C78,OR(AND($E78="once",10=$C78),AND($E78="weekly",10&lt;=$D78),AND($E78="biweekly",10&lt;=$D78,MOD(10-$C78,2)=0))),Flows!$C79,0))</f>
        <v/>
      </c>
      <c r="P78" s="13">
        <f>IF(OR($A78="",Flows!$C79=""),0,IF(AND(11&lt;=Setup!$B$5,11&gt;=$C78,OR(AND($E78="once",11=$C78),AND($E78="weekly",11&lt;=$D78),AND($E78="biweekly",11&lt;=$D78,MOD(11-$C78,2)=0))),Flows!$C79,0))</f>
        <v/>
      </c>
      <c r="Q78" s="13">
        <f>IF(OR($A78="",Flows!$C79=""),0,IF(AND(12&lt;=Setup!$B$5,12&gt;=$C78,OR(AND($E78="once",12=$C78),AND($E78="weekly",12&lt;=$D78),AND($E78="biweekly",12&lt;=$D78,MOD(12-$C78,2)=0))),Flows!$C79,0))</f>
        <v/>
      </c>
      <c r="R78" s="13">
        <f>IF(OR($A78="",Flows!$C79=""),0,IF(AND(13&lt;=Setup!$B$5,13&gt;=$C78,OR(AND($E78="once",13=$C78),AND($E78="weekly",13&lt;=$D78),AND($E78="biweekly",13&lt;=$D78,MOD(13-$C78,2)=0))),Flows!$C79,0))</f>
        <v/>
      </c>
      <c r="S78" s="13">
        <f>IF(OR($A78="",Flows!$C79=""),0,IF(AND(14&lt;=Setup!$B$5,14&gt;=$C78,OR(AND($E78="once",14=$C78),AND($E78="weekly",14&lt;=$D78),AND($E78="biweekly",14&lt;=$D78,MOD(14-$C78,2)=0))),Flows!$C79,0))</f>
        <v/>
      </c>
      <c r="T78" s="13">
        <f>IF(OR($A78="",Flows!$C79=""),0,IF(AND(15&lt;=Setup!$B$5,15&gt;=$C78,OR(AND($E78="once",15=$C78),AND($E78="weekly",15&lt;=$D78),AND($E78="biweekly",15&lt;=$D78,MOD(15-$C78,2)=0))),Flows!$C79,0))</f>
        <v/>
      </c>
      <c r="U78" s="13">
        <f>IF(OR($A78="",Flows!$C79=""),0,IF(AND(16&lt;=Setup!$B$5,16&gt;=$C78,OR(AND($E78="once",16=$C78),AND($E78="weekly",16&lt;=$D78),AND($E78="biweekly",16&lt;=$D78,MOD(16-$C78,2)=0))),Flows!$C79,0))</f>
        <v/>
      </c>
      <c r="V78" s="13">
        <f>IF(OR($A78="",Flows!$C79=""),0,IF(AND(17&lt;=Setup!$B$5,17&gt;=$C78,OR(AND($E78="once",17=$C78),AND($E78="weekly",17&lt;=$D78),AND($E78="biweekly",17&lt;=$D78,MOD(17-$C78,2)=0))),Flows!$C79,0))</f>
        <v/>
      </c>
      <c r="W78" s="13">
        <f>IF(OR($A78="",Flows!$C79=""),0,IF(AND(18&lt;=Setup!$B$5,18&gt;=$C78,OR(AND($E78="once",18=$C78),AND($E78="weekly",18&lt;=$D78),AND($E78="biweekly",18&lt;=$D78,MOD(18-$C78,2)=0))),Flows!$C79,0))</f>
        <v/>
      </c>
      <c r="X78" s="13">
        <f>IF(OR($A78="",Flows!$C79=""),0,IF(AND(19&lt;=Setup!$B$5,19&gt;=$C78,OR(AND($E78="once",19=$C78),AND($E78="weekly",19&lt;=$D78),AND($E78="biweekly",19&lt;=$D78,MOD(19-$C78,2)=0))),Flows!$C79,0))</f>
        <v/>
      </c>
      <c r="Y78" s="13">
        <f>IF(OR($A78="",Flows!$C79=""),0,IF(AND(20&lt;=Setup!$B$5,20&gt;=$C78,OR(AND($E78="once",20=$C78),AND($E78="weekly",20&lt;=$D78),AND($E78="biweekly",20&lt;=$D78,MOD(20-$C78,2)=0))),Flows!$C79,0))</f>
        <v/>
      </c>
      <c r="Z78" s="13">
        <f>IF(OR($A78="",Flows!$C79=""),0,IF(AND(21&lt;=Setup!$B$5,21&gt;=$C78,OR(AND($E78="once",21=$C78),AND($E78="weekly",21&lt;=$D78),AND($E78="biweekly",21&lt;=$D78,MOD(21-$C78,2)=0))),Flows!$C79,0))</f>
        <v/>
      </c>
      <c r="AA78" s="13">
        <f>IF(OR($A78="",Flows!$C79=""),0,IF(AND(22&lt;=Setup!$B$5,22&gt;=$C78,OR(AND($E78="once",22=$C78),AND($E78="weekly",22&lt;=$D78),AND($E78="biweekly",22&lt;=$D78,MOD(22-$C78,2)=0))),Flows!$C79,0))</f>
        <v/>
      </c>
      <c r="AB78" s="13">
        <f>IF(OR($A78="",Flows!$C79=""),0,IF(AND(23&lt;=Setup!$B$5,23&gt;=$C78,OR(AND($E78="once",23=$C78),AND($E78="weekly",23&lt;=$D78),AND($E78="biweekly",23&lt;=$D78,MOD(23-$C78,2)=0))),Flows!$C79,0))</f>
        <v/>
      </c>
      <c r="AC78" s="13">
        <f>IF(OR($A78="",Flows!$C79=""),0,IF(AND(24&lt;=Setup!$B$5,24&gt;=$C78,OR(AND($E78="once",24=$C78),AND($E78="weekly",24&lt;=$D78),AND($E78="biweekly",24&lt;=$D78,MOD(24-$C78,2)=0))),Flows!$C79,0))</f>
        <v/>
      </c>
      <c r="AD78" s="13">
        <f>IF(OR($A78="",Flows!$C79=""),0,IF(AND(25&lt;=Setup!$B$5,25&gt;=$C78,OR(AND($E78="once",25=$C78),AND($E78="weekly",25&lt;=$D78),AND($E78="biweekly",25&lt;=$D78,MOD(25-$C78,2)=0))),Flows!$C79,0))</f>
        <v/>
      </c>
      <c r="AE78" s="13">
        <f>IF(OR($A78="",Flows!$C79=""),0,IF(AND(26&lt;=Setup!$B$5,26&gt;=$C78,OR(AND($E78="once",26=$C78),AND($E78="weekly",26&lt;=$D78),AND($E78="biweekly",26&lt;=$D78,MOD(26-$C78,2)=0))),Flows!$C79,0))</f>
        <v/>
      </c>
      <c r="AF78" s="13">
        <f>IF(OR($A78="",Flows!$C79=""),0,IF(AND(27&lt;=Setup!$B$5,27&gt;=$C78,OR(AND($E78="once",27=$C78),AND($E78="weekly",27&lt;=$D78),AND($E78="biweekly",27&lt;=$D78,MOD(27-$C78,2)=0))),Flows!$C79,0))</f>
        <v/>
      </c>
      <c r="AG78" s="13">
        <f>IF(OR($A78="",Flows!$C79=""),0,IF(AND(28&lt;=Setup!$B$5,28&gt;=$C78,OR(AND($E78="once",28=$C78),AND($E78="weekly",28&lt;=$D78),AND($E78="biweekly",28&lt;=$D78,MOD(28-$C78,2)=0))),Flows!$C79,0))</f>
        <v/>
      </c>
      <c r="AH78" s="13">
        <f>IF(OR($A78="",Flows!$C79=""),0,IF(AND(29&lt;=Setup!$B$5,29&gt;=$C78,OR(AND($E78="once",29=$C78),AND($E78="weekly",29&lt;=$D78),AND($E78="biweekly",29&lt;=$D78,MOD(29-$C78,2)=0))),Flows!$C79,0))</f>
        <v/>
      </c>
      <c r="AI78" s="13">
        <f>IF(OR($A78="",Flows!$C79=""),0,IF(AND(30&lt;=Setup!$B$5,30&gt;=$C78,OR(AND($E78="once",30=$C78),AND($E78="weekly",30&lt;=$D78),AND($E78="biweekly",30&lt;=$D78,MOD(30-$C78,2)=0))),Flows!$C79,0))</f>
        <v/>
      </c>
      <c r="AJ78" s="13">
        <f>IF(OR($A78="",Flows!$C79=""),0,IF(AND(31&lt;=Setup!$B$5,31&gt;=$C78,OR(AND($E78="once",31=$C78),AND($E78="weekly",31&lt;=$D78),AND($E78="biweekly",31&lt;=$D78,MOD(31-$C78,2)=0))),Flows!$C79,0))</f>
        <v/>
      </c>
      <c r="AK78" s="13">
        <f>IF(OR($A78="",Flows!$C79=""),0,IF(AND(32&lt;=Setup!$B$5,32&gt;=$C78,OR(AND($E78="once",32=$C78),AND($E78="weekly",32&lt;=$D78),AND($E78="biweekly",32&lt;=$D78,MOD(32-$C78,2)=0))),Flows!$C79,0))</f>
        <v/>
      </c>
      <c r="AL78" s="13">
        <f>IF(OR($A78="",Flows!$C79=""),0,IF(AND(33&lt;=Setup!$B$5,33&gt;=$C78,OR(AND($E78="once",33=$C78),AND($E78="weekly",33&lt;=$D78),AND($E78="biweekly",33&lt;=$D78,MOD(33-$C78,2)=0))),Flows!$C79,0))</f>
        <v/>
      </c>
      <c r="AM78" s="13">
        <f>IF(OR($A78="",Flows!$C79=""),0,IF(AND(34&lt;=Setup!$B$5,34&gt;=$C78,OR(AND($E78="once",34=$C78),AND($E78="weekly",34&lt;=$D78),AND($E78="biweekly",34&lt;=$D78,MOD(34-$C78,2)=0))),Flows!$C79,0))</f>
        <v/>
      </c>
      <c r="AN78" s="13">
        <f>IF(OR($A78="",Flows!$C79=""),0,IF(AND(35&lt;=Setup!$B$5,35&gt;=$C78,OR(AND($E78="once",35=$C78),AND($E78="weekly",35&lt;=$D78),AND($E78="biweekly",35&lt;=$D78,MOD(35-$C78,2)=0))),Flows!$C79,0))</f>
        <v/>
      </c>
      <c r="AO78" s="13">
        <f>IF(OR($A78="",Flows!$C79=""),0,IF(AND(36&lt;=Setup!$B$5,36&gt;=$C78,OR(AND($E78="once",36=$C78),AND($E78="weekly",36&lt;=$D78),AND($E78="biweekly",36&lt;=$D78,MOD(36-$C78,2)=0))),Flows!$C79,0))</f>
        <v/>
      </c>
      <c r="AP78" s="13">
        <f>IF(OR($A78="",Flows!$C79=""),0,IF(AND(37&lt;=Setup!$B$5,37&gt;=$C78,OR(AND($E78="once",37=$C78),AND($E78="weekly",37&lt;=$D78),AND($E78="biweekly",37&lt;=$D78,MOD(37-$C78,2)=0))),Flows!$C79,0))</f>
        <v/>
      </c>
      <c r="AQ78" s="13">
        <f>IF(OR($A78="",Flows!$C79=""),0,IF(AND(38&lt;=Setup!$B$5,38&gt;=$C78,OR(AND($E78="once",38=$C78),AND($E78="weekly",38&lt;=$D78),AND($E78="biweekly",38&lt;=$D78,MOD(38-$C78,2)=0))),Flows!$C79,0))</f>
        <v/>
      </c>
      <c r="AR78" s="13">
        <f>IF(OR($A78="",Flows!$C79=""),0,IF(AND(39&lt;=Setup!$B$5,39&gt;=$C78,OR(AND($E78="once",39=$C78),AND($E78="weekly",39&lt;=$D78),AND($E78="biweekly",39&lt;=$D78,MOD(39-$C78,2)=0))),Flows!$C79,0))</f>
        <v/>
      </c>
      <c r="AS78" s="13">
        <f>IF(OR($A78="",Flows!$C79=""),0,IF(AND(40&lt;=Setup!$B$5,40&gt;=$C78,OR(AND($E78="once",40=$C78),AND($E78="weekly",40&lt;=$D78),AND($E78="biweekly",40&lt;=$D78,MOD(40-$C78,2)=0))),Flows!$C79,0))</f>
        <v/>
      </c>
      <c r="AT78" s="13">
        <f>IF(OR($A78="",Flows!$C79=""),0,IF(AND(41&lt;=Setup!$B$5,41&gt;=$C78,OR(AND($E78="once",41=$C78),AND($E78="weekly",41&lt;=$D78),AND($E78="biweekly",41&lt;=$D78,MOD(41-$C78,2)=0))),Flows!$C79,0))</f>
        <v/>
      </c>
      <c r="AU78" s="13">
        <f>IF(OR($A78="",Flows!$C79=""),0,IF(AND(42&lt;=Setup!$B$5,42&gt;=$C78,OR(AND($E78="once",42=$C78),AND($E78="weekly",42&lt;=$D78),AND($E78="biweekly",42&lt;=$D78,MOD(42-$C78,2)=0))),Flows!$C79,0))</f>
        <v/>
      </c>
      <c r="AV78" s="13">
        <f>IF(OR($A78="",Flows!$C79=""),0,IF(AND(43&lt;=Setup!$B$5,43&gt;=$C78,OR(AND($E78="once",43=$C78),AND($E78="weekly",43&lt;=$D78),AND($E78="biweekly",43&lt;=$D78,MOD(43-$C78,2)=0))),Flows!$C79,0))</f>
        <v/>
      </c>
      <c r="AW78" s="13">
        <f>IF(OR($A78="",Flows!$C79=""),0,IF(AND(44&lt;=Setup!$B$5,44&gt;=$C78,OR(AND($E78="once",44=$C78),AND($E78="weekly",44&lt;=$D78),AND($E78="biweekly",44&lt;=$D78,MOD(44-$C78,2)=0))),Flows!$C79,0))</f>
        <v/>
      </c>
      <c r="AX78" s="13">
        <f>IF(OR($A78="",Flows!$C79=""),0,IF(AND(45&lt;=Setup!$B$5,45&gt;=$C78,OR(AND($E78="once",45=$C78),AND($E78="weekly",45&lt;=$D78),AND($E78="biweekly",45&lt;=$D78,MOD(45-$C78,2)=0))),Flows!$C79,0))</f>
        <v/>
      </c>
      <c r="AY78" s="13">
        <f>IF(OR($A78="",Flows!$C79=""),0,IF(AND(46&lt;=Setup!$B$5,46&gt;=$C78,OR(AND($E78="once",46=$C78),AND($E78="weekly",46&lt;=$D78),AND($E78="biweekly",46&lt;=$D78,MOD(46-$C78,2)=0))),Flows!$C79,0))</f>
        <v/>
      </c>
      <c r="AZ78" s="13">
        <f>IF(OR($A78="",Flows!$C79=""),0,IF(AND(47&lt;=Setup!$B$5,47&gt;=$C78,OR(AND($E78="once",47=$C78),AND($E78="weekly",47&lt;=$D78),AND($E78="biweekly",47&lt;=$D78,MOD(47-$C78,2)=0))),Flows!$C79,0))</f>
        <v/>
      </c>
      <c r="BA78" s="13">
        <f>IF(OR($A78="",Flows!$C79=""),0,IF(AND(48&lt;=Setup!$B$5,48&gt;=$C78,OR(AND($E78="once",48=$C78),AND($E78="weekly",48&lt;=$D78),AND($E78="biweekly",48&lt;=$D78,MOD(48-$C78,2)=0))),Flows!$C79,0))</f>
        <v/>
      </c>
      <c r="BB78" s="13">
        <f>IF(OR($A78="",Flows!$C79=""),0,IF(AND(49&lt;=Setup!$B$5,49&gt;=$C78,OR(AND($E78="once",49=$C78),AND($E78="weekly",49&lt;=$D78),AND($E78="biweekly",49&lt;=$D78,MOD(49-$C78,2)=0))),Flows!$C79,0))</f>
        <v/>
      </c>
      <c r="BC78" s="13">
        <f>IF(OR($A78="",Flows!$C79=""),0,IF(AND(50&lt;=Setup!$B$5,50&gt;=$C78,OR(AND($E78="once",50=$C78),AND($E78="weekly",50&lt;=$D78),AND($E78="biweekly",50&lt;=$D78,MOD(50-$C78,2)=0))),Flows!$C79,0))</f>
        <v/>
      </c>
      <c r="BD78" s="13">
        <f>IF(OR($A78="",Flows!$C79=""),0,IF(AND(51&lt;=Setup!$B$5,51&gt;=$C78,OR(AND($E78="once",51=$C78),AND($E78="weekly",51&lt;=$D78),AND($E78="biweekly",51&lt;=$D78,MOD(51-$C78,2)=0))),Flows!$C79,0))</f>
        <v/>
      </c>
      <c r="BE78" s="13">
        <f>IF(OR($A78="",Flows!$C79=""),0,IF(AND(52&lt;=Setup!$B$5,52&gt;=$C78,OR(AND($E78="once",52=$C78),AND($E78="weekly",52&lt;=$D78),AND($E78="biweekly",52&lt;=$D78,MOD(52-$C78,2)=0))),Flows!$C79,0))</f>
        <v/>
      </c>
    </row>
    <row r="79">
      <c r="A79" s="7">
        <f>IF(Flows!A80="","",LOWER(Flows!A80))</f>
        <v/>
      </c>
      <c r="B79" s="7">
        <f>IF(Flows!B80="","",Flows!B80)</f>
        <v/>
      </c>
      <c r="C79" s="7">
        <f>N(Flows!D80)</f>
        <v/>
      </c>
      <c r="D79" s="7">
        <f>IF(Flows!F80="",Setup!$B$5,Flows!F80)</f>
        <v/>
      </c>
      <c r="E79" s="7">
        <f>IF(Flows!E80="","once",LOWER(Flows!E80))</f>
        <v/>
      </c>
      <c r="F79" s="13">
        <f>IF(OR($A79="",Flows!$C80=""),0,IF(AND(1&lt;=Setup!$B$5,1&gt;=$C79,OR(AND($E79="once",1=$C79),AND($E79="weekly",1&lt;=$D79),AND($E79="biweekly",1&lt;=$D79,MOD(1-$C79,2)=0))),Flows!$C80,0))</f>
        <v/>
      </c>
      <c r="G79" s="13">
        <f>IF(OR($A79="",Flows!$C80=""),0,IF(AND(2&lt;=Setup!$B$5,2&gt;=$C79,OR(AND($E79="once",2=$C79),AND($E79="weekly",2&lt;=$D79),AND($E79="biweekly",2&lt;=$D79,MOD(2-$C79,2)=0))),Flows!$C80,0))</f>
        <v/>
      </c>
      <c r="H79" s="13">
        <f>IF(OR($A79="",Flows!$C80=""),0,IF(AND(3&lt;=Setup!$B$5,3&gt;=$C79,OR(AND($E79="once",3=$C79),AND($E79="weekly",3&lt;=$D79),AND($E79="biweekly",3&lt;=$D79,MOD(3-$C79,2)=0))),Flows!$C80,0))</f>
        <v/>
      </c>
      <c r="I79" s="13">
        <f>IF(OR($A79="",Flows!$C80=""),0,IF(AND(4&lt;=Setup!$B$5,4&gt;=$C79,OR(AND($E79="once",4=$C79),AND($E79="weekly",4&lt;=$D79),AND($E79="biweekly",4&lt;=$D79,MOD(4-$C79,2)=0))),Flows!$C80,0))</f>
        <v/>
      </c>
      <c r="J79" s="13">
        <f>IF(OR($A79="",Flows!$C80=""),0,IF(AND(5&lt;=Setup!$B$5,5&gt;=$C79,OR(AND($E79="once",5=$C79),AND($E79="weekly",5&lt;=$D79),AND($E79="biweekly",5&lt;=$D79,MOD(5-$C79,2)=0))),Flows!$C80,0))</f>
        <v/>
      </c>
      <c r="K79" s="13">
        <f>IF(OR($A79="",Flows!$C80=""),0,IF(AND(6&lt;=Setup!$B$5,6&gt;=$C79,OR(AND($E79="once",6=$C79),AND($E79="weekly",6&lt;=$D79),AND($E79="biweekly",6&lt;=$D79,MOD(6-$C79,2)=0))),Flows!$C80,0))</f>
        <v/>
      </c>
      <c r="L79" s="13">
        <f>IF(OR($A79="",Flows!$C80=""),0,IF(AND(7&lt;=Setup!$B$5,7&gt;=$C79,OR(AND($E79="once",7=$C79),AND($E79="weekly",7&lt;=$D79),AND($E79="biweekly",7&lt;=$D79,MOD(7-$C79,2)=0))),Flows!$C80,0))</f>
        <v/>
      </c>
      <c r="M79" s="13">
        <f>IF(OR($A79="",Flows!$C80=""),0,IF(AND(8&lt;=Setup!$B$5,8&gt;=$C79,OR(AND($E79="once",8=$C79),AND($E79="weekly",8&lt;=$D79),AND($E79="biweekly",8&lt;=$D79,MOD(8-$C79,2)=0))),Flows!$C80,0))</f>
        <v/>
      </c>
      <c r="N79" s="13">
        <f>IF(OR($A79="",Flows!$C80=""),0,IF(AND(9&lt;=Setup!$B$5,9&gt;=$C79,OR(AND($E79="once",9=$C79),AND($E79="weekly",9&lt;=$D79),AND($E79="biweekly",9&lt;=$D79,MOD(9-$C79,2)=0))),Flows!$C80,0))</f>
        <v/>
      </c>
      <c r="O79" s="13">
        <f>IF(OR($A79="",Flows!$C80=""),0,IF(AND(10&lt;=Setup!$B$5,10&gt;=$C79,OR(AND($E79="once",10=$C79),AND($E79="weekly",10&lt;=$D79),AND($E79="biweekly",10&lt;=$D79,MOD(10-$C79,2)=0))),Flows!$C80,0))</f>
        <v/>
      </c>
      <c r="P79" s="13">
        <f>IF(OR($A79="",Flows!$C80=""),0,IF(AND(11&lt;=Setup!$B$5,11&gt;=$C79,OR(AND($E79="once",11=$C79),AND($E79="weekly",11&lt;=$D79),AND($E79="biweekly",11&lt;=$D79,MOD(11-$C79,2)=0))),Flows!$C80,0))</f>
        <v/>
      </c>
      <c r="Q79" s="13">
        <f>IF(OR($A79="",Flows!$C80=""),0,IF(AND(12&lt;=Setup!$B$5,12&gt;=$C79,OR(AND($E79="once",12=$C79),AND($E79="weekly",12&lt;=$D79),AND($E79="biweekly",12&lt;=$D79,MOD(12-$C79,2)=0))),Flows!$C80,0))</f>
        <v/>
      </c>
      <c r="R79" s="13">
        <f>IF(OR($A79="",Flows!$C80=""),0,IF(AND(13&lt;=Setup!$B$5,13&gt;=$C79,OR(AND($E79="once",13=$C79),AND($E79="weekly",13&lt;=$D79),AND($E79="biweekly",13&lt;=$D79,MOD(13-$C79,2)=0))),Flows!$C80,0))</f>
        <v/>
      </c>
      <c r="S79" s="13">
        <f>IF(OR($A79="",Flows!$C80=""),0,IF(AND(14&lt;=Setup!$B$5,14&gt;=$C79,OR(AND($E79="once",14=$C79),AND($E79="weekly",14&lt;=$D79),AND($E79="biweekly",14&lt;=$D79,MOD(14-$C79,2)=0))),Flows!$C80,0))</f>
        <v/>
      </c>
      <c r="T79" s="13">
        <f>IF(OR($A79="",Flows!$C80=""),0,IF(AND(15&lt;=Setup!$B$5,15&gt;=$C79,OR(AND($E79="once",15=$C79),AND($E79="weekly",15&lt;=$D79),AND($E79="biweekly",15&lt;=$D79,MOD(15-$C79,2)=0))),Flows!$C80,0))</f>
        <v/>
      </c>
      <c r="U79" s="13">
        <f>IF(OR($A79="",Flows!$C80=""),0,IF(AND(16&lt;=Setup!$B$5,16&gt;=$C79,OR(AND($E79="once",16=$C79),AND($E79="weekly",16&lt;=$D79),AND($E79="biweekly",16&lt;=$D79,MOD(16-$C79,2)=0))),Flows!$C80,0))</f>
        <v/>
      </c>
      <c r="V79" s="13">
        <f>IF(OR($A79="",Flows!$C80=""),0,IF(AND(17&lt;=Setup!$B$5,17&gt;=$C79,OR(AND($E79="once",17=$C79),AND($E79="weekly",17&lt;=$D79),AND($E79="biweekly",17&lt;=$D79,MOD(17-$C79,2)=0))),Flows!$C80,0))</f>
        <v/>
      </c>
      <c r="W79" s="13">
        <f>IF(OR($A79="",Flows!$C80=""),0,IF(AND(18&lt;=Setup!$B$5,18&gt;=$C79,OR(AND($E79="once",18=$C79),AND($E79="weekly",18&lt;=$D79),AND($E79="biweekly",18&lt;=$D79,MOD(18-$C79,2)=0))),Flows!$C80,0))</f>
        <v/>
      </c>
      <c r="X79" s="13">
        <f>IF(OR($A79="",Flows!$C80=""),0,IF(AND(19&lt;=Setup!$B$5,19&gt;=$C79,OR(AND($E79="once",19=$C79),AND($E79="weekly",19&lt;=$D79),AND($E79="biweekly",19&lt;=$D79,MOD(19-$C79,2)=0))),Flows!$C80,0))</f>
        <v/>
      </c>
      <c r="Y79" s="13">
        <f>IF(OR($A79="",Flows!$C80=""),0,IF(AND(20&lt;=Setup!$B$5,20&gt;=$C79,OR(AND($E79="once",20=$C79),AND($E79="weekly",20&lt;=$D79),AND($E79="biweekly",20&lt;=$D79,MOD(20-$C79,2)=0))),Flows!$C80,0))</f>
        <v/>
      </c>
      <c r="Z79" s="13">
        <f>IF(OR($A79="",Flows!$C80=""),0,IF(AND(21&lt;=Setup!$B$5,21&gt;=$C79,OR(AND($E79="once",21=$C79),AND($E79="weekly",21&lt;=$D79),AND($E79="biweekly",21&lt;=$D79,MOD(21-$C79,2)=0))),Flows!$C80,0))</f>
        <v/>
      </c>
      <c r="AA79" s="13">
        <f>IF(OR($A79="",Flows!$C80=""),0,IF(AND(22&lt;=Setup!$B$5,22&gt;=$C79,OR(AND($E79="once",22=$C79),AND($E79="weekly",22&lt;=$D79),AND($E79="biweekly",22&lt;=$D79,MOD(22-$C79,2)=0))),Flows!$C80,0))</f>
        <v/>
      </c>
      <c r="AB79" s="13">
        <f>IF(OR($A79="",Flows!$C80=""),0,IF(AND(23&lt;=Setup!$B$5,23&gt;=$C79,OR(AND($E79="once",23=$C79),AND($E79="weekly",23&lt;=$D79),AND($E79="biweekly",23&lt;=$D79,MOD(23-$C79,2)=0))),Flows!$C80,0))</f>
        <v/>
      </c>
      <c r="AC79" s="13">
        <f>IF(OR($A79="",Flows!$C80=""),0,IF(AND(24&lt;=Setup!$B$5,24&gt;=$C79,OR(AND($E79="once",24=$C79),AND($E79="weekly",24&lt;=$D79),AND($E79="biweekly",24&lt;=$D79,MOD(24-$C79,2)=0))),Flows!$C80,0))</f>
        <v/>
      </c>
      <c r="AD79" s="13">
        <f>IF(OR($A79="",Flows!$C80=""),0,IF(AND(25&lt;=Setup!$B$5,25&gt;=$C79,OR(AND($E79="once",25=$C79),AND($E79="weekly",25&lt;=$D79),AND($E79="biweekly",25&lt;=$D79,MOD(25-$C79,2)=0))),Flows!$C80,0))</f>
        <v/>
      </c>
      <c r="AE79" s="13">
        <f>IF(OR($A79="",Flows!$C80=""),0,IF(AND(26&lt;=Setup!$B$5,26&gt;=$C79,OR(AND($E79="once",26=$C79),AND($E79="weekly",26&lt;=$D79),AND($E79="biweekly",26&lt;=$D79,MOD(26-$C79,2)=0))),Flows!$C80,0))</f>
        <v/>
      </c>
      <c r="AF79" s="13">
        <f>IF(OR($A79="",Flows!$C80=""),0,IF(AND(27&lt;=Setup!$B$5,27&gt;=$C79,OR(AND($E79="once",27=$C79),AND($E79="weekly",27&lt;=$D79),AND($E79="biweekly",27&lt;=$D79,MOD(27-$C79,2)=0))),Flows!$C80,0))</f>
        <v/>
      </c>
      <c r="AG79" s="13">
        <f>IF(OR($A79="",Flows!$C80=""),0,IF(AND(28&lt;=Setup!$B$5,28&gt;=$C79,OR(AND($E79="once",28=$C79),AND($E79="weekly",28&lt;=$D79),AND($E79="biweekly",28&lt;=$D79,MOD(28-$C79,2)=0))),Flows!$C80,0))</f>
        <v/>
      </c>
      <c r="AH79" s="13">
        <f>IF(OR($A79="",Flows!$C80=""),0,IF(AND(29&lt;=Setup!$B$5,29&gt;=$C79,OR(AND($E79="once",29=$C79),AND($E79="weekly",29&lt;=$D79),AND($E79="biweekly",29&lt;=$D79,MOD(29-$C79,2)=0))),Flows!$C80,0))</f>
        <v/>
      </c>
      <c r="AI79" s="13">
        <f>IF(OR($A79="",Flows!$C80=""),0,IF(AND(30&lt;=Setup!$B$5,30&gt;=$C79,OR(AND($E79="once",30=$C79),AND($E79="weekly",30&lt;=$D79),AND($E79="biweekly",30&lt;=$D79,MOD(30-$C79,2)=0))),Flows!$C80,0))</f>
        <v/>
      </c>
      <c r="AJ79" s="13">
        <f>IF(OR($A79="",Flows!$C80=""),0,IF(AND(31&lt;=Setup!$B$5,31&gt;=$C79,OR(AND($E79="once",31=$C79),AND($E79="weekly",31&lt;=$D79),AND($E79="biweekly",31&lt;=$D79,MOD(31-$C79,2)=0))),Flows!$C80,0))</f>
        <v/>
      </c>
      <c r="AK79" s="13">
        <f>IF(OR($A79="",Flows!$C80=""),0,IF(AND(32&lt;=Setup!$B$5,32&gt;=$C79,OR(AND($E79="once",32=$C79),AND($E79="weekly",32&lt;=$D79),AND($E79="biweekly",32&lt;=$D79,MOD(32-$C79,2)=0))),Flows!$C80,0))</f>
        <v/>
      </c>
      <c r="AL79" s="13">
        <f>IF(OR($A79="",Flows!$C80=""),0,IF(AND(33&lt;=Setup!$B$5,33&gt;=$C79,OR(AND($E79="once",33=$C79),AND($E79="weekly",33&lt;=$D79),AND($E79="biweekly",33&lt;=$D79,MOD(33-$C79,2)=0))),Flows!$C80,0))</f>
        <v/>
      </c>
      <c r="AM79" s="13">
        <f>IF(OR($A79="",Flows!$C80=""),0,IF(AND(34&lt;=Setup!$B$5,34&gt;=$C79,OR(AND($E79="once",34=$C79),AND($E79="weekly",34&lt;=$D79),AND($E79="biweekly",34&lt;=$D79,MOD(34-$C79,2)=0))),Flows!$C80,0))</f>
        <v/>
      </c>
      <c r="AN79" s="13">
        <f>IF(OR($A79="",Flows!$C80=""),0,IF(AND(35&lt;=Setup!$B$5,35&gt;=$C79,OR(AND($E79="once",35=$C79),AND($E79="weekly",35&lt;=$D79),AND($E79="biweekly",35&lt;=$D79,MOD(35-$C79,2)=0))),Flows!$C80,0))</f>
        <v/>
      </c>
      <c r="AO79" s="13">
        <f>IF(OR($A79="",Flows!$C80=""),0,IF(AND(36&lt;=Setup!$B$5,36&gt;=$C79,OR(AND($E79="once",36=$C79),AND($E79="weekly",36&lt;=$D79),AND($E79="biweekly",36&lt;=$D79,MOD(36-$C79,2)=0))),Flows!$C80,0))</f>
        <v/>
      </c>
      <c r="AP79" s="13">
        <f>IF(OR($A79="",Flows!$C80=""),0,IF(AND(37&lt;=Setup!$B$5,37&gt;=$C79,OR(AND($E79="once",37=$C79),AND($E79="weekly",37&lt;=$D79),AND($E79="biweekly",37&lt;=$D79,MOD(37-$C79,2)=0))),Flows!$C80,0))</f>
        <v/>
      </c>
      <c r="AQ79" s="13">
        <f>IF(OR($A79="",Flows!$C80=""),0,IF(AND(38&lt;=Setup!$B$5,38&gt;=$C79,OR(AND($E79="once",38=$C79),AND($E79="weekly",38&lt;=$D79),AND($E79="biweekly",38&lt;=$D79,MOD(38-$C79,2)=0))),Flows!$C80,0))</f>
        <v/>
      </c>
      <c r="AR79" s="13">
        <f>IF(OR($A79="",Flows!$C80=""),0,IF(AND(39&lt;=Setup!$B$5,39&gt;=$C79,OR(AND($E79="once",39=$C79),AND($E79="weekly",39&lt;=$D79),AND($E79="biweekly",39&lt;=$D79,MOD(39-$C79,2)=0))),Flows!$C80,0))</f>
        <v/>
      </c>
      <c r="AS79" s="13">
        <f>IF(OR($A79="",Flows!$C80=""),0,IF(AND(40&lt;=Setup!$B$5,40&gt;=$C79,OR(AND($E79="once",40=$C79),AND($E79="weekly",40&lt;=$D79),AND($E79="biweekly",40&lt;=$D79,MOD(40-$C79,2)=0))),Flows!$C80,0))</f>
        <v/>
      </c>
      <c r="AT79" s="13">
        <f>IF(OR($A79="",Flows!$C80=""),0,IF(AND(41&lt;=Setup!$B$5,41&gt;=$C79,OR(AND($E79="once",41=$C79),AND($E79="weekly",41&lt;=$D79),AND($E79="biweekly",41&lt;=$D79,MOD(41-$C79,2)=0))),Flows!$C80,0))</f>
        <v/>
      </c>
      <c r="AU79" s="13">
        <f>IF(OR($A79="",Flows!$C80=""),0,IF(AND(42&lt;=Setup!$B$5,42&gt;=$C79,OR(AND($E79="once",42=$C79),AND($E79="weekly",42&lt;=$D79),AND($E79="biweekly",42&lt;=$D79,MOD(42-$C79,2)=0))),Flows!$C80,0))</f>
        <v/>
      </c>
      <c r="AV79" s="13">
        <f>IF(OR($A79="",Flows!$C80=""),0,IF(AND(43&lt;=Setup!$B$5,43&gt;=$C79,OR(AND($E79="once",43=$C79),AND($E79="weekly",43&lt;=$D79),AND($E79="biweekly",43&lt;=$D79,MOD(43-$C79,2)=0))),Flows!$C80,0))</f>
        <v/>
      </c>
      <c r="AW79" s="13">
        <f>IF(OR($A79="",Flows!$C80=""),0,IF(AND(44&lt;=Setup!$B$5,44&gt;=$C79,OR(AND($E79="once",44=$C79),AND($E79="weekly",44&lt;=$D79),AND($E79="biweekly",44&lt;=$D79,MOD(44-$C79,2)=0))),Flows!$C80,0))</f>
        <v/>
      </c>
      <c r="AX79" s="13">
        <f>IF(OR($A79="",Flows!$C80=""),0,IF(AND(45&lt;=Setup!$B$5,45&gt;=$C79,OR(AND($E79="once",45=$C79),AND($E79="weekly",45&lt;=$D79),AND($E79="biweekly",45&lt;=$D79,MOD(45-$C79,2)=0))),Flows!$C80,0))</f>
        <v/>
      </c>
      <c r="AY79" s="13">
        <f>IF(OR($A79="",Flows!$C80=""),0,IF(AND(46&lt;=Setup!$B$5,46&gt;=$C79,OR(AND($E79="once",46=$C79),AND($E79="weekly",46&lt;=$D79),AND($E79="biweekly",46&lt;=$D79,MOD(46-$C79,2)=0))),Flows!$C80,0))</f>
        <v/>
      </c>
      <c r="AZ79" s="13">
        <f>IF(OR($A79="",Flows!$C80=""),0,IF(AND(47&lt;=Setup!$B$5,47&gt;=$C79,OR(AND($E79="once",47=$C79),AND($E79="weekly",47&lt;=$D79),AND($E79="biweekly",47&lt;=$D79,MOD(47-$C79,2)=0))),Flows!$C80,0))</f>
        <v/>
      </c>
      <c r="BA79" s="13">
        <f>IF(OR($A79="",Flows!$C80=""),0,IF(AND(48&lt;=Setup!$B$5,48&gt;=$C79,OR(AND($E79="once",48=$C79),AND($E79="weekly",48&lt;=$D79),AND($E79="biweekly",48&lt;=$D79,MOD(48-$C79,2)=0))),Flows!$C80,0))</f>
        <v/>
      </c>
      <c r="BB79" s="13">
        <f>IF(OR($A79="",Flows!$C80=""),0,IF(AND(49&lt;=Setup!$B$5,49&gt;=$C79,OR(AND($E79="once",49=$C79),AND($E79="weekly",49&lt;=$D79),AND($E79="biweekly",49&lt;=$D79,MOD(49-$C79,2)=0))),Flows!$C80,0))</f>
        <v/>
      </c>
      <c r="BC79" s="13">
        <f>IF(OR($A79="",Flows!$C80=""),0,IF(AND(50&lt;=Setup!$B$5,50&gt;=$C79,OR(AND($E79="once",50=$C79),AND($E79="weekly",50&lt;=$D79),AND($E79="biweekly",50&lt;=$D79,MOD(50-$C79,2)=0))),Flows!$C80,0))</f>
        <v/>
      </c>
      <c r="BD79" s="13">
        <f>IF(OR($A79="",Flows!$C80=""),0,IF(AND(51&lt;=Setup!$B$5,51&gt;=$C79,OR(AND($E79="once",51=$C79),AND($E79="weekly",51&lt;=$D79),AND($E79="biweekly",51&lt;=$D79,MOD(51-$C79,2)=0))),Flows!$C80,0))</f>
        <v/>
      </c>
      <c r="BE79" s="13">
        <f>IF(OR($A79="",Flows!$C80=""),0,IF(AND(52&lt;=Setup!$B$5,52&gt;=$C79,OR(AND($E79="once",52=$C79),AND($E79="weekly",52&lt;=$D79),AND($E79="biweekly",52&lt;=$D79,MOD(52-$C79,2)=0))),Flows!$C80,0))</f>
        <v/>
      </c>
    </row>
    <row r="80">
      <c r="A80" s="7">
        <f>IF(Flows!A81="","",LOWER(Flows!A81))</f>
        <v/>
      </c>
      <c r="B80" s="7">
        <f>IF(Flows!B81="","",Flows!B81)</f>
        <v/>
      </c>
      <c r="C80" s="7">
        <f>N(Flows!D81)</f>
        <v/>
      </c>
      <c r="D80" s="7">
        <f>IF(Flows!F81="",Setup!$B$5,Flows!F81)</f>
        <v/>
      </c>
      <c r="E80" s="7">
        <f>IF(Flows!E81="","once",LOWER(Flows!E81))</f>
        <v/>
      </c>
      <c r="F80" s="13">
        <f>IF(OR($A80="",Flows!$C81=""),0,IF(AND(1&lt;=Setup!$B$5,1&gt;=$C80,OR(AND($E80="once",1=$C80),AND($E80="weekly",1&lt;=$D80),AND($E80="biweekly",1&lt;=$D80,MOD(1-$C80,2)=0))),Flows!$C81,0))</f>
        <v/>
      </c>
      <c r="G80" s="13">
        <f>IF(OR($A80="",Flows!$C81=""),0,IF(AND(2&lt;=Setup!$B$5,2&gt;=$C80,OR(AND($E80="once",2=$C80),AND($E80="weekly",2&lt;=$D80),AND($E80="biweekly",2&lt;=$D80,MOD(2-$C80,2)=0))),Flows!$C81,0))</f>
        <v/>
      </c>
      <c r="H80" s="13">
        <f>IF(OR($A80="",Flows!$C81=""),0,IF(AND(3&lt;=Setup!$B$5,3&gt;=$C80,OR(AND($E80="once",3=$C80),AND($E80="weekly",3&lt;=$D80),AND($E80="biweekly",3&lt;=$D80,MOD(3-$C80,2)=0))),Flows!$C81,0))</f>
        <v/>
      </c>
      <c r="I80" s="13">
        <f>IF(OR($A80="",Flows!$C81=""),0,IF(AND(4&lt;=Setup!$B$5,4&gt;=$C80,OR(AND($E80="once",4=$C80),AND($E80="weekly",4&lt;=$D80),AND($E80="biweekly",4&lt;=$D80,MOD(4-$C80,2)=0))),Flows!$C81,0))</f>
        <v/>
      </c>
      <c r="J80" s="13">
        <f>IF(OR($A80="",Flows!$C81=""),0,IF(AND(5&lt;=Setup!$B$5,5&gt;=$C80,OR(AND($E80="once",5=$C80),AND($E80="weekly",5&lt;=$D80),AND($E80="biweekly",5&lt;=$D80,MOD(5-$C80,2)=0))),Flows!$C81,0))</f>
        <v/>
      </c>
      <c r="K80" s="13">
        <f>IF(OR($A80="",Flows!$C81=""),0,IF(AND(6&lt;=Setup!$B$5,6&gt;=$C80,OR(AND($E80="once",6=$C80),AND($E80="weekly",6&lt;=$D80),AND($E80="biweekly",6&lt;=$D80,MOD(6-$C80,2)=0))),Flows!$C81,0))</f>
        <v/>
      </c>
      <c r="L80" s="13">
        <f>IF(OR($A80="",Flows!$C81=""),0,IF(AND(7&lt;=Setup!$B$5,7&gt;=$C80,OR(AND($E80="once",7=$C80),AND($E80="weekly",7&lt;=$D80),AND($E80="biweekly",7&lt;=$D80,MOD(7-$C80,2)=0))),Flows!$C81,0))</f>
        <v/>
      </c>
      <c r="M80" s="13">
        <f>IF(OR($A80="",Flows!$C81=""),0,IF(AND(8&lt;=Setup!$B$5,8&gt;=$C80,OR(AND($E80="once",8=$C80),AND($E80="weekly",8&lt;=$D80),AND($E80="biweekly",8&lt;=$D80,MOD(8-$C80,2)=0))),Flows!$C81,0))</f>
        <v/>
      </c>
      <c r="N80" s="13">
        <f>IF(OR($A80="",Flows!$C81=""),0,IF(AND(9&lt;=Setup!$B$5,9&gt;=$C80,OR(AND($E80="once",9=$C80),AND($E80="weekly",9&lt;=$D80),AND($E80="biweekly",9&lt;=$D80,MOD(9-$C80,2)=0))),Flows!$C81,0))</f>
        <v/>
      </c>
      <c r="O80" s="13">
        <f>IF(OR($A80="",Flows!$C81=""),0,IF(AND(10&lt;=Setup!$B$5,10&gt;=$C80,OR(AND($E80="once",10=$C80),AND($E80="weekly",10&lt;=$D80),AND($E80="biweekly",10&lt;=$D80,MOD(10-$C80,2)=0))),Flows!$C81,0))</f>
        <v/>
      </c>
      <c r="P80" s="13">
        <f>IF(OR($A80="",Flows!$C81=""),0,IF(AND(11&lt;=Setup!$B$5,11&gt;=$C80,OR(AND($E80="once",11=$C80),AND($E80="weekly",11&lt;=$D80),AND($E80="biweekly",11&lt;=$D80,MOD(11-$C80,2)=0))),Flows!$C81,0))</f>
        <v/>
      </c>
      <c r="Q80" s="13">
        <f>IF(OR($A80="",Flows!$C81=""),0,IF(AND(12&lt;=Setup!$B$5,12&gt;=$C80,OR(AND($E80="once",12=$C80),AND($E80="weekly",12&lt;=$D80),AND($E80="biweekly",12&lt;=$D80,MOD(12-$C80,2)=0))),Flows!$C81,0))</f>
        <v/>
      </c>
      <c r="R80" s="13">
        <f>IF(OR($A80="",Flows!$C81=""),0,IF(AND(13&lt;=Setup!$B$5,13&gt;=$C80,OR(AND($E80="once",13=$C80),AND($E80="weekly",13&lt;=$D80),AND($E80="biweekly",13&lt;=$D80,MOD(13-$C80,2)=0))),Flows!$C81,0))</f>
        <v/>
      </c>
      <c r="S80" s="13">
        <f>IF(OR($A80="",Flows!$C81=""),0,IF(AND(14&lt;=Setup!$B$5,14&gt;=$C80,OR(AND($E80="once",14=$C80),AND($E80="weekly",14&lt;=$D80),AND($E80="biweekly",14&lt;=$D80,MOD(14-$C80,2)=0))),Flows!$C81,0))</f>
        <v/>
      </c>
      <c r="T80" s="13">
        <f>IF(OR($A80="",Flows!$C81=""),0,IF(AND(15&lt;=Setup!$B$5,15&gt;=$C80,OR(AND($E80="once",15=$C80),AND($E80="weekly",15&lt;=$D80),AND($E80="biweekly",15&lt;=$D80,MOD(15-$C80,2)=0))),Flows!$C81,0))</f>
        <v/>
      </c>
      <c r="U80" s="13">
        <f>IF(OR($A80="",Flows!$C81=""),0,IF(AND(16&lt;=Setup!$B$5,16&gt;=$C80,OR(AND($E80="once",16=$C80),AND($E80="weekly",16&lt;=$D80),AND($E80="biweekly",16&lt;=$D80,MOD(16-$C80,2)=0))),Flows!$C81,0))</f>
        <v/>
      </c>
      <c r="V80" s="13">
        <f>IF(OR($A80="",Flows!$C81=""),0,IF(AND(17&lt;=Setup!$B$5,17&gt;=$C80,OR(AND($E80="once",17=$C80),AND($E80="weekly",17&lt;=$D80),AND($E80="biweekly",17&lt;=$D80,MOD(17-$C80,2)=0))),Flows!$C81,0))</f>
        <v/>
      </c>
      <c r="W80" s="13">
        <f>IF(OR($A80="",Flows!$C81=""),0,IF(AND(18&lt;=Setup!$B$5,18&gt;=$C80,OR(AND($E80="once",18=$C80),AND($E80="weekly",18&lt;=$D80),AND($E80="biweekly",18&lt;=$D80,MOD(18-$C80,2)=0))),Flows!$C81,0))</f>
        <v/>
      </c>
      <c r="X80" s="13">
        <f>IF(OR($A80="",Flows!$C81=""),0,IF(AND(19&lt;=Setup!$B$5,19&gt;=$C80,OR(AND($E80="once",19=$C80),AND($E80="weekly",19&lt;=$D80),AND($E80="biweekly",19&lt;=$D80,MOD(19-$C80,2)=0))),Flows!$C81,0))</f>
        <v/>
      </c>
      <c r="Y80" s="13">
        <f>IF(OR($A80="",Flows!$C81=""),0,IF(AND(20&lt;=Setup!$B$5,20&gt;=$C80,OR(AND($E80="once",20=$C80),AND($E80="weekly",20&lt;=$D80),AND($E80="biweekly",20&lt;=$D80,MOD(20-$C80,2)=0))),Flows!$C81,0))</f>
        <v/>
      </c>
      <c r="Z80" s="13">
        <f>IF(OR($A80="",Flows!$C81=""),0,IF(AND(21&lt;=Setup!$B$5,21&gt;=$C80,OR(AND($E80="once",21=$C80),AND($E80="weekly",21&lt;=$D80),AND($E80="biweekly",21&lt;=$D80,MOD(21-$C80,2)=0))),Flows!$C81,0))</f>
        <v/>
      </c>
      <c r="AA80" s="13">
        <f>IF(OR($A80="",Flows!$C81=""),0,IF(AND(22&lt;=Setup!$B$5,22&gt;=$C80,OR(AND($E80="once",22=$C80),AND($E80="weekly",22&lt;=$D80),AND($E80="biweekly",22&lt;=$D80,MOD(22-$C80,2)=0))),Flows!$C81,0))</f>
        <v/>
      </c>
      <c r="AB80" s="13">
        <f>IF(OR($A80="",Flows!$C81=""),0,IF(AND(23&lt;=Setup!$B$5,23&gt;=$C80,OR(AND($E80="once",23=$C80),AND($E80="weekly",23&lt;=$D80),AND($E80="biweekly",23&lt;=$D80,MOD(23-$C80,2)=0))),Flows!$C81,0))</f>
        <v/>
      </c>
      <c r="AC80" s="13">
        <f>IF(OR($A80="",Flows!$C81=""),0,IF(AND(24&lt;=Setup!$B$5,24&gt;=$C80,OR(AND($E80="once",24=$C80),AND($E80="weekly",24&lt;=$D80),AND($E80="biweekly",24&lt;=$D80,MOD(24-$C80,2)=0))),Flows!$C81,0))</f>
        <v/>
      </c>
      <c r="AD80" s="13">
        <f>IF(OR($A80="",Flows!$C81=""),0,IF(AND(25&lt;=Setup!$B$5,25&gt;=$C80,OR(AND($E80="once",25=$C80),AND($E80="weekly",25&lt;=$D80),AND($E80="biweekly",25&lt;=$D80,MOD(25-$C80,2)=0))),Flows!$C81,0))</f>
        <v/>
      </c>
      <c r="AE80" s="13">
        <f>IF(OR($A80="",Flows!$C81=""),0,IF(AND(26&lt;=Setup!$B$5,26&gt;=$C80,OR(AND($E80="once",26=$C80),AND($E80="weekly",26&lt;=$D80),AND($E80="biweekly",26&lt;=$D80,MOD(26-$C80,2)=0))),Flows!$C81,0))</f>
        <v/>
      </c>
      <c r="AF80" s="13">
        <f>IF(OR($A80="",Flows!$C81=""),0,IF(AND(27&lt;=Setup!$B$5,27&gt;=$C80,OR(AND($E80="once",27=$C80),AND($E80="weekly",27&lt;=$D80),AND($E80="biweekly",27&lt;=$D80,MOD(27-$C80,2)=0))),Flows!$C81,0))</f>
        <v/>
      </c>
      <c r="AG80" s="13">
        <f>IF(OR($A80="",Flows!$C81=""),0,IF(AND(28&lt;=Setup!$B$5,28&gt;=$C80,OR(AND($E80="once",28=$C80),AND($E80="weekly",28&lt;=$D80),AND($E80="biweekly",28&lt;=$D80,MOD(28-$C80,2)=0))),Flows!$C81,0))</f>
        <v/>
      </c>
      <c r="AH80" s="13">
        <f>IF(OR($A80="",Flows!$C81=""),0,IF(AND(29&lt;=Setup!$B$5,29&gt;=$C80,OR(AND($E80="once",29=$C80),AND($E80="weekly",29&lt;=$D80),AND($E80="biweekly",29&lt;=$D80,MOD(29-$C80,2)=0))),Flows!$C81,0))</f>
        <v/>
      </c>
      <c r="AI80" s="13">
        <f>IF(OR($A80="",Flows!$C81=""),0,IF(AND(30&lt;=Setup!$B$5,30&gt;=$C80,OR(AND($E80="once",30=$C80),AND($E80="weekly",30&lt;=$D80),AND($E80="biweekly",30&lt;=$D80,MOD(30-$C80,2)=0))),Flows!$C81,0))</f>
        <v/>
      </c>
      <c r="AJ80" s="13">
        <f>IF(OR($A80="",Flows!$C81=""),0,IF(AND(31&lt;=Setup!$B$5,31&gt;=$C80,OR(AND($E80="once",31=$C80),AND($E80="weekly",31&lt;=$D80),AND($E80="biweekly",31&lt;=$D80,MOD(31-$C80,2)=0))),Flows!$C81,0))</f>
        <v/>
      </c>
      <c r="AK80" s="13">
        <f>IF(OR($A80="",Flows!$C81=""),0,IF(AND(32&lt;=Setup!$B$5,32&gt;=$C80,OR(AND($E80="once",32=$C80),AND($E80="weekly",32&lt;=$D80),AND($E80="biweekly",32&lt;=$D80,MOD(32-$C80,2)=0))),Flows!$C81,0))</f>
        <v/>
      </c>
      <c r="AL80" s="13">
        <f>IF(OR($A80="",Flows!$C81=""),0,IF(AND(33&lt;=Setup!$B$5,33&gt;=$C80,OR(AND($E80="once",33=$C80),AND($E80="weekly",33&lt;=$D80),AND($E80="biweekly",33&lt;=$D80,MOD(33-$C80,2)=0))),Flows!$C81,0))</f>
        <v/>
      </c>
      <c r="AM80" s="13">
        <f>IF(OR($A80="",Flows!$C81=""),0,IF(AND(34&lt;=Setup!$B$5,34&gt;=$C80,OR(AND($E80="once",34=$C80),AND($E80="weekly",34&lt;=$D80),AND($E80="biweekly",34&lt;=$D80,MOD(34-$C80,2)=0))),Flows!$C81,0))</f>
        <v/>
      </c>
      <c r="AN80" s="13">
        <f>IF(OR($A80="",Flows!$C81=""),0,IF(AND(35&lt;=Setup!$B$5,35&gt;=$C80,OR(AND($E80="once",35=$C80),AND($E80="weekly",35&lt;=$D80),AND($E80="biweekly",35&lt;=$D80,MOD(35-$C80,2)=0))),Flows!$C81,0))</f>
        <v/>
      </c>
      <c r="AO80" s="13">
        <f>IF(OR($A80="",Flows!$C81=""),0,IF(AND(36&lt;=Setup!$B$5,36&gt;=$C80,OR(AND($E80="once",36=$C80),AND($E80="weekly",36&lt;=$D80),AND($E80="biweekly",36&lt;=$D80,MOD(36-$C80,2)=0))),Flows!$C81,0))</f>
        <v/>
      </c>
      <c r="AP80" s="13">
        <f>IF(OR($A80="",Flows!$C81=""),0,IF(AND(37&lt;=Setup!$B$5,37&gt;=$C80,OR(AND($E80="once",37=$C80),AND($E80="weekly",37&lt;=$D80),AND($E80="biweekly",37&lt;=$D80,MOD(37-$C80,2)=0))),Flows!$C81,0))</f>
        <v/>
      </c>
      <c r="AQ80" s="13">
        <f>IF(OR($A80="",Flows!$C81=""),0,IF(AND(38&lt;=Setup!$B$5,38&gt;=$C80,OR(AND($E80="once",38=$C80),AND($E80="weekly",38&lt;=$D80),AND($E80="biweekly",38&lt;=$D80,MOD(38-$C80,2)=0))),Flows!$C81,0))</f>
        <v/>
      </c>
      <c r="AR80" s="13">
        <f>IF(OR($A80="",Flows!$C81=""),0,IF(AND(39&lt;=Setup!$B$5,39&gt;=$C80,OR(AND($E80="once",39=$C80),AND($E80="weekly",39&lt;=$D80),AND($E80="biweekly",39&lt;=$D80,MOD(39-$C80,2)=0))),Flows!$C81,0))</f>
        <v/>
      </c>
      <c r="AS80" s="13">
        <f>IF(OR($A80="",Flows!$C81=""),0,IF(AND(40&lt;=Setup!$B$5,40&gt;=$C80,OR(AND($E80="once",40=$C80),AND($E80="weekly",40&lt;=$D80),AND($E80="biweekly",40&lt;=$D80,MOD(40-$C80,2)=0))),Flows!$C81,0))</f>
        <v/>
      </c>
      <c r="AT80" s="13">
        <f>IF(OR($A80="",Flows!$C81=""),0,IF(AND(41&lt;=Setup!$B$5,41&gt;=$C80,OR(AND($E80="once",41=$C80),AND($E80="weekly",41&lt;=$D80),AND($E80="biweekly",41&lt;=$D80,MOD(41-$C80,2)=0))),Flows!$C81,0))</f>
        <v/>
      </c>
      <c r="AU80" s="13">
        <f>IF(OR($A80="",Flows!$C81=""),0,IF(AND(42&lt;=Setup!$B$5,42&gt;=$C80,OR(AND($E80="once",42=$C80),AND($E80="weekly",42&lt;=$D80),AND($E80="biweekly",42&lt;=$D80,MOD(42-$C80,2)=0))),Flows!$C81,0))</f>
        <v/>
      </c>
      <c r="AV80" s="13">
        <f>IF(OR($A80="",Flows!$C81=""),0,IF(AND(43&lt;=Setup!$B$5,43&gt;=$C80,OR(AND($E80="once",43=$C80),AND($E80="weekly",43&lt;=$D80),AND($E80="biweekly",43&lt;=$D80,MOD(43-$C80,2)=0))),Flows!$C81,0))</f>
        <v/>
      </c>
      <c r="AW80" s="13">
        <f>IF(OR($A80="",Flows!$C81=""),0,IF(AND(44&lt;=Setup!$B$5,44&gt;=$C80,OR(AND($E80="once",44=$C80),AND($E80="weekly",44&lt;=$D80),AND($E80="biweekly",44&lt;=$D80,MOD(44-$C80,2)=0))),Flows!$C81,0))</f>
        <v/>
      </c>
      <c r="AX80" s="13">
        <f>IF(OR($A80="",Flows!$C81=""),0,IF(AND(45&lt;=Setup!$B$5,45&gt;=$C80,OR(AND($E80="once",45=$C80),AND($E80="weekly",45&lt;=$D80),AND($E80="biweekly",45&lt;=$D80,MOD(45-$C80,2)=0))),Flows!$C81,0))</f>
        <v/>
      </c>
      <c r="AY80" s="13">
        <f>IF(OR($A80="",Flows!$C81=""),0,IF(AND(46&lt;=Setup!$B$5,46&gt;=$C80,OR(AND($E80="once",46=$C80),AND($E80="weekly",46&lt;=$D80),AND($E80="biweekly",46&lt;=$D80,MOD(46-$C80,2)=0))),Flows!$C81,0))</f>
        <v/>
      </c>
      <c r="AZ80" s="13">
        <f>IF(OR($A80="",Flows!$C81=""),0,IF(AND(47&lt;=Setup!$B$5,47&gt;=$C80,OR(AND($E80="once",47=$C80),AND($E80="weekly",47&lt;=$D80),AND($E80="biweekly",47&lt;=$D80,MOD(47-$C80,2)=0))),Flows!$C81,0))</f>
        <v/>
      </c>
      <c r="BA80" s="13">
        <f>IF(OR($A80="",Flows!$C81=""),0,IF(AND(48&lt;=Setup!$B$5,48&gt;=$C80,OR(AND($E80="once",48=$C80),AND($E80="weekly",48&lt;=$D80),AND($E80="biweekly",48&lt;=$D80,MOD(48-$C80,2)=0))),Flows!$C81,0))</f>
        <v/>
      </c>
      <c r="BB80" s="13">
        <f>IF(OR($A80="",Flows!$C81=""),0,IF(AND(49&lt;=Setup!$B$5,49&gt;=$C80,OR(AND($E80="once",49=$C80),AND($E80="weekly",49&lt;=$D80),AND($E80="biweekly",49&lt;=$D80,MOD(49-$C80,2)=0))),Flows!$C81,0))</f>
        <v/>
      </c>
      <c r="BC80" s="13">
        <f>IF(OR($A80="",Flows!$C81=""),0,IF(AND(50&lt;=Setup!$B$5,50&gt;=$C80,OR(AND($E80="once",50=$C80),AND($E80="weekly",50&lt;=$D80),AND($E80="biweekly",50&lt;=$D80,MOD(50-$C80,2)=0))),Flows!$C81,0))</f>
        <v/>
      </c>
      <c r="BD80" s="13">
        <f>IF(OR($A80="",Flows!$C81=""),0,IF(AND(51&lt;=Setup!$B$5,51&gt;=$C80,OR(AND($E80="once",51=$C80),AND($E80="weekly",51&lt;=$D80),AND($E80="biweekly",51&lt;=$D80,MOD(51-$C80,2)=0))),Flows!$C81,0))</f>
        <v/>
      </c>
      <c r="BE80" s="13">
        <f>IF(OR($A80="",Flows!$C81=""),0,IF(AND(52&lt;=Setup!$B$5,52&gt;=$C80,OR(AND($E80="once",52=$C80),AND($E80="weekly",52&lt;=$D80),AND($E80="biweekly",52&lt;=$D80,MOD(52-$C80,2)=0))),Flows!$C81,0))</f>
        <v/>
      </c>
    </row>
    <row r="81">
      <c r="A81" s="7">
        <f>IF(Flows!A82="","",LOWER(Flows!A82))</f>
        <v/>
      </c>
      <c r="B81" s="7">
        <f>IF(Flows!B82="","",Flows!B82)</f>
        <v/>
      </c>
      <c r="C81" s="7">
        <f>N(Flows!D82)</f>
        <v/>
      </c>
      <c r="D81" s="7">
        <f>IF(Flows!F82="",Setup!$B$5,Flows!F82)</f>
        <v/>
      </c>
      <c r="E81" s="7">
        <f>IF(Flows!E82="","once",LOWER(Flows!E82))</f>
        <v/>
      </c>
      <c r="F81" s="13">
        <f>IF(OR($A81="",Flows!$C82=""),0,IF(AND(1&lt;=Setup!$B$5,1&gt;=$C81,OR(AND($E81="once",1=$C81),AND($E81="weekly",1&lt;=$D81),AND($E81="biweekly",1&lt;=$D81,MOD(1-$C81,2)=0))),Flows!$C82,0))</f>
        <v/>
      </c>
      <c r="G81" s="13">
        <f>IF(OR($A81="",Flows!$C82=""),0,IF(AND(2&lt;=Setup!$B$5,2&gt;=$C81,OR(AND($E81="once",2=$C81),AND($E81="weekly",2&lt;=$D81),AND($E81="biweekly",2&lt;=$D81,MOD(2-$C81,2)=0))),Flows!$C82,0))</f>
        <v/>
      </c>
      <c r="H81" s="13">
        <f>IF(OR($A81="",Flows!$C82=""),0,IF(AND(3&lt;=Setup!$B$5,3&gt;=$C81,OR(AND($E81="once",3=$C81),AND($E81="weekly",3&lt;=$D81),AND($E81="biweekly",3&lt;=$D81,MOD(3-$C81,2)=0))),Flows!$C82,0))</f>
        <v/>
      </c>
      <c r="I81" s="13">
        <f>IF(OR($A81="",Flows!$C82=""),0,IF(AND(4&lt;=Setup!$B$5,4&gt;=$C81,OR(AND($E81="once",4=$C81),AND($E81="weekly",4&lt;=$D81),AND($E81="biweekly",4&lt;=$D81,MOD(4-$C81,2)=0))),Flows!$C82,0))</f>
        <v/>
      </c>
      <c r="J81" s="13">
        <f>IF(OR($A81="",Flows!$C82=""),0,IF(AND(5&lt;=Setup!$B$5,5&gt;=$C81,OR(AND($E81="once",5=$C81),AND($E81="weekly",5&lt;=$D81),AND($E81="biweekly",5&lt;=$D81,MOD(5-$C81,2)=0))),Flows!$C82,0))</f>
        <v/>
      </c>
      <c r="K81" s="13">
        <f>IF(OR($A81="",Flows!$C82=""),0,IF(AND(6&lt;=Setup!$B$5,6&gt;=$C81,OR(AND($E81="once",6=$C81),AND($E81="weekly",6&lt;=$D81),AND($E81="biweekly",6&lt;=$D81,MOD(6-$C81,2)=0))),Flows!$C82,0))</f>
        <v/>
      </c>
      <c r="L81" s="13">
        <f>IF(OR($A81="",Flows!$C82=""),0,IF(AND(7&lt;=Setup!$B$5,7&gt;=$C81,OR(AND($E81="once",7=$C81),AND($E81="weekly",7&lt;=$D81),AND($E81="biweekly",7&lt;=$D81,MOD(7-$C81,2)=0))),Flows!$C82,0))</f>
        <v/>
      </c>
      <c r="M81" s="13">
        <f>IF(OR($A81="",Flows!$C82=""),0,IF(AND(8&lt;=Setup!$B$5,8&gt;=$C81,OR(AND($E81="once",8=$C81),AND($E81="weekly",8&lt;=$D81),AND($E81="biweekly",8&lt;=$D81,MOD(8-$C81,2)=0))),Flows!$C82,0))</f>
        <v/>
      </c>
      <c r="N81" s="13">
        <f>IF(OR($A81="",Flows!$C82=""),0,IF(AND(9&lt;=Setup!$B$5,9&gt;=$C81,OR(AND($E81="once",9=$C81),AND($E81="weekly",9&lt;=$D81),AND($E81="biweekly",9&lt;=$D81,MOD(9-$C81,2)=0))),Flows!$C82,0))</f>
        <v/>
      </c>
      <c r="O81" s="13">
        <f>IF(OR($A81="",Flows!$C82=""),0,IF(AND(10&lt;=Setup!$B$5,10&gt;=$C81,OR(AND($E81="once",10=$C81),AND($E81="weekly",10&lt;=$D81),AND($E81="biweekly",10&lt;=$D81,MOD(10-$C81,2)=0))),Flows!$C82,0))</f>
        <v/>
      </c>
      <c r="P81" s="13">
        <f>IF(OR($A81="",Flows!$C82=""),0,IF(AND(11&lt;=Setup!$B$5,11&gt;=$C81,OR(AND($E81="once",11=$C81),AND($E81="weekly",11&lt;=$D81),AND($E81="biweekly",11&lt;=$D81,MOD(11-$C81,2)=0))),Flows!$C82,0))</f>
        <v/>
      </c>
      <c r="Q81" s="13">
        <f>IF(OR($A81="",Flows!$C82=""),0,IF(AND(12&lt;=Setup!$B$5,12&gt;=$C81,OR(AND($E81="once",12=$C81),AND($E81="weekly",12&lt;=$D81),AND($E81="biweekly",12&lt;=$D81,MOD(12-$C81,2)=0))),Flows!$C82,0))</f>
        <v/>
      </c>
      <c r="R81" s="13">
        <f>IF(OR($A81="",Flows!$C82=""),0,IF(AND(13&lt;=Setup!$B$5,13&gt;=$C81,OR(AND($E81="once",13=$C81),AND($E81="weekly",13&lt;=$D81),AND($E81="biweekly",13&lt;=$D81,MOD(13-$C81,2)=0))),Flows!$C82,0))</f>
        <v/>
      </c>
      <c r="S81" s="13">
        <f>IF(OR($A81="",Flows!$C82=""),0,IF(AND(14&lt;=Setup!$B$5,14&gt;=$C81,OR(AND($E81="once",14=$C81),AND($E81="weekly",14&lt;=$D81),AND($E81="biweekly",14&lt;=$D81,MOD(14-$C81,2)=0))),Flows!$C82,0))</f>
        <v/>
      </c>
      <c r="T81" s="13">
        <f>IF(OR($A81="",Flows!$C82=""),0,IF(AND(15&lt;=Setup!$B$5,15&gt;=$C81,OR(AND($E81="once",15=$C81),AND($E81="weekly",15&lt;=$D81),AND($E81="biweekly",15&lt;=$D81,MOD(15-$C81,2)=0))),Flows!$C82,0))</f>
        <v/>
      </c>
      <c r="U81" s="13">
        <f>IF(OR($A81="",Flows!$C82=""),0,IF(AND(16&lt;=Setup!$B$5,16&gt;=$C81,OR(AND($E81="once",16=$C81),AND($E81="weekly",16&lt;=$D81),AND($E81="biweekly",16&lt;=$D81,MOD(16-$C81,2)=0))),Flows!$C82,0))</f>
        <v/>
      </c>
      <c r="V81" s="13">
        <f>IF(OR($A81="",Flows!$C82=""),0,IF(AND(17&lt;=Setup!$B$5,17&gt;=$C81,OR(AND($E81="once",17=$C81),AND($E81="weekly",17&lt;=$D81),AND($E81="biweekly",17&lt;=$D81,MOD(17-$C81,2)=0))),Flows!$C82,0))</f>
        <v/>
      </c>
      <c r="W81" s="13">
        <f>IF(OR($A81="",Flows!$C82=""),0,IF(AND(18&lt;=Setup!$B$5,18&gt;=$C81,OR(AND($E81="once",18=$C81),AND($E81="weekly",18&lt;=$D81),AND($E81="biweekly",18&lt;=$D81,MOD(18-$C81,2)=0))),Flows!$C82,0))</f>
        <v/>
      </c>
      <c r="X81" s="13">
        <f>IF(OR($A81="",Flows!$C82=""),0,IF(AND(19&lt;=Setup!$B$5,19&gt;=$C81,OR(AND($E81="once",19=$C81),AND($E81="weekly",19&lt;=$D81),AND($E81="biweekly",19&lt;=$D81,MOD(19-$C81,2)=0))),Flows!$C82,0))</f>
        <v/>
      </c>
      <c r="Y81" s="13">
        <f>IF(OR($A81="",Flows!$C82=""),0,IF(AND(20&lt;=Setup!$B$5,20&gt;=$C81,OR(AND($E81="once",20=$C81),AND($E81="weekly",20&lt;=$D81),AND($E81="biweekly",20&lt;=$D81,MOD(20-$C81,2)=0))),Flows!$C82,0))</f>
        <v/>
      </c>
      <c r="Z81" s="13">
        <f>IF(OR($A81="",Flows!$C82=""),0,IF(AND(21&lt;=Setup!$B$5,21&gt;=$C81,OR(AND($E81="once",21=$C81),AND($E81="weekly",21&lt;=$D81),AND($E81="biweekly",21&lt;=$D81,MOD(21-$C81,2)=0))),Flows!$C82,0))</f>
        <v/>
      </c>
      <c r="AA81" s="13">
        <f>IF(OR($A81="",Flows!$C82=""),0,IF(AND(22&lt;=Setup!$B$5,22&gt;=$C81,OR(AND($E81="once",22=$C81),AND($E81="weekly",22&lt;=$D81),AND($E81="biweekly",22&lt;=$D81,MOD(22-$C81,2)=0))),Flows!$C82,0))</f>
        <v/>
      </c>
      <c r="AB81" s="13">
        <f>IF(OR($A81="",Flows!$C82=""),0,IF(AND(23&lt;=Setup!$B$5,23&gt;=$C81,OR(AND($E81="once",23=$C81),AND($E81="weekly",23&lt;=$D81),AND($E81="biweekly",23&lt;=$D81,MOD(23-$C81,2)=0))),Flows!$C82,0))</f>
        <v/>
      </c>
      <c r="AC81" s="13">
        <f>IF(OR($A81="",Flows!$C82=""),0,IF(AND(24&lt;=Setup!$B$5,24&gt;=$C81,OR(AND($E81="once",24=$C81),AND($E81="weekly",24&lt;=$D81),AND($E81="biweekly",24&lt;=$D81,MOD(24-$C81,2)=0))),Flows!$C82,0))</f>
        <v/>
      </c>
      <c r="AD81" s="13">
        <f>IF(OR($A81="",Flows!$C82=""),0,IF(AND(25&lt;=Setup!$B$5,25&gt;=$C81,OR(AND($E81="once",25=$C81),AND($E81="weekly",25&lt;=$D81),AND($E81="biweekly",25&lt;=$D81,MOD(25-$C81,2)=0))),Flows!$C82,0))</f>
        <v/>
      </c>
      <c r="AE81" s="13">
        <f>IF(OR($A81="",Flows!$C82=""),0,IF(AND(26&lt;=Setup!$B$5,26&gt;=$C81,OR(AND($E81="once",26=$C81),AND($E81="weekly",26&lt;=$D81),AND($E81="biweekly",26&lt;=$D81,MOD(26-$C81,2)=0))),Flows!$C82,0))</f>
        <v/>
      </c>
      <c r="AF81" s="13">
        <f>IF(OR($A81="",Flows!$C82=""),0,IF(AND(27&lt;=Setup!$B$5,27&gt;=$C81,OR(AND($E81="once",27=$C81),AND($E81="weekly",27&lt;=$D81),AND($E81="biweekly",27&lt;=$D81,MOD(27-$C81,2)=0))),Flows!$C82,0))</f>
        <v/>
      </c>
      <c r="AG81" s="13">
        <f>IF(OR($A81="",Flows!$C82=""),0,IF(AND(28&lt;=Setup!$B$5,28&gt;=$C81,OR(AND($E81="once",28=$C81),AND($E81="weekly",28&lt;=$D81),AND($E81="biweekly",28&lt;=$D81,MOD(28-$C81,2)=0))),Flows!$C82,0))</f>
        <v/>
      </c>
      <c r="AH81" s="13">
        <f>IF(OR($A81="",Flows!$C82=""),0,IF(AND(29&lt;=Setup!$B$5,29&gt;=$C81,OR(AND($E81="once",29=$C81),AND($E81="weekly",29&lt;=$D81),AND($E81="biweekly",29&lt;=$D81,MOD(29-$C81,2)=0))),Flows!$C82,0))</f>
        <v/>
      </c>
      <c r="AI81" s="13">
        <f>IF(OR($A81="",Flows!$C82=""),0,IF(AND(30&lt;=Setup!$B$5,30&gt;=$C81,OR(AND($E81="once",30=$C81),AND($E81="weekly",30&lt;=$D81),AND($E81="biweekly",30&lt;=$D81,MOD(30-$C81,2)=0))),Flows!$C82,0))</f>
        <v/>
      </c>
      <c r="AJ81" s="13">
        <f>IF(OR($A81="",Flows!$C82=""),0,IF(AND(31&lt;=Setup!$B$5,31&gt;=$C81,OR(AND($E81="once",31=$C81),AND($E81="weekly",31&lt;=$D81),AND($E81="biweekly",31&lt;=$D81,MOD(31-$C81,2)=0))),Flows!$C82,0))</f>
        <v/>
      </c>
      <c r="AK81" s="13">
        <f>IF(OR($A81="",Flows!$C82=""),0,IF(AND(32&lt;=Setup!$B$5,32&gt;=$C81,OR(AND($E81="once",32=$C81),AND($E81="weekly",32&lt;=$D81),AND($E81="biweekly",32&lt;=$D81,MOD(32-$C81,2)=0))),Flows!$C82,0))</f>
        <v/>
      </c>
      <c r="AL81" s="13">
        <f>IF(OR($A81="",Flows!$C82=""),0,IF(AND(33&lt;=Setup!$B$5,33&gt;=$C81,OR(AND($E81="once",33=$C81),AND($E81="weekly",33&lt;=$D81),AND($E81="biweekly",33&lt;=$D81,MOD(33-$C81,2)=0))),Flows!$C82,0))</f>
        <v/>
      </c>
      <c r="AM81" s="13">
        <f>IF(OR($A81="",Flows!$C82=""),0,IF(AND(34&lt;=Setup!$B$5,34&gt;=$C81,OR(AND($E81="once",34=$C81),AND($E81="weekly",34&lt;=$D81),AND($E81="biweekly",34&lt;=$D81,MOD(34-$C81,2)=0))),Flows!$C82,0))</f>
        <v/>
      </c>
      <c r="AN81" s="13">
        <f>IF(OR($A81="",Flows!$C82=""),0,IF(AND(35&lt;=Setup!$B$5,35&gt;=$C81,OR(AND($E81="once",35=$C81),AND($E81="weekly",35&lt;=$D81),AND($E81="biweekly",35&lt;=$D81,MOD(35-$C81,2)=0))),Flows!$C82,0))</f>
        <v/>
      </c>
      <c r="AO81" s="13">
        <f>IF(OR($A81="",Flows!$C82=""),0,IF(AND(36&lt;=Setup!$B$5,36&gt;=$C81,OR(AND($E81="once",36=$C81),AND($E81="weekly",36&lt;=$D81),AND($E81="biweekly",36&lt;=$D81,MOD(36-$C81,2)=0))),Flows!$C82,0))</f>
        <v/>
      </c>
      <c r="AP81" s="13">
        <f>IF(OR($A81="",Flows!$C82=""),0,IF(AND(37&lt;=Setup!$B$5,37&gt;=$C81,OR(AND($E81="once",37=$C81),AND($E81="weekly",37&lt;=$D81),AND($E81="biweekly",37&lt;=$D81,MOD(37-$C81,2)=0))),Flows!$C82,0))</f>
        <v/>
      </c>
      <c r="AQ81" s="13">
        <f>IF(OR($A81="",Flows!$C82=""),0,IF(AND(38&lt;=Setup!$B$5,38&gt;=$C81,OR(AND($E81="once",38=$C81),AND($E81="weekly",38&lt;=$D81),AND($E81="biweekly",38&lt;=$D81,MOD(38-$C81,2)=0))),Flows!$C82,0))</f>
        <v/>
      </c>
      <c r="AR81" s="13">
        <f>IF(OR($A81="",Flows!$C82=""),0,IF(AND(39&lt;=Setup!$B$5,39&gt;=$C81,OR(AND($E81="once",39=$C81),AND($E81="weekly",39&lt;=$D81),AND($E81="biweekly",39&lt;=$D81,MOD(39-$C81,2)=0))),Flows!$C82,0))</f>
        <v/>
      </c>
      <c r="AS81" s="13">
        <f>IF(OR($A81="",Flows!$C82=""),0,IF(AND(40&lt;=Setup!$B$5,40&gt;=$C81,OR(AND($E81="once",40=$C81),AND($E81="weekly",40&lt;=$D81),AND($E81="biweekly",40&lt;=$D81,MOD(40-$C81,2)=0))),Flows!$C82,0))</f>
        <v/>
      </c>
      <c r="AT81" s="13">
        <f>IF(OR($A81="",Flows!$C82=""),0,IF(AND(41&lt;=Setup!$B$5,41&gt;=$C81,OR(AND($E81="once",41=$C81),AND($E81="weekly",41&lt;=$D81),AND($E81="biweekly",41&lt;=$D81,MOD(41-$C81,2)=0))),Flows!$C82,0))</f>
        <v/>
      </c>
      <c r="AU81" s="13">
        <f>IF(OR($A81="",Flows!$C82=""),0,IF(AND(42&lt;=Setup!$B$5,42&gt;=$C81,OR(AND($E81="once",42=$C81),AND($E81="weekly",42&lt;=$D81),AND($E81="biweekly",42&lt;=$D81,MOD(42-$C81,2)=0))),Flows!$C82,0))</f>
        <v/>
      </c>
      <c r="AV81" s="13">
        <f>IF(OR($A81="",Flows!$C82=""),0,IF(AND(43&lt;=Setup!$B$5,43&gt;=$C81,OR(AND($E81="once",43=$C81),AND($E81="weekly",43&lt;=$D81),AND($E81="biweekly",43&lt;=$D81,MOD(43-$C81,2)=0))),Flows!$C82,0))</f>
        <v/>
      </c>
      <c r="AW81" s="13">
        <f>IF(OR($A81="",Flows!$C82=""),0,IF(AND(44&lt;=Setup!$B$5,44&gt;=$C81,OR(AND($E81="once",44=$C81),AND($E81="weekly",44&lt;=$D81),AND($E81="biweekly",44&lt;=$D81,MOD(44-$C81,2)=0))),Flows!$C82,0))</f>
        <v/>
      </c>
      <c r="AX81" s="13">
        <f>IF(OR($A81="",Flows!$C82=""),0,IF(AND(45&lt;=Setup!$B$5,45&gt;=$C81,OR(AND($E81="once",45=$C81),AND($E81="weekly",45&lt;=$D81),AND($E81="biweekly",45&lt;=$D81,MOD(45-$C81,2)=0))),Flows!$C82,0))</f>
        <v/>
      </c>
      <c r="AY81" s="13">
        <f>IF(OR($A81="",Flows!$C82=""),0,IF(AND(46&lt;=Setup!$B$5,46&gt;=$C81,OR(AND($E81="once",46=$C81),AND($E81="weekly",46&lt;=$D81),AND($E81="biweekly",46&lt;=$D81,MOD(46-$C81,2)=0))),Flows!$C82,0))</f>
        <v/>
      </c>
      <c r="AZ81" s="13">
        <f>IF(OR($A81="",Flows!$C82=""),0,IF(AND(47&lt;=Setup!$B$5,47&gt;=$C81,OR(AND($E81="once",47=$C81),AND($E81="weekly",47&lt;=$D81),AND($E81="biweekly",47&lt;=$D81,MOD(47-$C81,2)=0))),Flows!$C82,0))</f>
        <v/>
      </c>
      <c r="BA81" s="13">
        <f>IF(OR($A81="",Flows!$C82=""),0,IF(AND(48&lt;=Setup!$B$5,48&gt;=$C81,OR(AND($E81="once",48=$C81),AND($E81="weekly",48&lt;=$D81),AND($E81="biweekly",48&lt;=$D81,MOD(48-$C81,2)=0))),Flows!$C82,0))</f>
        <v/>
      </c>
      <c r="BB81" s="13">
        <f>IF(OR($A81="",Flows!$C82=""),0,IF(AND(49&lt;=Setup!$B$5,49&gt;=$C81,OR(AND($E81="once",49=$C81),AND($E81="weekly",49&lt;=$D81),AND($E81="biweekly",49&lt;=$D81,MOD(49-$C81,2)=0))),Flows!$C82,0))</f>
        <v/>
      </c>
      <c r="BC81" s="13">
        <f>IF(OR($A81="",Flows!$C82=""),0,IF(AND(50&lt;=Setup!$B$5,50&gt;=$C81,OR(AND($E81="once",50=$C81),AND($E81="weekly",50&lt;=$D81),AND($E81="biweekly",50&lt;=$D81,MOD(50-$C81,2)=0))),Flows!$C82,0))</f>
        <v/>
      </c>
      <c r="BD81" s="13">
        <f>IF(OR($A81="",Flows!$C82=""),0,IF(AND(51&lt;=Setup!$B$5,51&gt;=$C81,OR(AND($E81="once",51=$C81),AND($E81="weekly",51&lt;=$D81),AND($E81="biweekly",51&lt;=$D81,MOD(51-$C81,2)=0))),Flows!$C82,0))</f>
        <v/>
      </c>
      <c r="BE81" s="13">
        <f>IF(OR($A81="",Flows!$C82=""),0,IF(AND(52&lt;=Setup!$B$5,52&gt;=$C81,OR(AND($E81="once",52=$C81),AND($E81="weekly",52&lt;=$D81),AND($E81="biweekly",52&lt;=$D81,MOD(52-$C81,2)=0))),Flows!$C82,0))</f>
        <v/>
      </c>
    </row>
    <row r="82">
      <c r="A82" s="7">
        <f>IF(Flows!A83="","",LOWER(Flows!A83))</f>
        <v/>
      </c>
      <c r="B82" s="7">
        <f>IF(Flows!B83="","",Flows!B83)</f>
        <v/>
      </c>
      <c r="C82" s="7">
        <f>N(Flows!D83)</f>
        <v/>
      </c>
      <c r="D82" s="7">
        <f>IF(Flows!F83="",Setup!$B$5,Flows!F83)</f>
        <v/>
      </c>
      <c r="E82" s="7">
        <f>IF(Flows!E83="","once",LOWER(Flows!E83))</f>
        <v/>
      </c>
      <c r="F82" s="13">
        <f>IF(OR($A82="",Flows!$C83=""),0,IF(AND(1&lt;=Setup!$B$5,1&gt;=$C82,OR(AND($E82="once",1=$C82),AND($E82="weekly",1&lt;=$D82),AND($E82="biweekly",1&lt;=$D82,MOD(1-$C82,2)=0))),Flows!$C83,0))</f>
        <v/>
      </c>
      <c r="G82" s="13">
        <f>IF(OR($A82="",Flows!$C83=""),0,IF(AND(2&lt;=Setup!$B$5,2&gt;=$C82,OR(AND($E82="once",2=$C82),AND($E82="weekly",2&lt;=$D82),AND($E82="biweekly",2&lt;=$D82,MOD(2-$C82,2)=0))),Flows!$C83,0))</f>
        <v/>
      </c>
      <c r="H82" s="13">
        <f>IF(OR($A82="",Flows!$C83=""),0,IF(AND(3&lt;=Setup!$B$5,3&gt;=$C82,OR(AND($E82="once",3=$C82),AND($E82="weekly",3&lt;=$D82),AND($E82="biweekly",3&lt;=$D82,MOD(3-$C82,2)=0))),Flows!$C83,0))</f>
        <v/>
      </c>
      <c r="I82" s="13">
        <f>IF(OR($A82="",Flows!$C83=""),0,IF(AND(4&lt;=Setup!$B$5,4&gt;=$C82,OR(AND($E82="once",4=$C82),AND($E82="weekly",4&lt;=$D82),AND($E82="biweekly",4&lt;=$D82,MOD(4-$C82,2)=0))),Flows!$C83,0))</f>
        <v/>
      </c>
      <c r="J82" s="13">
        <f>IF(OR($A82="",Flows!$C83=""),0,IF(AND(5&lt;=Setup!$B$5,5&gt;=$C82,OR(AND($E82="once",5=$C82),AND($E82="weekly",5&lt;=$D82),AND($E82="biweekly",5&lt;=$D82,MOD(5-$C82,2)=0))),Flows!$C83,0))</f>
        <v/>
      </c>
      <c r="K82" s="13">
        <f>IF(OR($A82="",Flows!$C83=""),0,IF(AND(6&lt;=Setup!$B$5,6&gt;=$C82,OR(AND($E82="once",6=$C82),AND($E82="weekly",6&lt;=$D82),AND($E82="biweekly",6&lt;=$D82,MOD(6-$C82,2)=0))),Flows!$C83,0))</f>
        <v/>
      </c>
      <c r="L82" s="13">
        <f>IF(OR($A82="",Flows!$C83=""),0,IF(AND(7&lt;=Setup!$B$5,7&gt;=$C82,OR(AND($E82="once",7=$C82),AND($E82="weekly",7&lt;=$D82),AND($E82="biweekly",7&lt;=$D82,MOD(7-$C82,2)=0))),Flows!$C83,0))</f>
        <v/>
      </c>
      <c r="M82" s="13">
        <f>IF(OR($A82="",Flows!$C83=""),0,IF(AND(8&lt;=Setup!$B$5,8&gt;=$C82,OR(AND($E82="once",8=$C82),AND($E82="weekly",8&lt;=$D82),AND($E82="biweekly",8&lt;=$D82,MOD(8-$C82,2)=0))),Flows!$C83,0))</f>
        <v/>
      </c>
      <c r="N82" s="13">
        <f>IF(OR($A82="",Flows!$C83=""),0,IF(AND(9&lt;=Setup!$B$5,9&gt;=$C82,OR(AND($E82="once",9=$C82),AND($E82="weekly",9&lt;=$D82),AND($E82="biweekly",9&lt;=$D82,MOD(9-$C82,2)=0))),Flows!$C83,0))</f>
        <v/>
      </c>
      <c r="O82" s="13">
        <f>IF(OR($A82="",Flows!$C83=""),0,IF(AND(10&lt;=Setup!$B$5,10&gt;=$C82,OR(AND($E82="once",10=$C82),AND($E82="weekly",10&lt;=$D82),AND($E82="biweekly",10&lt;=$D82,MOD(10-$C82,2)=0))),Flows!$C83,0))</f>
        <v/>
      </c>
      <c r="P82" s="13">
        <f>IF(OR($A82="",Flows!$C83=""),0,IF(AND(11&lt;=Setup!$B$5,11&gt;=$C82,OR(AND($E82="once",11=$C82),AND($E82="weekly",11&lt;=$D82),AND($E82="biweekly",11&lt;=$D82,MOD(11-$C82,2)=0))),Flows!$C83,0))</f>
        <v/>
      </c>
      <c r="Q82" s="13">
        <f>IF(OR($A82="",Flows!$C83=""),0,IF(AND(12&lt;=Setup!$B$5,12&gt;=$C82,OR(AND($E82="once",12=$C82),AND($E82="weekly",12&lt;=$D82),AND($E82="biweekly",12&lt;=$D82,MOD(12-$C82,2)=0))),Flows!$C83,0))</f>
        <v/>
      </c>
      <c r="R82" s="13">
        <f>IF(OR($A82="",Flows!$C83=""),0,IF(AND(13&lt;=Setup!$B$5,13&gt;=$C82,OR(AND($E82="once",13=$C82),AND($E82="weekly",13&lt;=$D82),AND($E82="biweekly",13&lt;=$D82,MOD(13-$C82,2)=0))),Flows!$C83,0))</f>
        <v/>
      </c>
      <c r="S82" s="13">
        <f>IF(OR($A82="",Flows!$C83=""),0,IF(AND(14&lt;=Setup!$B$5,14&gt;=$C82,OR(AND($E82="once",14=$C82),AND($E82="weekly",14&lt;=$D82),AND($E82="biweekly",14&lt;=$D82,MOD(14-$C82,2)=0))),Flows!$C83,0))</f>
        <v/>
      </c>
      <c r="T82" s="13">
        <f>IF(OR($A82="",Flows!$C83=""),0,IF(AND(15&lt;=Setup!$B$5,15&gt;=$C82,OR(AND($E82="once",15=$C82),AND($E82="weekly",15&lt;=$D82),AND($E82="biweekly",15&lt;=$D82,MOD(15-$C82,2)=0))),Flows!$C83,0))</f>
        <v/>
      </c>
      <c r="U82" s="13">
        <f>IF(OR($A82="",Flows!$C83=""),0,IF(AND(16&lt;=Setup!$B$5,16&gt;=$C82,OR(AND($E82="once",16=$C82),AND($E82="weekly",16&lt;=$D82),AND($E82="biweekly",16&lt;=$D82,MOD(16-$C82,2)=0))),Flows!$C83,0))</f>
        <v/>
      </c>
      <c r="V82" s="13">
        <f>IF(OR($A82="",Flows!$C83=""),0,IF(AND(17&lt;=Setup!$B$5,17&gt;=$C82,OR(AND($E82="once",17=$C82),AND($E82="weekly",17&lt;=$D82),AND($E82="biweekly",17&lt;=$D82,MOD(17-$C82,2)=0))),Flows!$C83,0))</f>
        <v/>
      </c>
      <c r="W82" s="13">
        <f>IF(OR($A82="",Flows!$C83=""),0,IF(AND(18&lt;=Setup!$B$5,18&gt;=$C82,OR(AND($E82="once",18=$C82),AND($E82="weekly",18&lt;=$D82),AND($E82="biweekly",18&lt;=$D82,MOD(18-$C82,2)=0))),Flows!$C83,0))</f>
        <v/>
      </c>
      <c r="X82" s="13">
        <f>IF(OR($A82="",Flows!$C83=""),0,IF(AND(19&lt;=Setup!$B$5,19&gt;=$C82,OR(AND($E82="once",19=$C82),AND($E82="weekly",19&lt;=$D82),AND($E82="biweekly",19&lt;=$D82,MOD(19-$C82,2)=0))),Flows!$C83,0))</f>
        <v/>
      </c>
      <c r="Y82" s="13">
        <f>IF(OR($A82="",Flows!$C83=""),0,IF(AND(20&lt;=Setup!$B$5,20&gt;=$C82,OR(AND($E82="once",20=$C82),AND($E82="weekly",20&lt;=$D82),AND($E82="biweekly",20&lt;=$D82,MOD(20-$C82,2)=0))),Flows!$C83,0))</f>
        <v/>
      </c>
      <c r="Z82" s="13">
        <f>IF(OR($A82="",Flows!$C83=""),0,IF(AND(21&lt;=Setup!$B$5,21&gt;=$C82,OR(AND($E82="once",21=$C82),AND($E82="weekly",21&lt;=$D82),AND($E82="biweekly",21&lt;=$D82,MOD(21-$C82,2)=0))),Flows!$C83,0))</f>
        <v/>
      </c>
      <c r="AA82" s="13">
        <f>IF(OR($A82="",Flows!$C83=""),0,IF(AND(22&lt;=Setup!$B$5,22&gt;=$C82,OR(AND($E82="once",22=$C82),AND($E82="weekly",22&lt;=$D82),AND($E82="biweekly",22&lt;=$D82,MOD(22-$C82,2)=0))),Flows!$C83,0))</f>
        <v/>
      </c>
      <c r="AB82" s="13">
        <f>IF(OR($A82="",Flows!$C83=""),0,IF(AND(23&lt;=Setup!$B$5,23&gt;=$C82,OR(AND($E82="once",23=$C82),AND($E82="weekly",23&lt;=$D82),AND($E82="biweekly",23&lt;=$D82,MOD(23-$C82,2)=0))),Flows!$C83,0))</f>
        <v/>
      </c>
      <c r="AC82" s="13">
        <f>IF(OR($A82="",Flows!$C83=""),0,IF(AND(24&lt;=Setup!$B$5,24&gt;=$C82,OR(AND($E82="once",24=$C82),AND($E82="weekly",24&lt;=$D82),AND($E82="biweekly",24&lt;=$D82,MOD(24-$C82,2)=0))),Flows!$C83,0))</f>
        <v/>
      </c>
      <c r="AD82" s="13">
        <f>IF(OR($A82="",Flows!$C83=""),0,IF(AND(25&lt;=Setup!$B$5,25&gt;=$C82,OR(AND($E82="once",25=$C82),AND($E82="weekly",25&lt;=$D82),AND($E82="biweekly",25&lt;=$D82,MOD(25-$C82,2)=0))),Flows!$C83,0))</f>
        <v/>
      </c>
      <c r="AE82" s="13">
        <f>IF(OR($A82="",Flows!$C83=""),0,IF(AND(26&lt;=Setup!$B$5,26&gt;=$C82,OR(AND($E82="once",26=$C82),AND($E82="weekly",26&lt;=$D82),AND($E82="biweekly",26&lt;=$D82,MOD(26-$C82,2)=0))),Flows!$C83,0))</f>
        <v/>
      </c>
      <c r="AF82" s="13">
        <f>IF(OR($A82="",Flows!$C83=""),0,IF(AND(27&lt;=Setup!$B$5,27&gt;=$C82,OR(AND($E82="once",27=$C82),AND($E82="weekly",27&lt;=$D82),AND($E82="biweekly",27&lt;=$D82,MOD(27-$C82,2)=0))),Flows!$C83,0))</f>
        <v/>
      </c>
      <c r="AG82" s="13">
        <f>IF(OR($A82="",Flows!$C83=""),0,IF(AND(28&lt;=Setup!$B$5,28&gt;=$C82,OR(AND($E82="once",28=$C82),AND($E82="weekly",28&lt;=$D82),AND($E82="biweekly",28&lt;=$D82,MOD(28-$C82,2)=0))),Flows!$C83,0))</f>
        <v/>
      </c>
      <c r="AH82" s="13">
        <f>IF(OR($A82="",Flows!$C83=""),0,IF(AND(29&lt;=Setup!$B$5,29&gt;=$C82,OR(AND($E82="once",29=$C82),AND($E82="weekly",29&lt;=$D82),AND($E82="biweekly",29&lt;=$D82,MOD(29-$C82,2)=0))),Flows!$C83,0))</f>
        <v/>
      </c>
      <c r="AI82" s="13">
        <f>IF(OR($A82="",Flows!$C83=""),0,IF(AND(30&lt;=Setup!$B$5,30&gt;=$C82,OR(AND($E82="once",30=$C82),AND($E82="weekly",30&lt;=$D82),AND($E82="biweekly",30&lt;=$D82,MOD(30-$C82,2)=0))),Flows!$C83,0))</f>
        <v/>
      </c>
      <c r="AJ82" s="13">
        <f>IF(OR($A82="",Flows!$C83=""),0,IF(AND(31&lt;=Setup!$B$5,31&gt;=$C82,OR(AND($E82="once",31=$C82),AND($E82="weekly",31&lt;=$D82),AND($E82="biweekly",31&lt;=$D82,MOD(31-$C82,2)=0))),Flows!$C83,0))</f>
        <v/>
      </c>
      <c r="AK82" s="13">
        <f>IF(OR($A82="",Flows!$C83=""),0,IF(AND(32&lt;=Setup!$B$5,32&gt;=$C82,OR(AND($E82="once",32=$C82),AND($E82="weekly",32&lt;=$D82),AND($E82="biweekly",32&lt;=$D82,MOD(32-$C82,2)=0))),Flows!$C83,0))</f>
        <v/>
      </c>
      <c r="AL82" s="13">
        <f>IF(OR($A82="",Flows!$C83=""),0,IF(AND(33&lt;=Setup!$B$5,33&gt;=$C82,OR(AND($E82="once",33=$C82),AND($E82="weekly",33&lt;=$D82),AND($E82="biweekly",33&lt;=$D82,MOD(33-$C82,2)=0))),Flows!$C83,0))</f>
        <v/>
      </c>
      <c r="AM82" s="13">
        <f>IF(OR($A82="",Flows!$C83=""),0,IF(AND(34&lt;=Setup!$B$5,34&gt;=$C82,OR(AND($E82="once",34=$C82),AND($E82="weekly",34&lt;=$D82),AND($E82="biweekly",34&lt;=$D82,MOD(34-$C82,2)=0))),Flows!$C83,0))</f>
        <v/>
      </c>
      <c r="AN82" s="13">
        <f>IF(OR($A82="",Flows!$C83=""),0,IF(AND(35&lt;=Setup!$B$5,35&gt;=$C82,OR(AND($E82="once",35=$C82),AND($E82="weekly",35&lt;=$D82),AND($E82="biweekly",35&lt;=$D82,MOD(35-$C82,2)=0))),Flows!$C83,0))</f>
        <v/>
      </c>
      <c r="AO82" s="13">
        <f>IF(OR($A82="",Flows!$C83=""),0,IF(AND(36&lt;=Setup!$B$5,36&gt;=$C82,OR(AND($E82="once",36=$C82),AND($E82="weekly",36&lt;=$D82),AND($E82="biweekly",36&lt;=$D82,MOD(36-$C82,2)=0))),Flows!$C83,0))</f>
        <v/>
      </c>
      <c r="AP82" s="13">
        <f>IF(OR($A82="",Flows!$C83=""),0,IF(AND(37&lt;=Setup!$B$5,37&gt;=$C82,OR(AND($E82="once",37=$C82),AND($E82="weekly",37&lt;=$D82),AND($E82="biweekly",37&lt;=$D82,MOD(37-$C82,2)=0))),Flows!$C83,0))</f>
        <v/>
      </c>
      <c r="AQ82" s="13">
        <f>IF(OR($A82="",Flows!$C83=""),0,IF(AND(38&lt;=Setup!$B$5,38&gt;=$C82,OR(AND($E82="once",38=$C82),AND($E82="weekly",38&lt;=$D82),AND($E82="biweekly",38&lt;=$D82,MOD(38-$C82,2)=0))),Flows!$C83,0))</f>
        <v/>
      </c>
      <c r="AR82" s="13">
        <f>IF(OR($A82="",Flows!$C83=""),0,IF(AND(39&lt;=Setup!$B$5,39&gt;=$C82,OR(AND($E82="once",39=$C82),AND($E82="weekly",39&lt;=$D82),AND($E82="biweekly",39&lt;=$D82,MOD(39-$C82,2)=0))),Flows!$C83,0))</f>
        <v/>
      </c>
      <c r="AS82" s="13">
        <f>IF(OR($A82="",Flows!$C83=""),0,IF(AND(40&lt;=Setup!$B$5,40&gt;=$C82,OR(AND($E82="once",40=$C82),AND($E82="weekly",40&lt;=$D82),AND($E82="biweekly",40&lt;=$D82,MOD(40-$C82,2)=0))),Flows!$C83,0))</f>
        <v/>
      </c>
      <c r="AT82" s="13">
        <f>IF(OR($A82="",Flows!$C83=""),0,IF(AND(41&lt;=Setup!$B$5,41&gt;=$C82,OR(AND($E82="once",41=$C82),AND($E82="weekly",41&lt;=$D82),AND($E82="biweekly",41&lt;=$D82,MOD(41-$C82,2)=0))),Flows!$C83,0))</f>
        <v/>
      </c>
      <c r="AU82" s="13">
        <f>IF(OR($A82="",Flows!$C83=""),0,IF(AND(42&lt;=Setup!$B$5,42&gt;=$C82,OR(AND($E82="once",42=$C82),AND($E82="weekly",42&lt;=$D82),AND($E82="biweekly",42&lt;=$D82,MOD(42-$C82,2)=0))),Flows!$C83,0))</f>
        <v/>
      </c>
      <c r="AV82" s="13">
        <f>IF(OR($A82="",Flows!$C83=""),0,IF(AND(43&lt;=Setup!$B$5,43&gt;=$C82,OR(AND($E82="once",43=$C82),AND($E82="weekly",43&lt;=$D82),AND($E82="biweekly",43&lt;=$D82,MOD(43-$C82,2)=0))),Flows!$C83,0))</f>
        <v/>
      </c>
      <c r="AW82" s="13">
        <f>IF(OR($A82="",Flows!$C83=""),0,IF(AND(44&lt;=Setup!$B$5,44&gt;=$C82,OR(AND($E82="once",44=$C82),AND($E82="weekly",44&lt;=$D82),AND($E82="biweekly",44&lt;=$D82,MOD(44-$C82,2)=0))),Flows!$C83,0))</f>
        <v/>
      </c>
      <c r="AX82" s="13">
        <f>IF(OR($A82="",Flows!$C83=""),0,IF(AND(45&lt;=Setup!$B$5,45&gt;=$C82,OR(AND($E82="once",45=$C82),AND($E82="weekly",45&lt;=$D82),AND($E82="biweekly",45&lt;=$D82,MOD(45-$C82,2)=0))),Flows!$C83,0))</f>
        <v/>
      </c>
      <c r="AY82" s="13">
        <f>IF(OR($A82="",Flows!$C83=""),0,IF(AND(46&lt;=Setup!$B$5,46&gt;=$C82,OR(AND($E82="once",46=$C82),AND($E82="weekly",46&lt;=$D82),AND($E82="biweekly",46&lt;=$D82,MOD(46-$C82,2)=0))),Flows!$C83,0))</f>
        <v/>
      </c>
      <c r="AZ82" s="13">
        <f>IF(OR($A82="",Flows!$C83=""),0,IF(AND(47&lt;=Setup!$B$5,47&gt;=$C82,OR(AND($E82="once",47=$C82),AND($E82="weekly",47&lt;=$D82),AND($E82="biweekly",47&lt;=$D82,MOD(47-$C82,2)=0))),Flows!$C83,0))</f>
        <v/>
      </c>
      <c r="BA82" s="13">
        <f>IF(OR($A82="",Flows!$C83=""),0,IF(AND(48&lt;=Setup!$B$5,48&gt;=$C82,OR(AND($E82="once",48=$C82),AND($E82="weekly",48&lt;=$D82),AND($E82="biweekly",48&lt;=$D82,MOD(48-$C82,2)=0))),Flows!$C83,0))</f>
        <v/>
      </c>
      <c r="BB82" s="13">
        <f>IF(OR($A82="",Flows!$C83=""),0,IF(AND(49&lt;=Setup!$B$5,49&gt;=$C82,OR(AND($E82="once",49=$C82),AND($E82="weekly",49&lt;=$D82),AND($E82="biweekly",49&lt;=$D82,MOD(49-$C82,2)=0))),Flows!$C83,0))</f>
        <v/>
      </c>
      <c r="BC82" s="13">
        <f>IF(OR($A82="",Flows!$C83=""),0,IF(AND(50&lt;=Setup!$B$5,50&gt;=$C82,OR(AND($E82="once",50=$C82),AND($E82="weekly",50&lt;=$D82),AND($E82="biweekly",50&lt;=$D82,MOD(50-$C82,2)=0))),Flows!$C83,0))</f>
        <v/>
      </c>
      <c r="BD82" s="13">
        <f>IF(OR($A82="",Flows!$C83=""),0,IF(AND(51&lt;=Setup!$B$5,51&gt;=$C82,OR(AND($E82="once",51=$C82),AND($E82="weekly",51&lt;=$D82),AND($E82="biweekly",51&lt;=$D82,MOD(51-$C82,2)=0))),Flows!$C83,0))</f>
        <v/>
      </c>
      <c r="BE82" s="13">
        <f>IF(OR($A82="",Flows!$C83=""),0,IF(AND(52&lt;=Setup!$B$5,52&gt;=$C82,OR(AND($E82="once",52=$C82),AND($E82="weekly",52&lt;=$D82),AND($E82="biweekly",52&lt;=$D82,MOD(52-$C82,2)=0))),Flows!$C83,0))</f>
        <v/>
      </c>
    </row>
    <row r="83">
      <c r="A83" s="7">
        <f>IF(Flows!A84="","",LOWER(Flows!A84))</f>
        <v/>
      </c>
      <c r="B83" s="7">
        <f>IF(Flows!B84="","",Flows!B84)</f>
        <v/>
      </c>
      <c r="C83" s="7">
        <f>N(Flows!D84)</f>
        <v/>
      </c>
      <c r="D83" s="7">
        <f>IF(Flows!F84="",Setup!$B$5,Flows!F84)</f>
        <v/>
      </c>
      <c r="E83" s="7">
        <f>IF(Flows!E84="","once",LOWER(Flows!E84))</f>
        <v/>
      </c>
      <c r="F83" s="13">
        <f>IF(OR($A83="",Flows!$C84=""),0,IF(AND(1&lt;=Setup!$B$5,1&gt;=$C83,OR(AND($E83="once",1=$C83),AND($E83="weekly",1&lt;=$D83),AND($E83="biweekly",1&lt;=$D83,MOD(1-$C83,2)=0))),Flows!$C84,0))</f>
        <v/>
      </c>
      <c r="G83" s="13">
        <f>IF(OR($A83="",Flows!$C84=""),0,IF(AND(2&lt;=Setup!$B$5,2&gt;=$C83,OR(AND($E83="once",2=$C83),AND($E83="weekly",2&lt;=$D83),AND($E83="biweekly",2&lt;=$D83,MOD(2-$C83,2)=0))),Flows!$C84,0))</f>
        <v/>
      </c>
      <c r="H83" s="13">
        <f>IF(OR($A83="",Flows!$C84=""),0,IF(AND(3&lt;=Setup!$B$5,3&gt;=$C83,OR(AND($E83="once",3=$C83),AND($E83="weekly",3&lt;=$D83),AND($E83="biweekly",3&lt;=$D83,MOD(3-$C83,2)=0))),Flows!$C84,0))</f>
        <v/>
      </c>
      <c r="I83" s="13">
        <f>IF(OR($A83="",Flows!$C84=""),0,IF(AND(4&lt;=Setup!$B$5,4&gt;=$C83,OR(AND($E83="once",4=$C83),AND($E83="weekly",4&lt;=$D83),AND($E83="biweekly",4&lt;=$D83,MOD(4-$C83,2)=0))),Flows!$C84,0))</f>
        <v/>
      </c>
      <c r="J83" s="13">
        <f>IF(OR($A83="",Flows!$C84=""),0,IF(AND(5&lt;=Setup!$B$5,5&gt;=$C83,OR(AND($E83="once",5=$C83),AND($E83="weekly",5&lt;=$D83),AND($E83="biweekly",5&lt;=$D83,MOD(5-$C83,2)=0))),Flows!$C84,0))</f>
        <v/>
      </c>
      <c r="K83" s="13">
        <f>IF(OR($A83="",Flows!$C84=""),0,IF(AND(6&lt;=Setup!$B$5,6&gt;=$C83,OR(AND($E83="once",6=$C83),AND($E83="weekly",6&lt;=$D83),AND($E83="biweekly",6&lt;=$D83,MOD(6-$C83,2)=0))),Flows!$C84,0))</f>
        <v/>
      </c>
      <c r="L83" s="13">
        <f>IF(OR($A83="",Flows!$C84=""),0,IF(AND(7&lt;=Setup!$B$5,7&gt;=$C83,OR(AND($E83="once",7=$C83),AND($E83="weekly",7&lt;=$D83),AND($E83="biweekly",7&lt;=$D83,MOD(7-$C83,2)=0))),Flows!$C84,0))</f>
        <v/>
      </c>
      <c r="M83" s="13">
        <f>IF(OR($A83="",Flows!$C84=""),0,IF(AND(8&lt;=Setup!$B$5,8&gt;=$C83,OR(AND($E83="once",8=$C83),AND($E83="weekly",8&lt;=$D83),AND($E83="biweekly",8&lt;=$D83,MOD(8-$C83,2)=0))),Flows!$C84,0))</f>
        <v/>
      </c>
      <c r="N83" s="13">
        <f>IF(OR($A83="",Flows!$C84=""),0,IF(AND(9&lt;=Setup!$B$5,9&gt;=$C83,OR(AND($E83="once",9=$C83),AND($E83="weekly",9&lt;=$D83),AND($E83="biweekly",9&lt;=$D83,MOD(9-$C83,2)=0))),Flows!$C84,0))</f>
        <v/>
      </c>
      <c r="O83" s="13">
        <f>IF(OR($A83="",Flows!$C84=""),0,IF(AND(10&lt;=Setup!$B$5,10&gt;=$C83,OR(AND($E83="once",10=$C83),AND($E83="weekly",10&lt;=$D83),AND($E83="biweekly",10&lt;=$D83,MOD(10-$C83,2)=0))),Flows!$C84,0))</f>
        <v/>
      </c>
      <c r="P83" s="13">
        <f>IF(OR($A83="",Flows!$C84=""),0,IF(AND(11&lt;=Setup!$B$5,11&gt;=$C83,OR(AND($E83="once",11=$C83),AND($E83="weekly",11&lt;=$D83),AND($E83="biweekly",11&lt;=$D83,MOD(11-$C83,2)=0))),Flows!$C84,0))</f>
        <v/>
      </c>
      <c r="Q83" s="13">
        <f>IF(OR($A83="",Flows!$C84=""),0,IF(AND(12&lt;=Setup!$B$5,12&gt;=$C83,OR(AND($E83="once",12=$C83),AND($E83="weekly",12&lt;=$D83),AND($E83="biweekly",12&lt;=$D83,MOD(12-$C83,2)=0))),Flows!$C84,0))</f>
        <v/>
      </c>
      <c r="R83" s="13">
        <f>IF(OR($A83="",Flows!$C84=""),0,IF(AND(13&lt;=Setup!$B$5,13&gt;=$C83,OR(AND($E83="once",13=$C83),AND($E83="weekly",13&lt;=$D83),AND($E83="biweekly",13&lt;=$D83,MOD(13-$C83,2)=0))),Flows!$C84,0))</f>
        <v/>
      </c>
      <c r="S83" s="13">
        <f>IF(OR($A83="",Flows!$C84=""),0,IF(AND(14&lt;=Setup!$B$5,14&gt;=$C83,OR(AND($E83="once",14=$C83),AND($E83="weekly",14&lt;=$D83),AND($E83="biweekly",14&lt;=$D83,MOD(14-$C83,2)=0))),Flows!$C84,0))</f>
        <v/>
      </c>
      <c r="T83" s="13">
        <f>IF(OR($A83="",Flows!$C84=""),0,IF(AND(15&lt;=Setup!$B$5,15&gt;=$C83,OR(AND($E83="once",15=$C83),AND($E83="weekly",15&lt;=$D83),AND($E83="biweekly",15&lt;=$D83,MOD(15-$C83,2)=0))),Flows!$C84,0))</f>
        <v/>
      </c>
      <c r="U83" s="13">
        <f>IF(OR($A83="",Flows!$C84=""),0,IF(AND(16&lt;=Setup!$B$5,16&gt;=$C83,OR(AND($E83="once",16=$C83),AND($E83="weekly",16&lt;=$D83),AND($E83="biweekly",16&lt;=$D83,MOD(16-$C83,2)=0))),Flows!$C84,0))</f>
        <v/>
      </c>
      <c r="V83" s="13">
        <f>IF(OR($A83="",Flows!$C84=""),0,IF(AND(17&lt;=Setup!$B$5,17&gt;=$C83,OR(AND($E83="once",17=$C83),AND($E83="weekly",17&lt;=$D83),AND($E83="biweekly",17&lt;=$D83,MOD(17-$C83,2)=0))),Flows!$C84,0))</f>
        <v/>
      </c>
      <c r="W83" s="13">
        <f>IF(OR($A83="",Flows!$C84=""),0,IF(AND(18&lt;=Setup!$B$5,18&gt;=$C83,OR(AND($E83="once",18=$C83),AND($E83="weekly",18&lt;=$D83),AND($E83="biweekly",18&lt;=$D83,MOD(18-$C83,2)=0))),Flows!$C84,0))</f>
        <v/>
      </c>
      <c r="X83" s="13">
        <f>IF(OR($A83="",Flows!$C84=""),0,IF(AND(19&lt;=Setup!$B$5,19&gt;=$C83,OR(AND($E83="once",19=$C83),AND($E83="weekly",19&lt;=$D83),AND($E83="biweekly",19&lt;=$D83,MOD(19-$C83,2)=0))),Flows!$C84,0))</f>
        <v/>
      </c>
      <c r="Y83" s="13">
        <f>IF(OR($A83="",Flows!$C84=""),0,IF(AND(20&lt;=Setup!$B$5,20&gt;=$C83,OR(AND($E83="once",20=$C83),AND($E83="weekly",20&lt;=$D83),AND($E83="biweekly",20&lt;=$D83,MOD(20-$C83,2)=0))),Flows!$C84,0))</f>
        <v/>
      </c>
      <c r="Z83" s="13">
        <f>IF(OR($A83="",Flows!$C84=""),0,IF(AND(21&lt;=Setup!$B$5,21&gt;=$C83,OR(AND($E83="once",21=$C83),AND($E83="weekly",21&lt;=$D83),AND($E83="biweekly",21&lt;=$D83,MOD(21-$C83,2)=0))),Flows!$C84,0))</f>
        <v/>
      </c>
      <c r="AA83" s="13">
        <f>IF(OR($A83="",Flows!$C84=""),0,IF(AND(22&lt;=Setup!$B$5,22&gt;=$C83,OR(AND($E83="once",22=$C83),AND($E83="weekly",22&lt;=$D83),AND($E83="biweekly",22&lt;=$D83,MOD(22-$C83,2)=0))),Flows!$C84,0))</f>
        <v/>
      </c>
      <c r="AB83" s="13">
        <f>IF(OR($A83="",Flows!$C84=""),0,IF(AND(23&lt;=Setup!$B$5,23&gt;=$C83,OR(AND($E83="once",23=$C83),AND($E83="weekly",23&lt;=$D83),AND($E83="biweekly",23&lt;=$D83,MOD(23-$C83,2)=0))),Flows!$C84,0))</f>
        <v/>
      </c>
      <c r="AC83" s="13">
        <f>IF(OR($A83="",Flows!$C84=""),0,IF(AND(24&lt;=Setup!$B$5,24&gt;=$C83,OR(AND($E83="once",24=$C83),AND($E83="weekly",24&lt;=$D83),AND($E83="biweekly",24&lt;=$D83,MOD(24-$C83,2)=0))),Flows!$C84,0))</f>
        <v/>
      </c>
      <c r="AD83" s="13">
        <f>IF(OR($A83="",Flows!$C84=""),0,IF(AND(25&lt;=Setup!$B$5,25&gt;=$C83,OR(AND($E83="once",25=$C83),AND($E83="weekly",25&lt;=$D83),AND($E83="biweekly",25&lt;=$D83,MOD(25-$C83,2)=0))),Flows!$C84,0))</f>
        <v/>
      </c>
      <c r="AE83" s="13">
        <f>IF(OR($A83="",Flows!$C84=""),0,IF(AND(26&lt;=Setup!$B$5,26&gt;=$C83,OR(AND($E83="once",26=$C83),AND($E83="weekly",26&lt;=$D83),AND($E83="biweekly",26&lt;=$D83,MOD(26-$C83,2)=0))),Flows!$C84,0))</f>
        <v/>
      </c>
      <c r="AF83" s="13">
        <f>IF(OR($A83="",Flows!$C84=""),0,IF(AND(27&lt;=Setup!$B$5,27&gt;=$C83,OR(AND($E83="once",27=$C83),AND($E83="weekly",27&lt;=$D83),AND($E83="biweekly",27&lt;=$D83,MOD(27-$C83,2)=0))),Flows!$C84,0))</f>
        <v/>
      </c>
      <c r="AG83" s="13">
        <f>IF(OR($A83="",Flows!$C84=""),0,IF(AND(28&lt;=Setup!$B$5,28&gt;=$C83,OR(AND($E83="once",28=$C83),AND($E83="weekly",28&lt;=$D83),AND($E83="biweekly",28&lt;=$D83,MOD(28-$C83,2)=0))),Flows!$C84,0))</f>
        <v/>
      </c>
      <c r="AH83" s="13">
        <f>IF(OR($A83="",Flows!$C84=""),0,IF(AND(29&lt;=Setup!$B$5,29&gt;=$C83,OR(AND($E83="once",29=$C83),AND($E83="weekly",29&lt;=$D83),AND($E83="biweekly",29&lt;=$D83,MOD(29-$C83,2)=0))),Flows!$C84,0))</f>
        <v/>
      </c>
      <c r="AI83" s="13">
        <f>IF(OR($A83="",Flows!$C84=""),0,IF(AND(30&lt;=Setup!$B$5,30&gt;=$C83,OR(AND($E83="once",30=$C83),AND($E83="weekly",30&lt;=$D83),AND($E83="biweekly",30&lt;=$D83,MOD(30-$C83,2)=0))),Flows!$C84,0))</f>
        <v/>
      </c>
      <c r="AJ83" s="13">
        <f>IF(OR($A83="",Flows!$C84=""),0,IF(AND(31&lt;=Setup!$B$5,31&gt;=$C83,OR(AND($E83="once",31=$C83),AND($E83="weekly",31&lt;=$D83),AND($E83="biweekly",31&lt;=$D83,MOD(31-$C83,2)=0))),Flows!$C84,0))</f>
        <v/>
      </c>
      <c r="AK83" s="13">
        <f>IF(OR($A83="",Flows!$C84=""),0,IF(AND(32&lt;=Setup!$B$5,32&gt;=$C83,OR(AND($E83="once",32=$C83),AND($E83="weekly",32&lt;=$D83),AND($E83="biweekly",32&lt;=$D83,MOD(32-$C83,2)=0))),Flows!$C84,0))</f>
        <v/>
      </c>
      <c r="AL83" s="13">
        <f>IF(OR($A83="",Flows!$C84=""),0,IF(AND(33&lt;=Setup!$B$5,33&gt;=$C83,OR(AND($E83="once",33=$C83),AND($E83="weekly",33&lt;=$D83),AND($E83="biweekly",33&lt;=$D83,MOD(33-$C83,2)=0))),Flows!$C84,0))</f>
        <v/>
      </c>
      <c r="AM83" s="13">
        <f>IF(OR($A83="",Flows!$C84=""),0,IF(AND(34&lt;=Setup!$B$5,34&gt;=$C83,OR(AND($E83="once",34=$C83),AND($E83="weekly",34&lt;=$D83),AND($E83="biweekly",34&lt;=$D83,MOD(34-$C83,2)=0))),Flows!$C84,0))</f>
        <v/>
      </c>
      <c r="AN83" s="13">
        <f>IF(OR($A83="",Flows!$C84=""),0,IF(AND(35&lt;=Setup!$B$5,35&gt;=$C83,OR(AND($E83="once",35=$C83),AND($E83="weekly",35&lt;=$D83),AND($E83="biweekly",35&lt;=$D83,MOD(35-$C83,2)=0))),Flows!$C84,0))</f>
        <v/>
      </c>
      <c r="AO83" s="13">
        <f>IF(OR($A83="",Flows!$C84=""),0,IF(AND(36&lt;=Setup!$B$5,36&gt;=$C83,OR(AND($E83="once",36=$C83),AND($E83="weekly",36&lt;=$D83),AND($E83="biweekly",36&lt;=$D83,MOD(36-$C83,2)=0))),Flows!$C84,0))</f>
        <v/>
      </c>
      <c r="AP83" s="13">
        <f>IF(OR($A83="",Flows!$C84=""),0,IF(AND(37&lt;=Setup!$B$5,37&gt;=$C83,OR(AND($E83="once",37=$C83),AND($E83="weekly",37&lt;=$D83),AND($E83="biweekly",37&lt;=$D83,MOD(37-$C83,2)=0))),Flows!$C84,0))</f>
        <v/>
      </c>
      <c r="AQ83" s="13">
        <f>IF(OR($A83="",Flows!$C84=""),0,IF(AND(38&lt;=Setup!$B$5,38&gt;=$C83,OR(AND($E83="once",38=$C83),AND($E83="weekly",38&lt;=$D83),AND($E83="biweekly",38&lt;=$D83,MOD(38-$C83,2)=0))),Flows!$C84,0))</f>
        <v/>
      </c>
      <c r="AR83" s="13">
        <f>IF(OR($A83="",Flows!$C84=""),0,IF(AND(39&lt;=Setup!$B$5,39&gt;=$C83,OR(AND($E83="once",39=$C83),AND($E83="weekly",39&lt;=$D83),AND($E83="biweekly",39&lt;=$D83,MOD(39-$C83,2)=0))),Flows!$C84,0))</f>
        <v/>
      </c>
      <c r="AS83" s="13">
        <f>IF(OR($A83="",Flows!$C84=""),0,IF(AND(40&lt;=Setup!$B$5,40&gt;=$C83,OR(AND($E83="once",40=$C83),AND($E83="weekly",40&lt;=$D83),AND($E83="biweekly",40&lt;=$D83,MOD(40-$C83,2)=0))),Flows!$C84,0))</f>
        <v/>
      </c>
      <c r="AT83" s="13">
        <f>IF(OR($A83="",Flows!$C84=""),0,IF(AND(41&lt;=Setup!$B$5,41&gt;=$C83,OR(AND($E83="once",41=$C83),AND($E83="weekly",41&lt;=$D83),AND($E83="biweekly",41&lt;=$D83,MOD(41-$C83,2)=0))),Flows!$C84,0))</f>
        <v/>
      </c>
      <c r="AU83" s="13">
        <f>IF(OR($A83="",Flows!$C84=""),0,IF(AND(42&lt;=Setup!$B$5,42&gt;=$C83,OR(AND($E83="once",42=$C83),AND($E83="weekly",42&lt;=$D83),AND($E83="biweekly",42&lt;=$D83,MOD(42-$C83,2)=0))),Flows!$C84,0))</f>
        <v/>
      </c>
      <c r="AV83" s="13">
        <f>IF(OR($A83="",Flows!$C84=""),0,IF(AND(43&lt;=Setup!$B$5,43&gt;=$C83,OR(AND($E83="once",43=$C83),AND($E83="weekly",43&lt;=$D83),AND($E83="biweekly",43&lt;=$D83,MOD(43-$C83,2)=0))),Flows!$C84,0))</f>
        <v/>
      </c>
      <c r="AW83" s="13">
        <f>IF(OR($A83="",Flows!$C84=""),0,IF(AND(44&lt;=Setup!$B$5,44&gt;=$C83,OR(AND($E83="once",44=$C83),AND($E83="weekly",44&lt;=$D83),AND($E83="biweekly",44&lt;=$D83,MOD(44-$C83,2)=0))),Flows!$C84,0))</f>
        <v/>
      </c>
      <c r="AX83" s="13">
        <f>IF(OR($A83="",Flows!$C84=""),0,IF(AND(45&lt;=Setup!$B$5,45&gt;=$C83,OR(AND($E83="once",45=$C83),AND($E83="weekly",45&lt;=$D83),AND($E83="biweekly",45&lt;=$D83,MOD(45-$C83,2)=0))),Flows!$C84,0))</f>
        <v/>
      </c>
      <c r="AY83" s="13">
        <f>IF(OR($A83="",Flows!$C84=""),0,IF(AND(46&lt;=Setup!$B$5,46&gt;=$C83,OR(AND($E83="once",46=$C83),AND($E83="weekly",46&lt;=$D83),AND($E83="biweekly",46&lt;=$D83,MOD(46-$C83,2)=0))),Flows!$C84,0))</f>
        <v/>
      </c>
      <c r="AZ83" s="13">
        <f>IF(OR($A83="",Flows!$C84=""),0,IF(AND(47&lt;=Setup!$B$5,47&gt;=$C83,OR(AND($E83="once",47=$C83),AND($E83="weekly",47&lt;=$D83),AND($E83="biweekly",47&lt;=$D83,MOD(47-$C83,2)=0))),Flows!$C84,0))</f>
        <v/>
      </c>
      <c r="BA83" s="13">
        <f>IF(OR($A83="",Flows!$C84=""),0,IF(AND(48&lt;=Setup!$B$5,48&gt;=$C83,OR(AND($E83="once",48=$C83),AND($E83="weekly",48&lt;=$D83),AND($E83="biweekly",48&lt;=$D83,MOD(48-$C83,2)=0))),Flows!$C84,0))</f>
        <v/>
      </c>
      <c r="BB83" s="13">
        <f>IF(OR($A83="",Flows!$C84=""),0,IF(AND(49&lt;=Setup!$B$5,49&gt;=$C83,OR(AND($E83="once",49=$C83),AND($E83="weekly",49&lt;=$D83),AND($E83="biweekly",49&lt;=$D83,MOD(49-$C83,2)=0))),Flows!$C84,0))</f>
        <v/>
      </c>
      <c r="BC83" s="13">
        <f>IF(OR($A83="",Flows!$C84=""),0,IF(AND(50&lt;=Setup!$B$5,50&gt;=$C83,OR(AND($E83="once",50=$C83),AND($E83="weekly",50&lt;=$D83),AND($E83="biweekly",50&lt;=$D83,MOD(50-$C83,2)=0))),Flows!$C84,0))</f>
        <v/>
      </c>
      <c r="BD83" s="13">
        <f>IF(OR($A83="",Flows!$C84=""),0,IF(AND(51&lt;=Setup!$B$5,51&gt;=$C83,OR(AND($E83="once",51=$C83),AND($E83="weekly",51&lt;=$D83),AND($E83="biweekly",51&lt;=$D83,MOD(51-$C83,2)=0))),Flows!$C84,0))</f>
        <v/>
      </c>
      <c r="BE83" s="13">
        <f>IF(OR($A83="",Flows!$C84=""),0,IF(AND(52&lt;=Setup!$B$5,52&gt;=$C83,OR(AND($E83="once",52=$C83),AND($E83="weekly",52&lt;=$D83),AND($E83="biweekly",52&lt;=$D83,MOD(52-$C83,2)=0))),Flows!$C84,0))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Weekly forecast (cash13_forecast)</t>
        </is>
      </c>
    </row>
    <row r="2"/>
    <row r="3"/>
    <row r="4">
      <c r="A4" s="6" t="inlineStr">
        <is>
          <t>week</t>
        </is>
      </c>
      <c r="B4" s="6" t="inlineStr">
        <is>
          <t>week starting</t>
        </is>
      </c>
      <c r="C4" s="6" t="inlineStr">
        <is>
          <t>receipts</t>
        </is>
      </c>
      <c r="D4" s="6" t="inlineStr">
        <is>
          <t>disbursements</t>
        </is>
      </c>
      <c r="E4" s="6" t="inlineStr">
        <is>
          <t>net_cash</t>
        </is>
      </c>
      <c r="F4" s="6" t="inlineStr">
        <is>
          <t>ending_cash</t>
        </is>
      </c>
      <c r="G4" s="6" t="inlineStr">
        <is>
          <t>active</t>
        </is>
      </c>
      <c r="H4" s="6" t="inlineStr">
        <is>
          <t>trough helper</t>
        </is>
      </c>
      <c r="I4" s="6" t="inlineStr">
        <is>
          <t>negative helper</t>
        </is>
      </c>
    </row>
    <row r="5">
      <c r="A5" s="7" t="n">
        <v>1</v>
      </c>
      <c r="B5" s="14">
        <f>IF(G5=1,Setup!$B$6+7*(1-1),"")</f>
        <v/>
      </c>
      <c r="C5" s="15">
        <f>IF(G5=1,SUMIF(Grid!$A$4:$A$83,"receipt",Grid!F$4:F$83),0)</f>
        <v/>
      </c>
      <c r="D5" s="15">
        <f>IF(G5=1,SUMIF(Grid!$A$4:$A$83,"disbursement",Grid!F$4:F$83),0)</f>
        <v/>
      </c>
      <c r="E5" s="15">
        <f>C5-D5</f>
        <v/>
      </c>
      <c r="F5" s="15">
        <f>Setup!$B$4+E5</f>
        <v/>
      </c>
      <c r="G5" s="7">
        <f>IF(1&lt;=Setup!$B$5,1,0)</f>
        <v/>
      </c>
      <c r="H5" s="7">
        <f>IF(G5=1,F5,9.99E+307)</f>
        <v/>
      </c>
      <c r="I5" s="7">
        <f>IF(AND(G5=1,F5&lt;0),A5,9999)</f>
        <v/>
      </c>
    </row>
    <row r="6">
      <c r="A6" s="7" t="n">
        <v>2</v>
      </c>
      <c r="B6" s="14">
        <f>IF(G6=1,Setup!$B$6+7*(2-1),"")</f>
        <v/>
      </c>
      <c r="C6" s="15">
        <f>IF(G6=1,SUMIF(Grid!$A$4:$A$83,"receipt",Grid!G$4:G$83),0)</f>
        <v/>
      </c>
      <c r="D6" s="15">
        <f>IF(G6=1,SUMIF(Grid!$A$4:$A$83,"disbursement",Grid!G$4:G$83),0)</f>
        <v/>
      </c>
      <c r="E6" s="15">
        <f>C6-D6</f>
        <v/>
      </c>
      <c r="F6" s="15">
        <f>F5+E6</f>
        <v/>
      </c>
      <c r="G6" s="7">
        <f>IF(2&lt;=Setup!$B$5,1,0)</f>
        <v/>
      </c>
      <c r="H6" s="7">
        <f>IF(G6=1,F6,9.99E+307)</f>
        <v/>
      </c>
      <c r="I6" s="7">
        <f>IF(AND(G6=1,F6&lt;0),A6,9999)</f>
        <v/>
      </c>
    </row>
    <row r="7">
      <c r="A7" s="7" t="n">
        <v>3</v>
      </c>
      <c r="B7" s="14">
        <f>IF(G7=1,Setup!$B$6+7*(3-1),"")</f>
        <v/>
      </c>
      <c r="C7" s="15">
        <f>IF(G7=1,SUMIF(Grid!$A$4:$A$83,"receipt",Grid!H$4:H$83),0)</f>
        <v/>
      </c>
      <c r="D7" s="15">
        <f>IF(G7=1,SUMIF(Grid!$A$4:$A$83,"disbursement",Grid!H$4:H$83),0)</f>
        <v/>
      </c>
      <c r="E7" s="15">
        <f>C7-D7</f>
        <v/>
      </c>
      <c r="F7" s="15">
        <f>F6+E7</f>
        <v/>
      </c>
      <c r="G7" s="7">
        <f>IF(3&lt;=Setup!$B$5,1,0)</f>
        <v/>
      </c>
      <c r="H7" s="7">
        <f>IF(G7=1,F7,9.99E+307)</f>
        <v/>
      </c>
      <c r="I7" s="7">
        <f>IF(AND(G7=1,F7&lt;0),A7,9999)</f>
        <v/>
      </c>
    </row>
    <row r="8">
      <c r="A8" s="7" t="n">
        <v>4</v>
      </c>
      <c r="B8" s="14">
        <f>IF(G8=1,Setup!$B$6+7*(4-1),"")</f>
        <v/>
      </c>
      <c r="C8" s="15">
        <f>IF(G8=1,SUMIF(Grid!$A$4:$A$83,"receipt",Grid!I$4:I$83),0)</f>
        <v/>
      </c>
      <c r="D8" s="15">
        <f>IF(G8=1,SUMIF(Grid!$A$4:$A$83,"disbursement",Grid!I$4:I$83),0)</f>
        <v/>
      </c>
      <c r="E8" s="15">
        <f>C8-D8</f>
        <v/>
      </c>
      <c r="F8" s="15">
        <f>F7+E8</f>
        <v/>
      </c>
      <c r="G8" s="7">
        <f>IF(4&lt;=Setup!$B$5,1,0)</f>
        <v/>
      </c>
      <c r="H8" s="7">
        <f>IF(G8=1,F8,9.99E+307)</f>
        <v/>
      </c>
      <c r="I8" s="7">
        <f>IF(AND(G8=1,F8&lt;0),A8,9999)</f>
        <v/>
      </c>
    </row>
    <row r="9">
      <c r="A9" s="7" t="n">
        <v>5</v>
      </c>
      <c r="B9" s="14">
        <f>IF(G9=1,Setup!$B$6+7*(5-1),"")</f>
        <v/>
      </c>
      <c r="C9" s="15">
        <f>IF(G9=1,SUMIF(Grid!$A$4:$A$83,"receipt",Grid!J$4:J$83),0)</f>
        <v/>
      </c>
      <c r="D9" s="15">
        <f>IF(G9=1,SUMIF(Grid!$A$4:$A$83,"disbursement",Grid!J$4:J$83),0)</f>
        <v/>
      </c>
      <c r="E9" s="15">
        <f>C9-D9</f>
        <v/>
      </c>
      <c r="F9" s="15">
        <f>F8+E9</f>
        <v/>
      </c>
      <c r="G9" s="7">
        <f>IF(5&lt;=Setup!$B$5,1,0)</f>
        <v/>
      </c>
      <c r="H9" s="7">
        <f>IF(G9=1,F9,9.99E+307)</f>
        <v/>
      </c>
      <c r="I9" s="7">
        <f>IF(AND(G9=1,F9&lt;0),A9,9999)</f>
        <v/>
      </c>
    </row>
    <row r="10">
      <c r="A10" s="7" t="n">
        <v>6</v>
      </c>
      <c r="B10" s="14">
        <f>IF(G10=1,Setup!$B$6+7*(6-1),"")</f>
        <v/>
      </c>
      <c r="C10" s="15">
        <f>IF(G10=1,SUMIF(Grid!$A$4:$A$83,"receipt",Grid!K$4:K$83),0)</f>
        <v/>
      </c>
      <c r="D10" s="15">
        <f>IF(G10=1,SUMIF(Grid!$A$4:$A$83,"disbursement",Grid!K$4:K$83),0)</f>
        <v/>
      </c>
      <c r="E10" s="15">
        <f>C10-D10</f>
        <v/>
      </c>
      <c r="F10" s="15">
        <f>F9+E10</f>
        <v/>
      </c>
      <c r="G10" s="7">
        <f>IF(6&lt;=Setup!$B$5,1,0)</f>
        <v/>
      </c>
      <c r="H10" s="7">
        <f>IF(G10=1,F10,9.99E+307)</f>
        <v/>
      </c>
      <c r="I10" s="7">
        <f>IF(AND(G10=1,F10&lt;0),A10,9999)</f>
        <v/>
      </c>
    </row>
    <row r="11">
      <c r="A11" s="7" t="n">
        <v>7</v>
      </c>
      <c r="B11" s="14">
        <f>IF(G11=1,Setup!$B$6+7*(7-1),"")</f>
        <v/>
      </c>
      <c r="C11" s="15">
        <f>IF(G11=1,SUMIF(Grid!$A$4:$A$83,"receipt",Grid!L$4:L$83),0)</f>
        <v/>
      </c>
      <c r="D11" s="15">
        <f>IF(G11=1,SUMIF(Grid!$A$4:$A$83,"disbursement",Grid!L$4:L$83),0)</f>
        <v/>
      </c>
      <c r="E11" s="15">
        <f>C11-D11</f>
        <v/>
      </c>
      <c r="F11" s="15">
        <f>F10+E11</f>
        <v/>
      </c>
      <c r="G11" s="7">
        <f>IF(7&lt;=Setup!$B$5,1,0)</f>
        <v/>
      </c>
      <c r="H11" s="7">
        <f>IF(G11=1,F11,9.99E+307)</f>
        <v/>
      </c>
      <c r="I11" s="7">
        <f>IF(AND(G11=1,F11&lt;0),A11,9999)</f>
        <v/>
      </c>
    </row>
    <row r="12">
      <c r="A12" s="7" t="n">
        <v>8</v>
      </c>
      <c r="B12" s="14">
        <f>IF(G12=1,Setup!$B$6+7*(8-1),"")</f>
        <v/>
      </c>
      <c r="C12" s="15">
        <f>IF(G12=1,SUMIF(Grid!$A$4:$A$83,"receipt",Grid!M$4:M$83),0)</f>
        <v/>
      </c>
      <c r="D12" s="15">
        <f>IF(G12=1,SUMIF(Grid!$A$4:$A$83,"disbursement",Grid!M$4:M$83),0)</f>
        <v/>
      </c>
      <c r="E12" s="15">
        <f>C12-D12</f>
        <v/>
      </c>
      <c r="F12" s="15">
        <f>F11+E12</f>
        <v/>
      </c>
      <c r="G12" s="7">
        <f>IF(8&lt;=Setup!$B$5,1,0)</f>
        <v/>
      </c>
      <c r="H12" s="7">
        <f>IF(G12=1,F12,9.99E+307)</f>
        <v/>
      </c>
      <c r="I12" s="7">
        <f>IF(AND(G12=1,F12&lt;0),A12,9999)</f>
        <v/>
      </c>
    </row>
    <row r="13">
      <c r="A13" s="7" t="n">
        <v>9</v>
      </c>
      <c r="B13" s="14">
        <f>IF(G13=1,Setup!$B$6+7*(9-1),"")</f>
        <v/>
      </c>
      <c r="C13" s="15">
        <f>IF(G13=1,SUMIF(Grid!$A$4:$A$83,"receipt",Grid!N$4:N$83),0)</f>
        <v/>
      </c>
      <c r="D13" s="15">
        <f>IF(G13=1,SUMIF(Grid!$A$4:$A$83,"disbursement",Grid!N$4:N$83),0)</f>
        <v/>
      </c>
      <c r="E13" s="15">
        <f>C13-D13</f>
        <v/>
      </c>
      <c r="F13" s="15">
        <f>F12+E13</f>
        <v/>
      </c>
      <c r="G13" s="7">
        <f>IF(9&lt;=Setup!$B$5,1,0)</f>
        <v/>
      </c>
      <c r="H13" s="7">
        <f>IF(G13=1,F13,9.99E+307)</f>
        <v/>
      </c>
      <c r="I13" s="7">
        <f>IF(AND(G13=1,F13&lt;0),A13,9999)</f>
        <v/>
      </c>
    </row>
    <row r="14">
      <c r="A14" s="7" t="n">
        <v>10</v>
      </c>
      <c r="B14" s="14">
        <f>IF(G14=1,Setup!$B$6+7*(10-1),"")</f>
        <v/>
      </c>
      <c r="C14" s="15">
        <f>IF(G14=1,SUMIF(Grid!$A$4:$A$83,"receipt",Grid!O$4:O$83),0)</f>
        <v/>
      </c>
      <c r="D14" s="15">
        <f>IF(G14=1,SUMIF(Grid!$A$4:$A$83,"disbursement",Grid!O$4:O$83),0)</f>
        <v/>
      </c>
      <c r="E14" s="15">
        <f>C14-D14</f>
        <v/>
      </c>
      <c r="F14" s="15">
        <f>F13+E14</f>
        <v/>
      </c>
      <c r="G14" s="7">
        <f>IF(10&lt;=Setup!$B$5,1,0)</f>
        <v/>
      </c>
      <c r="H14" s="7">
        <f>IF(G14=1,F14,9.99E+307)</f>
        <v/>
      </c>
      <c r="I14" s="7">
        <f>IF(AND(G14=1,F14&lt;0),A14,9999)</f>
        <v/>
      </c>
    </row>
    <row r="15">
      <c r="A15" s="7" t="n">
        <v>11</v>
      </c>
      <c r="B15" s="14">
        <f>IF(G15=1,Setup!$B$6+7*(11-1),"")</f>
        <v/>
      </c>
      <c r="C15" s="15">
        <f>IF(G15=1,SUMIF(Grid!$A$4:$A$83,"receipt",Grid!P$4:P$83),0)</f>
        <v/>
      </c>
      <c r="D15" s="15">
        <f>IF(G15=1,SUMIF(Grid!$A$4:$A$83,"disbursement",Grid!P$4:P$83),0)</f>
        <v/>
      </c>
      <c r="E15" s="15">
        <f>C15-D15</f>
        <v/>
      </c>
      <c r="F15" s="15">
        <f>F14+E15</f>
        <v/>
      </c>
      <c r="G15" s="7">
        <f>IF(11&lt;=Setup!$B$5,1,0)</f>
        <v/>
      </c>
      <c r="H15" s="7">
        <f>IF(G15=1,F15,9.99E+307)</f>
        <v/>
      </c>
      <c r="I15" s="7">
        <f>IF(AND(G15=1,F15&lt;0),A15,9999)</f>
        <v/>
      </c>
    </row>
    <row r="16">
      <c r="A16" s="7" t="n">
        <v>12</v>
      </c>
      <c r="B16" s="14">
        <f>IF(G16=1,Setup!$B$6+7*(12-1),"")</f>
        <v/>
      </c>
      <c r="C16" s="15">
        <f>IF(G16=1,SUMIF(Grid!$A$4:$A$83,"receipt",Grid!Q$4:Q$83),0)</f>
        <v/>
      </c>
      <c r="D16" s="15">
        <f>IF(G16=1,SUMIF(Grid!$A$4:$A$83,"disbursement",Grid!Q$4:Q$83),0)</f>
        <v/>
      </c>
      <c r="E16" s="15">
        <f>C16-D16</f>
        <v/>
      </c>
      <c r="F16" s="15">
        <f>F15+E16</f>
        <v/>
      </c>
      <c r="G16" s="7">
        <f>IF(12&lt;=Setup!$B$5,1,0)</f>
        <v/>
      </c>
      <c r="H16" s="7">
        <f>IF(G16=1,F16,9.99E+307)</f>
        <v/>
      </c>
      <c r="I16" s="7">
        <f>IF(AND(G16=1,F16&lt;0),A16,9999)</f>
        <v/>
      </c>
    </row>
    <row r="17">
      <c r="A17" s="7" t="n">
        <v>13</v>
      </c>
      <c r="B17" s="14">
        <f>IF(G17=1,Setup!$B$6+7*(13-1),"")</f>
        <v/>
      </c>
      <c r="C17" s="15">
        <f>IF(G17=1,SUMIF(Grid!$A$4:$A$83,"receipt",Grid!R$4:R$83),0)</f>
        <v/>
      </c>
      <c r="D17" s="15">
        <f>IF(G17=1,SUMIF(Grid!$A$4:$A$83,"disbursement",Grid!R$4:R$83),0)</f>
        <v/>
      </c>
      <c r="E17" s="15">
        <f>C17-D17</f>
        <v/>
      </c>
      <c r="F17" s="15">
        <f>F16+E17</f>
        <v/>
      </c>
      <c r="G17" s="7">
        <f>IF(13&lt;=Setup!$B$5,1,0)</f>
        <v/>
      </c>
      <c r="H17" s="7">
        <f>IF(G17=1,F17,9.99E+307)</f>
        <v/>
      </c>
      <c r="I17" s="7">
        <f>IF(AND(G17=1,F17&lt;0),A17,9999)</f>
        <v/>
      </c>
    </row>
    <row r="18">
      <c r="A18" s="7" t="n">
        <v>14</v>
      </c>
      <c r="B18" s="14">
        <f>IF(G18=1,Setup!$B$6+7*(14-1),"")</f>
        <v/>
      </c>
      <c r="C18" s="15">
        <f>IF(G18=1,SUMIF(Grid!$A$4:$A$83,"receipt",Grid!S$4:S$83),0)</f>
        <v/>
      </c>
      <c r="D18" s="15">
        <f>IF(G18=1,SUMIF(Grid!$A$4:$A$83,"disbursement",Grid!S$4:S$83),0)</f>
        <v/>
      </c>
      <c r="E18" s="15">
        <f>C18-D18</f>
        <v/>
      </c>
      <c r="F18" s="15">
        <f>F17+E18</f>
        <v/>
      </c>
      <c r="G18" s="7">
        <f>IF(14&lt;=Setup!$B$5,1,0)</f>
        <v/>
      </c>
      <c r="H18" s="7">
        <f>IF(G18=1,F18,9.99E+307)</f>
        <v/>
      </c>
      <c r="I18" s="7">
        <f>IF(AND(G18=1,F18&lt;0),A18,9999)</f>
        <v/>
      </c>
    </row>
    <row r="19">
      <c r="A19" s="7" t="n">
        <v>15</v>
      </c>
      <c r="B19" s="14">
        <f>IF(G19=1,Setup!$B$6+7*(15-1),"")</f>
        <v/>
      </c>
      <c r="C19" s="15">
        <f>IF(G19=1,SUMIF(Grid!$A$4:$A$83,"receipt",Grid!T$4:T$83),0)</f>
        <v/>
      </c>
      <c r="D19" s="15">
        <f>IF(G19=1,SUMIF(Grid!$A$4:$A$83,"disbursement",Grid!T$4:T$83),0)</f>
        <v/>
      </c>
      <c r="E19" s="15">
        <f>C19-D19</f>
        <v/>
      </c>
      <c r="F19" s="15">
        <f>F18+E19</f>
        <v/>
      </c>
      <c r="G19" s="7">
        <f>IF(15&lt;=Setup!$B$5,1,0)</f>
        <v/>
      </c>
      <c r="H19" s="7">
        <f>IF(G19=1,F19,9.99E+307)</f>
        <v/>
      </c>
      <c r="I19" s="7">
        <f>IF(AND(G19=1,F19&lt;0),A19,9999)</f>
        <v/>
      </c>
    </row>
    <row r="20">
      <c r="A20" s="7" t="n">
        <v>16</v>
      </c>
      <c r="B20" s="14">
        <f>IF(G20=1,Setup!$B$6+7*(16-1),"")</f>
        <v/>
      </c>
      <c r="C20" s="15">
        <f>IF(G20=1,SUMIF(Grid!$A$4:$A$83,"receipt",Grid!U$4:U$83),0)</f>
        <v/>
      </c>
      <c r="D20" s="15">
        <f>IF(G20=1,SUMIF(Grid!$A$4:$A$83,"disbursement",Grid!U$4:U$83),0)</f>
        <v/>
      </c>
      <c r="E20" s="15">
        <f>C20-D20</f>
        <v/>
      </c>
      <c r="F20" s="15">
        <f>F19+E20</f>
        <v/>
      </c>
      <c r="G20" s="7">
        <f>IF(16&lt;=Setup!$B$5,1,0)</f>
        <v/>
      </c>
      <c r="H20" s="7">
        <f>IF(G20=1,F20,9.99E+307)</f>
        <v/>
      </c>
      <c r="I20" s="7">
        <f>IF(AND(G20=1,F20&lt;0),A20,9999)</f>
        <v/>
      </c>
    </row>
    <row r="21">
      <c r="A21" s="7" t="n">
        <v>17</v>
      </c>
      <c r="B21" s="14">
        <f>IF(G21=1,Setup!$B$6+7*(17-1),"")</f>
        <v/>
      </c>
      <c r="C21" s="15">
        <f>IF(G21=1,SUMIF(Grid!$A$4:$A$83,"receipt",Grid!V$4:V$83),0)</f>
        <v/>
      </c>
      <c r="D21" s="15">
        <f>IF(G21=1,SUMIF(Grid!$A$4:$A$83,"disbursement",Grid!V$4:V$83),0)</f>
        <v/>
      </c>
      <c r="E21" s="15">
        <f>C21-D21</f>
        <v/>
      </c>
      <c r="F21" s="15">
        <f>F20+E21</f>
        <v/>
      </c>
      <c r="G21" s="7">
        <f>IF(17&lt;=Setup!$B$5,1,0)</f>
        <v/>
      </c>
      <c r="H21" s="7">
        <f>IF(G21=1,F21,9.99E+307)</f>
        <v/>
      </c>
      <c r="I21" s="7">
        <f>IF(AND(G21=1,F21&lt;0),A21,9999)</f>
        <v/>
      </c>
    </row>
    <row r="22">
      <c r="A22" s="7" t="n">
        <v>18</v>
      </c>
      <c r="B22" s="14">
        <f>IF(G22=1,Setup!$B$6+7*(18-1),"")</f>
        <v/>
      </c>
      <c r="C22" s="15">
        <f>IF(G22=1,SUMIF(Grid!$A$4:$A$83,"receipt",Grid!W$4:W$83),0)</f>
        <v/>
      </c>
      <c r="D22" s="15">
        <f>IF(G22=1,SUMIF(Grid!$A$4:$A$83,"disbursement",Grid!W$4:W$83),0)</f>
        <v/>
      </c>
      <c r="E22" s="15">
        <f>C22-D22</f>
        <v/>
      </c>
      <c r="F22" s="15">
        <f>F21+E22</f>
        <v/>
      </c>
      <c r="G22" s="7">
        <f>IF(18&lt;=Setup!$B$5,1,0)</f>
        <v/>
      </c>
      <c r="H22" s="7">
        <f>IF(G22=1,F22,9.99E+307)</f>
        <v/>
      </c>
      <c r="I22" s="7">
        <f>IF(AND(G22=1,F22&lt;0),A22,9999)</f>
        <v/>
      </c>
    </row>
    <row r="23">
      <c r="A23" s="7" t="n">
        <v>19</v>
      </c>
      <c r="B23" s="14">
        <f>IF(G23=1,Setup!$B$6+7*(19-1),"")</f>
        <v/>
      </c>
      <c r="C23" s="15">
        <f>IF(G23=1,SUMIF(Grid!$A$4:$A$83,"receipt",Grid!X$4:X$83),0)</f>
        <v/>
      </c>
      <c r="D23" s="15">
        <f>IF(G23=1,SUMIF(Grid!$A$4:$A$83,"disbursement",Grid!X$4:X$83),0)</f>
        <v/>
      </c>
      <c r="E23" s="15">
        <f>C23-D23</f>
        <v/>
      </c>
      <c r="F23" s="15">
        <f>F22+E23</f>
        <v/>
      </c>
      <c r="G23" s="7">
        <f>IF(19&lt;=Setup!$B$5,1,0)</f>
        <v/>
      </c>
      <c r="H23" s="7">
        <f>IF(G23=1,F23,9.99E+307)</f>
        <v/>
      </c>
      <c r="I23" s="7">
        <f>IF(AND(G23=1,F23&lt;0),A23,9999)</f>
        <v/>
      </c>
    </row>
    <row r="24">
      <c r="A24" s="7" t="n">
        <v>20</v>
      </c>
      <c r="B24" s="14">
        <f>IF(G24=1,Setup!$B$6+7*(20-1),"")</f>
        <v/>
      </c>
      <c r="C24" s="15">
        <f>IF(G24=1,SUMIF(Grid!$A$4:$A$83,"receipt",Grid!Y$4:Y$83),0)</f>
        <v/>
      </c>
      <c r="D24" s="15">
        <f>IF(G24=1,SUMIF(Grid!$A$4:$A$83,"disbursement",Grid!Y$4:Y$83),0)</f>
        <v/>
      </c>
      <c r="E24" s="15">
        <f>C24-D24</f>
        <v/>
      </c>
      <c r="F24" s="15">
        <f>F23+E24</f>
        <v/>
      </c>
      <c r="G24" s="7">
        <f>IF(20&lt;=Setup!$B$5,1,0)</f>
        <v/>
      </c>
      <c r="H24" s="7">
        <f>IF(G24=1,F24,9.99E+307)</f>
        <v/>
      </c>
      <c r="I24" s="7">
        <f>IF(AND(G24=1,F24&lt;0),A24,9999)</f>
        <v/>
      </c>
    </row>
    <row r="25">
      <c r="A25" s="7" t="n">
        <v>21</v>
      </c>
      <c r="B25" s="14">
        <f>IF(G25=1,Setup!$B$6+7*(21-1),"")</f>
        <v/>
      </c>
      <c r="C25" s="15">
        <f>IF(G25=1,SUMIF(Grid!$A$4:$A$83,"receipt",Grid!Z$4:Z$83),0)</f>
        <v/>
      </c>
      <c r="D25" s="15">
        <f>IF(G25=1,SUMIF(Grid!$A$4:$A$83,"disbursement",Grid!Z$4:Z$83),0)</f>
        <v/>
      </c>
      <c r="E25" s="15">
        <f>C25-D25</f>
        <v/>
      </c>
      <c r="F25" s="15">
        <f>F24+E25</f>
        <v/>
      </c>
      <c r="G25" s="7">
        <f>IF(21&lt;=Setup!$B$5,1,0)</f>
        <v/>
      </c>
      <c r="H25" s="7">
        <f>IF(G25=1,F25,9.99E+307)</f>
        <v/>
      </c>
      <c r="I25" s="7">
        <f>IF(AND(G25=1,F25&lt;0),A25,9999)</f>
        <v/>
      </c>
    </row>
    <row r="26">
      <c r="A26" s="7" t="n">
        <v>22</v>
      </c>
      <c r="B26" s="14">
        <f>IF(G26=1,Setup!$B$6+7*(22-1),"")</f>
        <v/>
      </c>
      <c r="C26" s="15">
        <f>IF(G26=1,SUMIF(Grid!$A$4:$A$83,"receipt",Grid!AA$4:AA$83),0)</f>
        <v/>
      </c>
      <c r="D26" s="15">
        <f>IF(G26=1,SUMIF(Grid!$A$4:$A$83,"disbursement",Grid!AA$4:AA$83),0)</f>
        <v/>
      </c>
      <c r="E26" s="15">
        <f>C26-D26</f>
        <v/>
      </c>
      <c r="F26" s="15">
        <f>F25+E26</f>
        <v/>
      </c>
      <c r="G26" s="7">
        <f>IF(22&lt;=Setup!$B$5,1,0)</f>
        <v/>
      </c>
      <c r="H26" s="7">
        <f>IF(G26=1,F26,9.99E+307)</f>
        <v/>
      </c>
      <c r="I26" s="7">
        <f>IF(AND(G26=1,F26&lt;0),A26,9999)</f>
        <v/>
      </c>
    </row>
    <row r="27">
      <c r="A27" s="7" t="n">
        <v>23</v>
      </c>
      <c r="B27" s="14">
        <f>IF(G27=1,Setup!$B$6+7*(23-1),"")</f>
        <v/>
      </c>
      <c r="C27" s="15">
        <f>IF(G27=1,SUMIF(Grid!$A$4:$A$83,"receipt",Grid!AB$4:AB$83),0)</f>
        <v/>
      </c>
      <c r="D27" s="15">
        <f>IF(G27=1,SUMIF(Grid!$A$4:$A$83,"disbursement",Grid!AB$4:AB$83),0)</f>
        <v/>
      </c>
      <c r="E27" s="15">
        <f>C27-D27</f>
        <v/>
      </c>
      <c r="F27" s="15">
        <f>F26+E27</f>
        <v/>
      </c>
      <c r="G27" s="7">
        <f>IF(23&lt;=Setup!$B$5,1,0)</f>
        <v/>
      </c>
      <c r="H27" s="7">
        <f>IF(G27=1,F27,9.99E+307)</f>
        <v/>
      </c>
      <c r="I27" s="7">
        <f>IF(AND(G27=1,F27&lt;0),A27,9999)</f>
        <v/>
      </c>
    </row>
    <row r="28">
      <c r="A28" s="7" t="n">
        <v>24</v>
      </c>
      <c r="B28" s="14">
        <f>IF(G28=1,Setup!$B$6+7*(24-1),"")</f>
        <v/>
      </c>
      <c r="C28" s="15">
        <f>IF(G28=1,SUMIF(Grid!$A$4:$A$83,"receipt",Grid!AC$4:AC$83),0)</f>
        <v/>
      </c>
      <c r="D28" s="15">
        <f>IF(G28=1,SUMIF(Grid!$A$4:$A$83,"disbursement",Grid!AC$4:AC$83),0)</f>
        <v/>
      </c>
      <c r="E28" s="15">
        <f>C28-D28</f>
        <v/>
      </c>
      <c r="F28" s="15">
        <f>F27+E28</f>
        <v/>
      </c>
      <c r="G28" s="7">
        <f>IF(24&lt;=Setup!$B$5,1,0)</f>
        <v/>
      </c>
      <c r="H28" s="7">
        <f>IF(G28=1,F28,9.99E+307)</f>
        <v/>
      </c>
      <c r="I28" s="7">
        <f>IF(AND(G28=1,F28&lt;0),A28,9999)</f>
        <v/>
      </c>
    </row>
    <row r="29">
      <c r="A29" s="7" t="n">
        <v>25</v>
      </c>
      <c r="B29" s="14">
        <f>IF(G29=1,Setup!$B$6+7*(25-1),"")</f>
        <v/>
      </c>
      <c r="C29" s="15">
        <f>IF(G29=1,SUMIF(Grid!$A$4:$A$83,"receipt",Grid!AD$4:AD$83),0)</f>
        <v/>
      </c>
      <c r="D29" s="15">
        <f>IF(G29=1,SUMIF(Grid!$A$4:$A$83,"disbursement",Grid!AD$4:AD$83),0)</f>
        <v/>
      </c>
      <c r="E29" s="15">
        <f>C29-D29</f>
        <v/>
      </c>
      <c r="F29" s="15">
        <f>F28+E29</f>
        <v/>
      </c>
      <c r="G29" s="7">
        <f>IF(25&lt;=Setup!$B$5,1,0)</f>
        <v/>
      </c>
      <c r="H29" s="7">
        <f>IF(G29=1,F29,9.99E+307)</f>
        <v/>
      </c>
      <c r="I29" s="7">
        <f>IF(AND(G29=1,F29&lt;0),A29,9999)</f>
        <v/>
      </c>
    </row>
    <row r="30">
      <c r="A30" s="7" t="n">
        <v>26</v>
      </c>
      <c r="B30" s="14">
        <f>IF(G30=1,Setup!$B$6+7*(26-1),"")</f>
        <v/>
      </c>
      <c r="C30" s="15">
        <f>IF(G30=1,SUMIF(Grid!$A$4:$A$83,"receipt",Grid!AE$4:AE$83),0)</f>
        <v/>
      </c>
      <c r="D30" s="15">
        <f>IF(G30=1,SUMIF(Grid!$A$4:$A$83,"disbursement",Grid!AE$4:AE$83),0)</f>
        <v/>
      </c>
      <c r="E30" s="15">
        <f>C30-D30</f>
        <v/>
      </c>
      <c r="F30" s="15">
        <f>F29+E30</f>
        <v/>
      </c>
      <c r="G30" s="7">
        <f>IF(26&lt;=Setup!$B$5,1,0)</f>
        <v/>
      </c>
      <c r="H30" s="7">
        <f>IF(G30=1,F30,9.99E+307)</f>
        <v/>
      </c>
      <c r="I30" s="7">
        <f>IF(AND(G30=1,F30&lt;0),A30,9999)</f>
        <v/>
      </c>
    </row>
    <row r="31">
      <c r="A31" s="7" t="n">
        <v>27</v>
      </c>
      <c r="B31" s="14">
        <f>IF(G31=1,Setup!$B$6+7*(27-1),"")</f>
        <v/>
      </c>
      <c r="C31" s="15">
        <f>IF(G31=1,SUMIF(Grid!$A$4:$A$83,"receipt",Grid!AF$4:AF$83),0)</f>
        <v/>
      </c>
      <c r="D31" s="15">
        <f>IF(G31=1,SUMIF(Grid!$A$4:$A$83,"disbursement",Grid!AF$4:AF$83),0)</f>
        <v/>
      </c>
      <c r="E31" s="15">
        <f>C31-D31</f>
        <v/>
      </c>
      <c r="F31" s="15">
        <f>F30+E31</f>
        <v/>
      </c>
      <c r="G31" s="7">
        <f>IF(27&lt;=Setup!$B$5,1,0)</f>
        <v/>
      </c>
      <c r="H31" s="7">
        <f>IF(G31=1,F31,9.99E+307)</f>
        <v/>
      </c>
      <c r="I31" s="7">
        <f>IF(AND(G31=1,F31&lt;0),A31,9999)</f>
        <v/>
      </c>
    </row>
    <row r="32">
      <c r="A32" s="7" t="n">
        <v>28</v>
      </c>
      <c r="B32" s="14">
        <f>IF(G32=1,Setup!$B$6+7*(28-1),"")</f>
        <v/>
      </c>
      <c r="C32" s="15">
        <f>IF(G32=1,SUMIF(Grid!$A$4:$A$83,"receipt",Grid!AG$4:AG$83),0)</f>
        <v/>
      </c>
      <c r="D32" s="15">
        <f>IF(G32=1,SUMIF(Grid!$A$4:$A$83,"disbursement",Grid!AG$4:AG$83),0)</f>
        <v/>
      </c>
      <c r="E32" s="15">
        <f>C32-D32</f>
        <v/>
      </c>
      <c r="F32" s="15">
        <f>F31+E32</f>
        <v/>
      </c>
      <c r="G32" s="7">
        <f>IF(28&lt;=Setup!$B$5,1,0)</f>
        <v/>
      </c>
      <c r="H32" s="7">
        <f>IF(G32=1,F32,9.99E+307)</f>
        <v/>
      </c>
      <c r="I32" s="7">
        <f>IF(AND(G32=1,F32&lt;0),A32,9999)</f>
        <v/>
      </c>
    </row>
    <row r="33">
      <c r="A33" s="7" t="n">
        <v>29</v>
      </c>
      <c r="B33" s="14">
        <f>IF(G33=1,Setup!$B$6+7*(29-1),"")</f>
        <v/>
      </c>
      <c r="C33" s="15">
        <f>IF(G33=1,SUMIF(Grid!$A$4:$A$83,"receipt",Grid!AH$4:AH$83),0)</f>
        <v/>
      </c>
      <c r="D33" s="15">
        <f>IF(G33=1,SUMIF(Grid!$A$4:$A$83,"disbursement",Grid!AH$4:AH$83),0)</f>
        <v/>
      </c>
      <c r="E33" s="15">
        <f>C33-D33</f>
        <v/>
      </c>
      <c r="F33" s="15">
        <f>F32+E33</f>
        <v/>
      </c>
      <c r="G33" s="7">
        <f>IF(29&lt;=Setup!$B$5,1,0)</f>
        <v/>
      </c>
      <c r="H33" s="7">
        <f>IF(G33=1,F33,9.99E+307)</f>
        <v/>
      </c>
      <c r="I33" s="7">
        <f>IF(AND(G33=1,F33&lt;0),A33,9999)</f>
        <v/>
      </c>
    </row>
    <row r="34">
      <c r="A34" s="7" t="n">
        <v>30</v>
      </c>
      <c r="B34" s="14">
        <f>IF(G34=1,Setup!$B$6+7*(30-1),"")</f>
        <v/>
      </c>
      <c r="C34" s="15">
        <f>IF(G34=1,SUMIF(Grid!$A$4:$A$83,"receipt",Grid!AI$4:AI$83),0)</f>
        <v/>
      </c>
      <c r="D34" s="15">
        <f>IF(G34=1,SUMIF(Grid!$A$4:$A$83,"disbursement",Grid!AI$4:AI$83),0)</f>
        <v/>
      </c>
      <c r="E34" s="15">
        <f>C34-D34</f>
        <v/>
      </c>
      <c r="F34" s="15">
        <f>F33+E34</f>
        <v/>
      </c>
      <c r="G34" s="7">
        <f>IF(30&lt;=Setup!$B$5,1,0)</f>
        <v/>
      </c>
      <c r="H34" s="7">
        <f>IF(G34=1,F34,9.99E+307)</f>
        <v/>
      </c>
      <c r="I34" s="7">
        <f>IF(AND(G34=1,F34&lt;0),A34,9999)</f>
        <v/>
      </c>
    </row>
    <row r="35">
      <c r="A35" s="7" t="n">
        <v>31</v>
      </c>
      <c r="B35" s="14">
        <f>IF(G35=1,Setup!$B$6+7*(31-1),"")</f>
        <v/>
      </c>
      <c r="C35" s="15">
        <f>IF(G35=1,SUMIF(Grid!$A$4:$A$83,"receipt",Grid!AJ$4:AJ$83),0)</f>
        <v/>
      </c>
      <c r="D35" s="15">
        <f>IF(G35=1,SUMIF(Grid!$A$4:$A$83,"disbursement",Grid!AJ$4:AJ$83),0)</f>
        <v/>
      </c>
      <c r="E35" s="15">
        <f>C35-D35</f>
        <v/>
      </c>
      <c r="F35" s="15">
        <f>F34+E35</f>
        <v/>
      </c>
      <c r="G35" s="7">
        <f>IF(31&lt;=Setup!$B$5,1,0)</f>
        <v/>
      </c>
      <c r="H35" s="7">
        <f>IF(G35=1,F35,9.99E+307)</f>
        <v/>
      </c>
      <c r="I35" s="7">
        <f>IF(AND(G35=1,F35&lt;0),A35,9999)</f>
        <v/>
      </c>
    </row>
    <row r="36">
      <c r="A36" s="7" t="n">
        <v>32</v>
      </c>
      <c r="B36" s="14">
        <f>IF(G36=1,Setup!$B$6+7*(32-1),"")</f>
        <v/>
      </c>
      <c r="C36" s="15">
        <f>IF(G36=1,SUMIF(Grid!$A$4:$A$83,"receipt",Grid!AK$4:AK$83),0)</f>
        <v/>
      </c>
      <c r="D36" s="15">
        <f>IF(G36=1,SUMIF(Grid!$A$4:$A$83,"disbursement",Grid!AK$4:AK$83),0)</f>
        <v/>
      </c>
      <c r="E36" s="15">
        <f>C36-D36</f>
        <v/>
      </c>
      <c r="F36" s="15">
        <f>F35+E36</f>
        <v/>
      </c>
      <c r="G36" s="7">
        <f>IF(32&lt;=Setup!$B$5,1,0)</f>
        <v/>
      </c>
      <c r="H36" s="7">
        <f>IF(G36=1,F36,9.99E+307)</f>
        <v/>
      </c>
      <c r="I36" s="7">
        <f>IF(AND(G36=1,F36&lt;0),A36,9999)</f>
        <v/>
      </c>
    </row>
    <row r="37">
      <c r="A37" s="7" t="n">
        <v>33</v>
      </c>
      <c r="B37" s="14">
        <f>IF(G37=1,Setup!$B$6+7*(33-1),"")</f>
        <v/>
      </c>
      <c r="C37" s="15">
        <f>IF(G37=1,SUMIF(Grid!$A$4:$A$83,"receipt",Grid!AL$4:AL$83),0)</f>
        <v/>
      </c>
      <c r="D37" s="15">
        <f>IF(G37=1,SUMIF(Grid!$A$4:$A$83,"disbursement",Grid!AL$4:AL$83),0)</f>
        <v/>
      </c>
      <c r="E37" s="15">
        <f>C37-D37</f>
        <v/>
      </c>
      <c r="F37" s="15">
        <f>F36+E37</f>
        <v/>
      </c>
      <c r="G37" s="7">
        <f>IF(33&lt;=Setup!$B$5,1,0)</f>
        <v/>
      </c>
      <c r="H37" s="7">
        <f>IF(G37=1,F37,9.99E+307)</f>
        <v/>
      </c>
      <c r="I37" s="7">
        <f>IF(AND(G37=1,F37&lt;0),A37,9999)</f>
        <v/>
      </c>
    </row>
    <row r="38">
      <c r="A38" s="7" t="n">
        <v>34</v>
      </c>
      <c r="B38" s="14">
        <f>IF(G38=1,Setup!$B$6+7*(34-1),"")</f>
        <v/>
      </c>
      <c r="C38" s="15">
        <f>IF(G38=1,SUMIF(Grid!$A$4:$A$83,"receipt",Grid!AM$4:AM$83),0)</f>
        <v/>
      </c>
      <c r="D38" s="15">
        <f>IF(G38=1,SUMIF(Grid!$A$4:$A$83,"disbursement",Grid!AM$4:AM$83),0)</f>
        <v/>
      </c>
      <c r="E38" s="15">
        <f>C38-D38</f>
        <v/>
      </c>
      <c r="F38" s="15">
        <f>F37+E38</f>
        <v/>
      </c>
      <c r="G38" s="7">
        <f>IF(34&lt;=Setup!$B$5,1,0)</f>
        <v/>
      </c>
      <c r="H38" s="7">
        <f>IF(G38=1,F38,9.99E+307)</f>
        <v/>
      </c>
      <c r="I38" s="7">
        <f>IF(AND(G38=1,F38&lt;0),A38,9999)</f>
        <v/>
      </c>
    </row>
    <row r="39">
      <c r="A39" s="7" t="n">
        <v>35</v>
      </c>
      <c r="B39" s="14">
        <f>IF(G39=1,Setup!$B$6+7*(35-1),"")</f>
        <v/>
      </c>
      <c r="C39" s="15">
        <f>IF(G39=1,SUMIF(Grid!$A$4:$A$83,"receipt",Grid!AN$4:AN$83),0)</f>
        <v/>
      </c>
      <c r="D39" s="15">
        <f>IF(G39=1,SUMIF(Grid!$A$4:$A$83,"disbursement",Grid!AN$4:AN$83),0)</f>
        <v/>
      </c>
      <c r="E39" s="15">
        <f>C39-D39</f>
        <v/>
      </c>
      <c r="F39" s="15">
        <f>F38+E39</f>
        <v/>
      </c>
      <c r="G39" s="7">
        <f>IF(35&lt;=Setup!$B$5,1,0)</f>
        <v/>
      </c>
      <c r="H39" s="7">
        <f>IF(G39=1,F39,9.99E+307)</f>
        <v/>
      </c>
      <c r="I39" s="7">
        <f>IF(AND(G39=1,F39&lt;0),A39,9999)</f>
        <v/>
      </c>
    </row>
    <row r="40">
      <c r="A40" s="7" t="n">
        <v>36</v>
      </c>
      <c r="B40" s="14">
        <f>IF(G40=1,Setup!$B$6+7*(36-1),"")</f>
        <v/>
      </c>
      <c r="C40" s="15">
        <f>IF(G40=1,SUMIF(Grid!$A$4:$A$83,"receipt",Grid!AO$4:AO$83),0)</f>
        <v/>
      </c>
      <c r="D40" s="15">
        <f>IF(G40=1,SUMIF(Grid!$A$4:$A$83,"disbursement",Grid!AO$4:AO$83),0)</f>
        <v/>
      </c>
      <c r="E40" s="15">
        <f>C40-D40</f>
        <v/>
      </c>
      <c r="F40" s="15">
        <f>F39+E40</f>
        <v/>
      </c>
      <c r="G40" s="7">
        <f>IF(36&lt;=Setup!$B$5,1,0)</f>
        <v/>
      </c>
      <c r="H40" s="7">
        <f>IF(G40=1,F40,9.99E+307)</f>
        <v/>
      </c>
      <c r="I40" s="7">
        <f>IF(AND(G40=1,F40&lt;0),A40,9999)</f>
        <v/>
      </c>
    </row>
    <row r="41">
      <c r="A41" s="7" t="n">
        <v>37</v>
      </c>
      <c r="B41" s="14">
        <f>IF(G41=1,Setup!$B$6+7*(37-1),"")</f>
        <v/>
      </c>
      <c r="C41" s="15">
        <f>IF(G41=1,SUMIF(Grid!$A$4:$A$83,"receipt",Grid!AP$4:AP$83),0)</f>
        <v/>
      </c>
      <c r="D41" s="15">
        <f>IF(G41=1,SUMIF(Grid!$A$4:$A$83,"disbursement",Grid!AP$4:AP$83),0)</f>
        <v/>
      </c>
      <c r="E41" s="15">
        <f>C41-D41</f>
        <v/>
      </c>
      <c r="F41" s="15">
        <f>F40+E41</f>
        <v/>
      </c>
      <c r="G41" s="7">
        <f>IF(37&lt;=Setup!$B$5,1,0)</f>
        <v/>
      </c>
      <c r="H41" s="7">
        <f>IF(G41=1,F41,9.99E+307)</f>
        <v/>
      </c>
      <c r="I41" s="7">
        <f>IF(AND(G41=1,F41&lt;0),A41,9999)</f>
        <v/>
      </c>
    </row>
    <row r="42">
      <c r="A42" s="7" t="n">
        <v>38</v>
      </c>
      <c r="B42" s="14">
        <f>IF(G42=1,Setup!$B$6+7*(38-1),"")</f>
        <v/>
      </c>
      <c r="C42" s="15">
        <f>IF(G42=1,SUMIF(Grid!$A$4:$A$83,"receipt",Grid!AQ$4:AQ$83),0)</f>
        <v/>
      </c>
      <c r="D42" s="15">
        <f>IF(G42=1,SUMIF(Grid!$A$4:$A$83,"disbursement",Grid!AQ$4:AQ$83),0)</f>
        <v/>
      </c>
      <c r="E42" s="15">
        <f>C42-D42</f>
        <v/>
      </c>
      <c r="F42" s="15">
        <f>F41+E42</f>
        <v/>
      </c>
      <c r="G42" s="7">
        <f>IF(38&lt;=Setup!$B$5,1,0)</f>
        <v/>
      </c>
      <c r="H42" s="7">
        <f>IF(G42=1,F42,9.99E+307)</f>
        <v/>
      </c>
      <c r="I42" s="7">
        <f>IF(AND(G42=1,F42&lt;0),A42,9999)</f>
        <v/>
      </c>
    </row>
    <row r="43">
      <c r="A43" s="7" t="n">
        <v>39</v>
      </c>
      <c r="B43" s="14">
        <f>IF(G43=1,Setup!$B$6+7*(39-1),"")</f>
        <v/>
      </c>
      <c r="C43" s="15">
        <f>IF(G43=1,SUMIF(Grid!$A$4:$A$83,"receipt",Grid!AR$4:AR$83),0)</f>
        <v/>
      </c>
      <c r="D43" s="15">
        <f>IF(G43=1,SUMIF(Grid!$A$4:$A$83,"disbursement",Grid!AR$4:AR$83),0)</f>
        <v/>
      </c>
      <c r="E43" s="15">
        <f>C43-D43</f>
        <v/>
      </c>
      <c r="F43" s="15">
        <f>F42+E43</f>
        <v/>
      </c>
      <c r="G43" s="7">
        <f>IF(39&lt;=Setup!$B$5,1,0)</f>
        <v/>
      </c>
      <c r="H43" s="7">
        <f>IF(G43=1,F43,9.99E+307)</f>
        <v/>
      </c>
      <c r="I43" s="7">
        <f>IF(AND(G43=1,F43&lt;0),A43,9999)</f>
        <v/>
      </c>
    </row>
    <row r="44">
      <c r="A44" s="7" t="n">
        <v>40</v>
      </c>
      <c r="B44" s="14">
        <f>IF(G44=1,Setup!$B$6+7*(40-1),"")</f>
        <v/>
      </c>
      <c r="C44" s="15">
        <f>IF(G44=1,SUMIF(Grid!$A$4:$A$83,"receipt",Grid!AS$4:AS$83),0)</f>
        <v/>
      </c>
      <c r="D44" s="15">
        <f>IF(G44=1,SUMIF(Grid!$A$4:$A$83,"disbursement",Grid!AS$4:AS$83),0)</f>
        <v/>
      </c>
      <c r="E44" s="15">
        <f>C44-D44</f>
        <v/>
      </c>
      <c r="F44" s="15">
        <f>F43+E44</f>
        <v/>
      </c>
      <c r="G44" s="7">
        <f>IF(40&lt;=Setup!$B$5,1,0)</f>
        <v/>
      </c>
      <c r="H44" s="7">
        <f>IF(G44=1,F44,9.99E+307)</f>
        <v/>
      </c>
      <c r="I44" s="7">
        <f>IF(AND(G44=1,F44&lt;0),A44,9999)</f>
        <v/>
      </c>
    </row>
    <row r="45">
      <c r="A45" s="7" t="n">
        <v>41</v>
      </c>
      <c r="B45" s="14">
        <f>IF(G45=1,Setup!$B$6+7*(41-1),"")</f>
        <v/>
      </c>
      <c r="C45" s="15">
        <f>IF(G45=1,SUMIF(Grid!$A$4:$A$83,"receipt",Grid!AT$4:AT$83),0)</f>
        <v/>
      </c>
      <c r="D45" s="15">
        <f>IF(G45=1,SUMIF(Grid!$A$4:$A$83,"disbursement",Grid!AT$4:AT$83),0)</f>
        <v/>
      </c>
      <c r="E45" s="15">
        <f>C45-D45</f>
        <v/>
      </c>
      <c r="F45" s="15">
        <f>F44+E45</f>
        <v/>
      </c>
      <c r="G45" s="7">
        <f>IF(41&lt;=Setup!$B$5,1,0)</f>
        <v/>
      </c>
      <c r="H45" s="7">
        <f>IF(G45=1,F45,9.99E+307)</f>
        <v/>
      </c>
      <c r="I45" s="7">
        <f>IF(AND(G45=1,F45&lt;0),A45,9999)</f>
        <v/>
      </c>
    </row>
    <row r="46">
      <c r="A46" s="7" t="n">
        <v>42</v>
      </c>
      <c r="B46" s="14">
        <f>IF(G46=1,Setup!$B$6+7*(42-1),"")</f>
        <v/>
      </c>
      <c r="C46" s="15">
        <f>IF(G46=1,SUMIF(Grid!$A$4:$A$83,"receipt",Grid!AU$4:AU$83),0)</f>
        <v/>
      </c>
      <c r="D46" s="15">
        <f>IF(G46=1,SUMIF(Grid!$A$4:$A$83,"disbursement",Grid!AU$4:AU$83),0)</f>
        <v/>
      </c>
      <c r="E46" s="15">
        <f>C46-D46</f>
        <v/>
      </c>
      <c r="F46" s="15">
        <f>F45+E46</f>
        <v/>
      </c>
      <c r="G46" s="7">
        <f>IF(42&lt;=Setup!$B$5,1,0)</f>
        <v/>
      </c>
      <c r="H46" s="7">
        <f>IF(G46=1,F46,9.99E+307)</f>
        <v/>
      </c>
      <c r="I46" s="7">
        <f>IF(AND(G46=1,F46&lt;0),A46,9999)</f>
        <v/>
      </c>
    </row>
    <row r="47">
      <c r="A47" s="7" t="n">
        <v>43</v>
      </c>
      <c r="B47" s="14">
        <f>IF(G47=1,Setup!$B$6+7*(43-1),"")</f>
        <v/>
      </c>
      <c r="C47" s="15">
        <f>IF(G47=1,SUMIF(Grid!$A$4:$A$83,"receipt",Grid!AV$4:AV$83),0)</f>
        <v/>
      </c>
      <c r="D47" s="15">
        <f>IF(G47=1,SUMIF(Grid!$A$4:$A$83,"disbursement",Grid!AV$4:AV$83),0)</f>
        <v/>
      </c>
      <c r="E47" s="15">
        <f>C47-D47</f>
        <v/>
      </c>
      <c r="F47" s="15">
        <f>F46+E47</f>
        <v/>
      </c>
      <c r="G47" s="7">
        <f>IF(43&lt;=Setup!$B$5,1,0)</f>
        <v/>
      </c>
      <c r="H47" s="7">
        <f>IF(G47=1,F47,9.99E+307)</f>
        <v/>
      </c>
      <c r="I47" s="7">
        <f>IF(AND(G47=1,F47&lt;0),A47,9999)</f>
        <v/>
      </c>
    </row>
    <row r="48">
      <c r="A48" s="7" t="n">
        <v>44</v>
      </c>
      <c r="B48" s="14">
        <f>IF(G48=1,Setup!$B$6+7*(44-1),"")</f>
        <v/>
      </c>
      <c r="C48" s="15">
        <f>IF(G48=1,SUMIF(Grid!$A$4:$A$83,"receipt",Grid!AW$4:AW$83),0)</f>
        <v/>
      </c>
      <c r="D48" s="15">
        <f>IF(G48=1,SUMIF(Grid!$A$4:$A$83,"disbursement",Grid!AW$4:AW$83),0)</f>
        <v/>
      </c>
      <c r="E48" s="15">
        <f>C48-D48</f>
        <v/>
      </c>
      <c r="F48" s="15">
        <f>F47+E48</f>
        <v/>
      </c>
      <c r="G48" s="7">
        <f>IF(44&lt;=Setup!$B$5,1,0)</f>
        <v/>
      </c>
      <c r="H48" s="7">
        <f>IF(G48=1,F48,9.99E+307)</f>
        <v/>
      </c>
      <c r="I48" s="7">
        <f>IF(AND(G48=1,F48&lt;0),A48,9999)</f>
        <v/>
      </c>
    </row>
    <row r="49">
      <c r="A49" s="7" t="n">
        <v>45</v>
      </c>
      <c r="B49" s="14">
        <f>IF(G49=1,Setup!$B$6+7*(45-1),"")</f>
        <v/>
      </c>
      <c r="C49" s="15">
        <f>IF(G49=1,SUMIF(Grid!$A$4:$A$83,"receipt",Grid!AX$4:AX$83),0)</f>
        <v/>
      </c>
      <c r="D49" s="15">
        <f>IF(G49=1,SUMIF(Grid!$A$4:$A$83,"disbursement",Grid!AX$4:AX$83),0)</f>
        <v/>
      </c>
      <c r="E49" s="15">
        <f>C49-D49</f>
        <v/>
      </c>
      <c r="F49" s="15">
        <f>F48+E49</f>
        <v/>
      </c>
      <c r="G49" s="7">
        <f>IF(45&lt;=Setup!$B$5,1,0)</f>
        <v/>
      </c>
      <c r="H49" s="7">
        <f>IF(G49=1,F49,9.99E+307)</f>
        <v/>
      </c>
      <c r="I49" s="7">
        <f>IF(AND(G49=1,F49&lt;0),A49,9999)</f>
        <v/>
      </c>
    </row>
    <row r="50">
      <c r="A50" s="7" t="n">
        <v>46</v>
      </c>
      <c r="B50" s="14">
        <f>IF(G50=1,Setup!$B$6+7*(46-1),"")</f>
        <v/>
      </c>
      <c r="C50" s="15">
        <f>IF(G50=1,SUMIF(Grid!$A$4:$A$83,"receipt",Grid!AY$4:AY$83),0)</f>
        <v/>
      </c>
      <c r="D50" s="15">
        <f>IF(G50=1,SUMIF(Grid!$A$4:$A$83,"disbursement",Grid!AY$4:AY$83),0)</f>
        <v/>
      </c>
      <c r="E50" s="15">
        <f>C50-D50</f>
        <v/>
      </c>
      <c r="F50" s="15">
        <f>F49+E50</f>
        <v/>
      </c>
      <c r="G50" s="7">
        <f>IF(46&lt;=Setup!$B$5,1,0)</f>
        <v/>
      </c>
      <c r="H50" s="7">
        <f>IF(G50=1,F50,9.99E+307)</f>
        <v/>
      </c>
      <c r="I50" s="7">
        <f>IF(AND(G50=1,F50&lt;0),A50,9999)</f>
        <v/>
      </c>
    </row>
    <row r="51">
      <c r="A51" s="7" t="n">
        <v>47</v>
      </c>
      <c r="B51" s="14">
        <f>IF(G51=1,Setup!$B$6+7*(47-1),"")</f>
        <v/>
      </c>
      <c r="C51" s="15">
        <f>IF(G51=1,SUMIF(Grid!$A$4:$A$83,"receipt",Grid!AZ$4:AZ$83),0)</f>
        <v/>
      </c>
      <c r="D51" s="15">
        <f>IF(G51=1,SUMIF(Grid!$A$4:$A$83,"disbursement",Grid!AZ$4:AZ$83),0)</f>
        <v/>
      </c>
      <c r="E51" s="15">
        <f>C51-D51</f>
        <v/>
      </c>
      <c r="F51" s="15">
        <f>F50+E51</f>
        <v/>
      </c>
      <c r="G51" s="7">
        <f>IF(47&lt;=Setup!$B$5,1,0)</f>
        <v/>
      </c>
      <c r="H51" s="7">
        <f>IF(G51=1,F51,9.99E+307)</f>
        <v/>
      </c>
      <c r="I51" s="7">
        <f>IF(AND(G51=1,F51&lt;0),A51,9999)</f>
        <v/>
      </c>
    </row>
    <row r="52">
      <c r="A52" s="7" t="n">
        <v>48</v>
      </c>
      <c r="B52" s="14">
        <f>IF(G52=1,Setup!$B$6+7*(48-1),"")</f>
        <v/>
      </c>
      <c r="C52" s="15">
        <f>IF(G52=1,SUMIF(Grid!$A$4:$A$83,"receipt",Grid!BA$4:BA$83),0)</f>
        <v/>
      </c>
      <c r="D52" s="15">
        <f>IF(G52=1,SUMIF(Grid!$A$4:$A$83,"disbursement",Grid!BA$4:BA$83),0)</f>
        <v/>
      </c>
      <c r="E52" s="15">
        <f>C52-D52</f>
        <v/>
      </c>
      <c r="F52" s="15">
        <f>F51+E52</f>
        <v/>
      </c>
      <c r="G52" s="7">
        <f>IF(48&lt;=Setup!$B$5,1,0)</f>
        <v/>
      </c>
      <c r="H52" s="7">
        <f>IF(G52=1,F52,9.99E+307)</f>
        <v/>
      </c>
      <c r="I52" s="7">
        <f>IF(AND(G52=1,F52&lt;0),A52,9999)</f>
        <v/>
      </c>
    </row>
    <row r="53">
      <c r="A53" s="7" t="n">
        <v>49</v>
      </c>
      <c r="B53" s="14">
        <f>IF(G53=1,Setup!$B$6+7*(49-1),"")</f>
        <v/>
      </c>
      <c r="C53" s="15">
        <f>IF(G53=1,SUMIF(Grid!$A$4:$A$83,"receipt",Grid!BB$4:BB$83),0)</f>
        <v/>
      </c>
      <c r="D53" s="15">
        <f>IF(G53=1,SUMIF(Grid!$A$4:$A$83,"disbursement",Grid!BB$4:BB$83),0)</f>
        <v/>
      </c>
      <c r="E53" s="15">
        <f>C53-D53</f>
        <v/>
      </c>
      <c r="F53" s="15">
        <f>F52+E53</f>
        <v/>
      </c>
      <c r="G53" s="7">
        <f>IF(49&lt;=Setup!$B$5,1,0)</f>
        <v/>
      </c>
      <c r="H53" s="7">
        <f>IF(G53=1,F53,9.99E+307)</f>
        <v/>
      </c>
      <c r="I53" s="7">
        <f>IF(AND(G53=1,F53&lt;0),A53,9999)</f>
        <v/>
      </c>
    </row>
    <row r="54">
      <c r="A54" s="7" t="n">
        <v>50</v>
      </c>
      <c r="B54" s="14">
        <f>IF(G54=1,Setup!$B$6+7*(50-1),"")</f>
        <v/>
      </c>
      <c r="C54" s="15">
        <f>IF(G54=1,SUMIF(Grid!$A$4:$A$83,"receipt",Grid!BC$4:BC$83),0)</f>
        <v/>
      </c>
      <c r="D54" s="15">
        <f>IF(G54=1,SUMIF(Grid!$A$4:$A$83,"disbursement",Grid!BC$4:BC$83),0)</f>
        <v/>
      </c>
      <c r="E54" s="15">
        <f>C54-D54</f>
        <v/>
      </c>
      <c r="F54" s="15">
        <f>F53+E54</f>
        <v/>
      </c>
      <c r="G54" s="7">
        <f>IF(50&lt;=Setup!$B$5,1,0)</f>
        <v/>
      </c>
      <c r="H54" s="7">
        <f>IF(G54=1,F54,9.99E+307)</f>
        <v/>
      </c>
      <c r="I54" s="7">
        <f>IF(AND(G54=1,F54&lt;0),A54,9999)</f>
        <v/>
      </c>
    </row>
    <row r="55">
      <c r="A55" s="7" t="n">
        <v>51</v>
      </c>
      <c r="B55" s="14">
        <f>IF(G55=1,Setup!$B$6+7*(51-1),"")</f>
        <v/>
      </c>
      <c r="C55" s="15">
        <f>IF(G55=1,SUMIF(Grid!$A$4:$A$83,"receipt",Grid!BD$4:BD$83),0)</f>
        <v/>
      </c>
      <c r="D55" s="15">
        <f>IF(G55=1,SUMIF(Grid!$A$4:$A$83,"disbursement",Grid!BD$4:BD$83),0)</f>
        <v/>
      </c>
      <c r="E55" s="15">
        <f>C55-D55</f>
        <v/>
      </c>
      <c r="F55" s="15">
        <f>F54+E55</f>
        <v/>
      </c>
      <c r="G55" s="7">
        <f>IF(51&lt;=Setup!$B$5,1,0)</f>
        <v/>
      </c>
      <c r="H55" s="7">
        <f>IF(G55=1,F55,9.99E+307)</f>
        <v/>
      </c>
      <c r="I55" s="7">
        <f>IF(AND(G55=1,F55&lt;0),A55,9999)</f>
        <v/>
      </c>
    </row>
    <row r="56">
      <c r="A56" s="7" t="n">
        <v>52</v>
      </c>
      <c r="B56" s="14">
        <f>IF(G56=1,Setup!$B$6+7*(52-1),"")</f>
        <v/>
      </c>
      <c r="C56" s="15">
        <f>IF(G56=1,SUMIF(Grid!$A$4:$A$83,"receipt",Grid!BE$4:BE$83),0)</f>
        <v/>
      </c>
      <c r="D56" s="15">
        <f>IF(G56=1,SUMIF(Grid!$A$4:$A$83,"disbursement",Grid!BE$4:BE$83),0)</f>
        <v/>
      </c>
      <c r="E56" s="15">
        <f>C56-D56</f>
        <v/>
      </c>
      <c r="F56" s="15">
        <f>F55+E56</f>
        <v/>
      </c>
      <c r="G56" s="7">
        <f>IF(52&lt;=Setup!$B$5,1,0)</f>
        <v/>
      </c>
      <c r="H56" s="7">
        <f>IF(G56=1,F56,9.99E+307)</f>
        <v/>
      </c>
      <c r="I56" s="7">
        <f>IF(AND(G56=1,F56&lt;0),A56,9999)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Runway summary (runway_summary) + credit-line sizing</t>
        </is>
      </c>
    </row>
    <row r="2"/>
    <row r="3"/>
    <row r="4">
      <c r="A4" t="inlineStr">
        <is>
          <t>min_cash (trough)</t>
        </is>
      </c>
      <c r="B4" s="16">
        <f>MIN(Weekly!$H$5:$H$56)</f>
        <v/>
      </c>
    </row>
    <row r="5">
      <c r="A5" t="inlineStr">
        <is>
          <t>min_week (first week at trough)</t>
        </is>
      </c>
      <c r="B5" s="17">
        <f>MATCH(B4,Weekly!$H$5:$H$56,0)</f>
        <v/>
      </c>
    </row>
    <row r="6">
      <c r="A6" t="inlineStr">
        <is>
          <t>first_negative_week (blank = none)</t>
        </is>
      </c>
      <c r="B6" s="17">
        <f>IF(MIN(Weekly!$I$5:$I$56)=9999,"",MIN(Weekly!$I$5:$I$56))</f>
        <v/>
      </c>
    </row>
    <row r="7">
      <c r="A7" t="inlineStr">
        <is>
          <t>trough week starting</t>
        </is>
      </c>
      <c r="B7" s="14">
        <f>INDEX(Weekly!$B$5:$B$56,1,1)+7*(B5-1)</f>
        <v/>
      </c>
    </row>
    <row r="8">
      <c r="A8" t="inlineStr">
        <is>
          <t>ending cash at horizon</t>
        </is>
      </c>
      <c r="B8" s="15">
        <f>INDEX(Weekly!$F$5:$F$56,Setup!$B$5,1)</f>
        <v/>
      </c>
    </row>
    <row r="9">
      <c r="A9" t="inlineStr">
        <is>
          <t>draw needed at trough (0 if never negative)</t>
        </is>
      </c>
      <c r="B9" s="15">
        <f>MAX(0,-B4)</f>
        <v/>
      </c>
    </row>
    <row r="10">
      <c r="A10" t="inlineStr">
        <is>
          <t>suggested working-capital line (trough x (1+buffer))</t>
        </is>
      </c>
      <c r="B10" s="16">
        <f>ROUND(B9*(1+Setup!$B$7),-3)</f>
        <v/>
      </c>
    </row>
    <row r="11">
      <c r="A11" t="inlineStr">
        <is>
          <t>weeks of warning before first negative week</t>
        </is>
      </c>
      <c r="B11" s="7">
        <f>IF(B6="","n/a",B6-1)</f>
        <v/>
      </c>
    </row>
    <row r="12"/>
    <row r="13">
      <c r="A13" s="4" t="inlineStr">
        <is>
          <t>Report lines (copy verbatim)</t>
        </is>
      </c>
    </row>
    <row r="14">
      <c r="A14" s="7">
        <f>"- **Trough:** "&amp;IF(B4&lt;0,"-","")&amp;Setup!B8&amp;TEXT(ABS(B4),"#,##0")&amp;" (week "&amp;B5&amp;")"</f>
        <v/>
      </c>
    </row>
    <row r="15">
      <c r="A15" s="7">
        <f>"- **First negative week:** "&amp;IF(B6="","none","week "&amp;B6)</f>
        <v/>
      </c>
    </row>
    <row r="16">
      <c r="A16" s="7">
        <f>"- **Recommended action:** "&amp;IF(B9=0,"no draw needed inside the horizon","arrange a line of at least "&amp;Setup!B8&amp;TEXT(B10,"#,##0")&amp;" before week "&amp;B6)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DateToWeek - convert due dates to week numbers (week 1 = Setup start date)</t>
        </is>
      </c>
    </row>
    <row r="2"/>
    <row r="3"/>
    <row r="4">
      <c r="A4" s="6" t="inlineStr">
        <is>
          <t>item</t>
        </is>
      </c>
      <c r="B4" s="6" t="inlineStr">
        <is>
          <t>due date</t>
        </is>
      </c>
      <c r="C4" s="6" t="inlineStr">
        <is>
          <t>week number</t>
        </is>
      </c>
      <c r="D4" s="6" t="inlineStr">
        <is>
          <t>inside horizon?</t>
        </is>
      </c>
    </row>
    <row r="5">
      <c r="A5" s="12" t="inlineStr">
        <is>
          <t>GSTR-3B / GST cash payment (monthly filer, 20th)</t>
        </is>
      </c>
      <c r="B5" s="10" t="n"/>
      <c r="C5" s="18">
        <f>IF(B5="","",INT((B5-Setup!$B$6)/7)+1)</f>
        <v/>
      </c>
      <c r="D5" s="7">
        <f>IF(C5="","",IF(AND(C5&gt;=1,C5&lt;=Setup!$B$5),"yes","no"))</f>
        <v/>
      </c>
    </row>
    <row r="6">
      <c r="A6" s="12" t="inlineStr">
        <is>
          <t>TDS/TCS deposit (7th of next month)</t>
        </is>
      </c>
      <c r="B6" s="10" t="n"/>
      <c r="C6" s="18">
        <f>IF(B6="","",INT((B6-Setup!$B$6)/7)+1)</f>
        <v/>
      </c>
      <c r="D6" s="7">
        <f>IF(C6="","",IF(AND(C6&gt;=1,C6&lt;=Setup!$B$5),"yes","no"))</f>
        <v/>
      </c>
    </row>
    <row r="7">
      <c r="A7" s="12" t="inlineStr">
        <is>
          <t>PF (EPF) remittance (15th)</t>
        </is>
      </c>
      <c r="B7" s="10" t="n"/>
      <c r="C7" s="18">
        <f>IF(B7="","",INT((B7-Setup!$B$6)/7)+1)</f>
        <v/>
      </c>
      <c r="D7" s="7">
        <f>IF(C7="","",IF(AND(C7&gt;=1,C7&lt;=Setup!$B$5),"yes","no"))</f>
        <v/>
      </c>
    </row>
    <row r="8">
      <c r="A8" s="12" t="inlineStr">
        <is>
          <t>ESI contribution (15th)</t>
        </is>
      </c>
      <c r="B8" s="10" t="n"/>
      <c r="C8" s="18">
        <f>IF(B8="","",INT((B8-Setup!$B$6)/7)+1)</f>
        <v/>
      </c>
      <c r="D8" s="7">
        <f>IF(C8="","",IF(AND(C8&gt;=1,C8&lt;=Setup!$B$5),"yes","no"))</f>
        <v/>
      </c>
    </row>
    <row r="9">
      <c r="A9" s="12" t="inlineStr">
        <is>
          <t>Advance tax instalment (15 Jun / 15 Sep / 15 Dec / 15 Mar)</t>
        </is>
      </c>
      <c r="B9" s="10" t="n"/>
      <c r="C9" s="18">
        <f>IF(B9="","",INT((B9-Setup!$B$6)/7)+1)</f>
        <v/>
      </c>
      <c r="D9" s="7">
        <f>IF(C9="","",IF(AND(C9&gt;=1,C9&lt;=Setup!$B$5),"yes","no"))</f>
        <v/>
      </c>
    </row>
    <row r="10">
      <c r="A10" s="12" t="inlineStr">
        <is>
          <t>Tamil Nadu Professional Tax (half-yearly, employer remits)</t>
        </is>
      </c>
      <c r="B10" s="10" t="n"/>
      <c r="C10" s="18">
        <f>IF(B10="","",INT((B10-Setup!$B$6)/7)+1)</f>
        <v/>
      </c>
      <c r="D10" s="7">
        <f>IF(C10="","",IF(AND(C10&gt;=1,C10&lt;=Setup!$B$5),"yes","no"))</f>
        <v/>
      </c>
    </row>
    <row r="11">
      <c r="A11" s="12" t="inlineStr">
        <is>
          <t>Salary payout (last working day / 1st)</t>
        </is>
      </c>
      <c r="B11" s="10" t="n"/>
      <c r="C11" s="18">
        <f>IF(B11="","",INT((B11-Setup!$B$6)/7)+1)</f>
        <v/>
      </c>
      <c r="D11" s="7">
        <f>IF(C11="","",IF(AND(C11&gt;=1,C11&lt;=Setup!$B$5),"yes","no"))</f>
        <v/>
      </c>
    </row>
    <row r="12">
      <c r="A12" s="12" t="inlineStr">
        <is>
          <t>Customer collection (invoice date + credit days)</t>
        </is>
      </c>
      <c r="B12" s="10" t="n"/>
      <c r="C12" s="18">
        <f>IF(B12="","",INT((B12-Setup!$B$6)/7)+1)</f>
        <v/>
      </c>
      <c r="D12" s="7">
        <f>IF(C12="","",IF(AND(C12&gt;=1,C12&lt;=Setup!$B$5),"yes","no"))</f>
        <v/>
      </c>
    </row>
    <row r="13">
      <c r="A13" s="12" t="inlineStr">
        <is>
          <t>MSME supplier payment (max 45 days from acceptance, s.43B(h))</t>
        </is>
      </c>
      <c r="B13" s="10" t="n"/>
      <c r="C13" s="18">
        <f>IF(B13="","",INT((B13-Setup!$B$6)/7)+1)</f>
        <v/>
      </c>
      <c r="D13" s="7">
        <f>IF(C13="","",IF(AND(C13&gt;=1,C13&lt;=Setup!$B$5),"yes","no"))</f>
        <v/>
      </c>
    </row>
    <row r="14">
      <c r="A14" s="12" t="n"/>
      <c r="B14" s="10" t="n"/>
      <c r="C14" s="18">
        <f>IF(B14="","",INT((B14-Setup!$B$6)/7)+1)</f>
        <v/>
      </c>
      <c r="D14" s="7">
        <f>IF(C14="","",IF(AND(C14&gt;=1,C14&lt;=Setup!$B$5),"yes","no"))</f>
        <v/>
      </c>
    </row>
    <row r="15">
      <c r="A15" s="12" t="n"/>
      <c r="B15" s="10" t="n"/>
      <c r="C15" s="18">
        <f>IF(B15="","",INT((B15-Setup!$B$6)/7)+1)</f>
        <v/>
      </c>
      <c r="D15" s="7">
        <f>IF(C15="","",IF(AND(C15&gt;=1,C15&lt;=Setup!$B$5),"yes","no"))</f>
        <v/>
      </c>
    </row>
    <row r="16">
      <c r="A16" s="12" t="n"/>
      <c r="B16" s="10" t="n"/>
      <c r="C16" s="18">
        <f>IF(B16="","",INT((B16-Setup!$B$6)/7)+1)</f>
        <v/>
      </c>
      <c r="D16" s="7">
        <f>IF(C16="","",IF(AND(C16&gt;=1,C16&lt;=Setup!$B$5),"yes","no"))</f>
        <v/>
      </c>
    </row>
    <row r="17">
      <c r="A17" s="12" t="n"/>
      <c r="B17" s="10" t="n"/>
      <c r="C17" s="18">
        <f>IF(B17="","",INT((B17-Setup!$B$6)/7)+1)</f>
        <v/>
      </c>
      <c r="D17" s="7">
        <f>IF(C17="","",IF(AND(C17&gt;=1,C17&lt;=Setup!$B$5),"yes","no"))</f>
        <v/>
      </c>
    </row>
    <row r="18">
      <c r="A18" s="12" t="n"/>
      <c r="B18" s="10" t="n"/>
      <c r="C18" s="18">
        <f>IF(B18="","",INT((B18-Setup!$B$6)/7)+1)</f>
        <v/>
      </c>
      <c r="D18" s="7">
        <f>IF(C18="","",IF(AND(C18&gt;=1,C18&lt;=Setup!$B$5),"yes","no"))</f>
        <v/>
      </c>
    </row>
    <row r="19">
      <c r="A19" s="12" t="n"/>
      <c r="B19" s="10" t="n"/>
      <c r="C19" s="18">
        <f>IF(B19="","",INT((B19-Setup!$B$6)/7)+1)</f>
        <v/>
      </c>
      <c r="D19" s="7">
        <f>IF(C19="","",IF(AND(C19&gt;=1,C19&lt;=Setup!$B$5),"yes","no"))</f>
        <v/>
      </c>
    </row>
    <row r="20">
      <c r="A20" s="12" t="n"/>
      <c r="B20" s="10" t="n"/>
      <c r="C20" s="18">
        <f>IF(B20="","",INT((B20-Setup!$B$6)/7)+1)</f>
        <v/>
      </c>
      <c r="D20" s="7">
        <f>IF(C20="","",IF(AND(C20&gt;=1,C20&lt;=Setup!$B$5),"yes","no"))</f>
        <v/>
      </c>
    </row>
    <row r="21">
      <c r="A21" s="12" t="n"/>
      <c r="B21" s="10" t="n"/>
      <c r="C21" s="18">
        <f>IF(B21="","",INT((B21-Setup!$B$6)/7)+1)</f>
        <v/>
      </c>
      <c r="D21" s="7">
        <f>IF(C21="","",IF(AND(C21&gt;=1,C21&lt;=Setup!$B$5),"yes","no"))</f>
        <v/>
      </c>
    </row>
    <row r="22">
      <c r="A22" s="12" t="n"/>
      <c r="B22" s="10" t="n"/>
      <c r="C22" s="18">
        <f>IF(B22="","",INT((B22-Setup!$B$6)/7)+1)</f>
        <v/>
      </c>
      <c r="D22" s="7">
        <f>IF(C22="","",IF(AND(C22&gt;=1,C22&lt;=Setup!$B$5),"yes","no"))</f>
        <v/>
      </c>
    </row>
    <row r="23">
      <c r="A23" s="12" t="n"/>
      <c r="B23" s="10" t="n"/>
      <c r="C23" s="18">
        <f>IF(B23="","",INT((B23-Setup!$B$6)/7)+1)</f>
        <v/>
      </c>
      <c r="D23" s="7">
        <f>IF(C23="","",IF(AND(C23&gt;=1,C23&lt;=Setup!$B$5),"yes","no"))</f>
        <v/>
      </c>
    </row>
    <row r="24">
      <c r="A24" s="12" t="n"/>
      <c r="B24" s="10" t="n"/>
      <c r="C24" s="18">
        <f>IF(B24="","",INT((B24-Setup!$B$6)/7)+1)</f>
        <v/>
      </c>
      <c r="D24" s="7">
        <f>IF(C24="","",IF(AND(C24&gt;=1,C24&lt;=Setup!$B$5),"yes","no"))</f>
        <v/>
      </c>
    </row>
    <row r="25">
      <c r="A25" s="12" t="n"/>
      <c r="B25" s="10" t="n"/>
      <c r="C25" s="18">
        <f>IF(B25="","",INT((B25-Setup!$B$6)/7)+1)</f>
        <v/>
      </c>
      <c r="D25" s="7">
        <f>IF(C25="","",IF(AND(C25&gt;=1,C25&lt;=Setup!$B$5),"yes","no"))</f>
        <v/>
      </c>
    </row>
    <row r="26">
      <c r="A26" s="12" t="n"/>
      <c r="B26" s="10" t="n"/>
      <c r="C26" s="18">
        <f>IF(B26="","",INT((B26-Setup!$B$6)/7)+1)</f>
        <v/>
      </c>
      <c r="D26" s="7">
        <f>IF(C26="","",IF(AND(C26&gt;=1,C26&lt;=Setup!$B$5),"yes","no"))</f>
        <v/>
      </c>
    </row>
    <row r="27">
      <c r="A27" s="12" t="n"/>
      <c r="B27" s="10" t="n"/>
      <c r="C27" s="18">
        <f>IF(B27="","",INT((B27-Setup!$B$6)/7)+1)</f>
        <v/>
      </c>
      <c r="D27" s="7">
        <f>IF(C27="","",IF(AND(C27&gt;=1,C27&lt;=Setup!$B$5),"yes","no"))</f>
        <v/>
      </c>
    </row>
    <row r="28">
      <c r="A28" s="12" t="n"/>
      <c r="B28" s="10" t="n"/>
      <c r="C28" s="18">
        <f>IF(B28="","",INT((B28-Setup!$B$6)/7)+1)</f>
        <v/>
      </c>
      <c r="D28" s="7">
        <f>IF(C28="","",IF(AND(C28&gt;=1,C28&lt;=Setup!$B$5),"yes","no"))</f>
        <v/>
      </c>
    </row>
    <row r="29">
      <c r="A29" s="12" t="n"/>
      <c r="B29" s="10" t="n"/>
      <c r="C29" s="18">
        <f>IF(B29="","",INT((B29-Setup!$B$6)/7)+1)</f>
        <v/>
      </c>
      <c r="D29" s="7">
        <f>IF(C29="","",IF(AND(C29&gt;=1,C29&lt;=Setup!$B$5),"yes","no"))</f>
        <v/>
      </c>
    </row>
    <row r="30">
      <c r="A30" s="12" t="n"/>
      <c r="B30" s="10" t="n"/>
      <c r="C30" s="18">
        <f>IF(B30="","",INT((B30-Setup!$B$6)/7)+1)</f>
        <v/>
      </c>
      <c r="D30" s="7">
        <f>IF(C30="","",IF(AND(C30&gt;=1,C30&lt;=Setup!$B$5),"yes","no"))</f>
        <v/>
      </c>
    </row>
    <row r="31">
      <c r="A31" s="12" t="n"/>
      <c r="B31" s="10" t="n"/>
      <c r="C31" s="18">
        <f>IF(B31="","",INT((B31-Setup!$B$6)/7)+1)</f>
        <v/>
      </c>
      <c r="D31" s="7">
        <f>IF(C31="","",IF(AND(C31&gt;=1,C31&lt;=Setup!$B$5),"yes","no"))</f>
        <v/>
      </c>
    </row>
    <row r="32">
      <c r="A32" s="12" t="n"/>
      <c r="B32" s="10" t="n"/>
      <c r="C32" s="18">
        <f>IF(B32="","",INT((B32-Setup!$B$6)/7)+1)</f>
        <v/>
      </c>
      <c r="D32" s="7">
        <f>IF(C32="","",IF(AND(C32&gt;=1,C32&lt;=Setup!$B$5),"yes","no"))</f>
        <v/>
      </c>
    </row>
    <row r="33">
      <c r="A33" s="12" t="n"/>
      <c r="B33" s="10" t="n"/>
      <c r="C33" s="18">
        <f>IF(B33="","",INT((B33-Setup!$B$6)/7)+1)</f>
        <v/>
      </c>
      <c r="D33" s="7">
        <f>IF(C33="","",IF(AND(C33&gt;=1,C33&lt;=Setup!$B$5),"yes","no"))</f>
        <v/>
      </c>
    </row>
    <row r="34">
      <c r="A34" s="12" t="n"/>
      <c r="B34" s="10" t="n"/>
      <c r="C34" s="18">
        <f>IF(B34="","",INT((B34-Setup!$B$6)/7)+1)</f>
        <v/>
      </c>
      <c r="D34" s="7">
        <f>IF(C34="","",IF(AND(C34&gt;=1,C34&lt;=Setup!$B$5),"yes","no"))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2026-10-18T16:52:55Z</dcterms:created>
  <dcterms:modified xmlns:dcterms="http://purl.org/dc/terms/" xmlns:xsi="http://www.w3.org/2001/XMLSchema-instance" xsi:type="dcterms:W3CDTF">2026-10-18T16:52:56Z</dcterms:modified>
</cp:coreProperties>
</file>