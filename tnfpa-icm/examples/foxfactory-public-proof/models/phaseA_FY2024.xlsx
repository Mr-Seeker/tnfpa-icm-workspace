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A</t>
        </is>
      </c>
    </row>
    <row r="26">
      <c r="A26" s="2" t="inlineStr">
        <is>
          <t>FY2024 driven by ACTUAL reported drivers (segments → channels, blended COGS%, WC days on a 360-day basis, D&amp;A, capex, interest-implied term loan at 7%). Validates arithmetic, not forecast skill. Tax is 0 here: impairment and discrete tax items are a documented bridge (output/reconciliation.md).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IF(COUNTIF(C5:C38,"PASS")=COUNT(A5:A38),"PASS","FAIL")</f>
        <v/>
      </c>
      <c r="D3" s="6">
        <f>COUNTIF(C5:C38,"PASS")&amp;" pass / "&amp;COUNTIF(C5:C38,"FAIL")&amp;" fail / "&amp;(COUNT(A5:A38)-COUNTIF(C5:C38,"PASS")-COUNTIF(C5:C38,"FAIL"))&amp;"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net_sales vs reported (1%) = 1,393,921,000.00 (tolerance 13,939,210.0)</t>
        </is>
      </c>
      <c r="C33" s="6">
        <f>IF(ABS((Summary!B5)-(1393921000.0))&lt;=13939210.0,"PASS","FAIL")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gross_profit vs reported (1%) = 423,576,000.00 (tolerance 4,235,760.0)</t>
        </is>
      </c>
      <c r="C34" s="6">
        <f>IF(ABS((Summary!B7)-(423576000.0))&lt;=4235760.0,"PASS","FAIL")</f>
        <v/>
      </c>
      <c r="D34" s="6">
        <f>ROUND(Summary!B7,2)</f>
        <v/>
      </c>
    </row>
    <row r="35">
      <c r="A35" t="n">
        <v>31</v>
      </c>
      <c r="B35" t="inlineStr">
        <is>
          <t>GOLDEN parity: engine EBITDA vs total segment Adjusted EBITDA (1%) = 223,375,000.00 (tolerance 2,233,750.0)</t>
        </is>
      </c>
      <c r="C35" s="6">
        <f>IF(ABS((Summary!B9)-(223375000.0))&lt;=2233750.0,"PASS","FAIL")</f>
        <v/>
      </c>
      <c r="D35" s="6">
        <f>ROUND(Summary!B9,2)</f>
        <v/>
      </c>
    </row>
    <row r="36">
      <c r="A36" t="n">
        <v>32</v>
      </c>
      <c r="B36" t="inlineStr">
        <is>
          <t>GOLDEN parity: D&amp;A vs reported (1%) = 83,566,000.00 (tolerance 835,660.0)</t>
        </is>
      </c>
      <c r="C36" s="6">
        <f>IF(ABS((Summary!B10)-(83566000.0))&lt;=835660.0,"PASS","FAIL")</f>
        <v/>
      </c>
      <c r="D36" s="6">
        <f>ROUND(Summary!B10,2)</f>
        <v/>
      </c>
    </row>
    <row r="37">
      <c r="A37" t="n">
        <v>33</v>
      </c>
      <c r="B37" t="inlineStr">
        <is>
          <t>GOLDEN parity: capex vs reported (1%) = 44,040,000.00 (tolerance 440,400.0)</t>
        </is>
      </c>
      <c r="C37" s="6">
        <f>IF(ABS((Summary!B17)-(44040000.0))&lt;=440400.0,"PASS","FAIL")</f>
        <v/>
      </c>
      <c r="D37" s="6">
        <f>ROUND(Summary!B17,2)</f>
        <v/>
      </c>
    </row>
    <row r="38">
      <c r="A38" t="n">
        <v>34</v>
      </c>
      <c r="B38" t="inlineStr">
        <is>
          <t>GOLDEN parity: operating cash flow before tax vs reported proxy (1%) = 227,365,000.00 (tolerance 2,273,650.0)</t>
        </is>
      </c>
      <c r="C38" s="6">
        <f>IF(ABS((Summary!B9+Summary!B15)-(227365000.0))&lt;=2273650.0,"PASS","FAIL")</f>
        <v/>
      </c>
      <c r="D38" s="6">
        <f>ROUND(Summary!B9+Summary!B15,2)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FY2024 (normalized)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45292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6963833.333333333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3670000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42.82719035009875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50.38282260433145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150.157892296039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83642000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171060000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104150000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371841000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461403000</v>
      </c>
      <c r="D26" s="15" t="n">
        <v>0</v>
      </c>
      <c r="E26" s="15" t="n">
        <v>0.6961262510572694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421453000</v>
      </c>
      <c r="D27" s="15" t="n">
        <v>0</v>
      </c>
      <c r="E27" s="15" t="n">
        <v>0.6961262510572694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511065000</v>
      </c>
      <c r="D28" s="15" t="n">
        <v>0</v>
      </c>
      <c r="E28" s="15" t="n">
        <v>0.6961262510572694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16683416.66666667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784885714.2857143</v>
      </c>
      <c r="E53" s="12" t="n">
        <v>0.07000000000000001</v>
      </c>
      <c r="F53" s="13" t="n">
        <v>0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2026-10-18T16:52:57Z</dcterms:created>
  <dcterms:modified xmlns:dcterms="http://purl.org/dc/terms/" xmlns:xsi="http://www.w3.org/2001/XMLSchema-instance" xsi:type="dcterms:W3CDTF">2026-10-18T16:52:59Z</dcterms:modified>
</cp:coreProperties>
</file>