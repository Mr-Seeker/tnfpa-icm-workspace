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Objective" sheetId="3" state="visible" r:id="rId3"/>
    <sheet xmlns:r="http://schemas.openxmlformats.org/officeDocument/2006/relationships" name="Epochs" sheetId="4" state="visible" r:id="rId4"/>
    <sheet xmlns:r="http://schemas.openxmlformats.org/officeDocument/2006/relationships" name="Promotion" sheetId="5" state="visible" r:id="rId5"/>
  </sheets>
  <definedNames>
    <definedName name="ep_gain_col">'Epochs'!$AW$5:$AW$44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2" fontId="4" fillId="3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5" fontId="4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K05 · Research Loop Evaluator - champion vs challenger (no-code kernel)</t>
        </is>
      </c>
    </row>
    <row r="2"/>
    <row r="3">
      <c r="A3" s="2" t="inlineStr">
        <is>
          <t>Replaces openfpa: pyfpa.research (ResearchObjective, evaluate_challenger, ResearchEpoch status rules, register_challenger, promote_challenger with recompute guard).</t>
        </is>
      </c>
    </row>
    <row r="4">
      <c r="A4" s="3" t="inlineStr">
        <is>
          <t>Evaluation (identical maths)</t>
        </is>
      </c>
    </row>
    <row r="5">
      <c r="A5" s="2" t="inlineStr">
        <is>
          <t>For each objective metric: if champion = 0 -&gt; improvement 0 when challenger = 0, else -1 (lower-is-better) or +1 (higher-is-better).</t>
        </is>
      </c>
    </row>
    <row r="6">
      <c r="A6" s="2" t="inlineStr">
        <is>
          <t>Otherwise improvement = (champion - challenger)/|champion| for lower-is-better, (challenger - champion)/|champion| for higher-is-better.</t>
        </is>
      </c>
    </row>
    <row r="7">
      <c r="A7" s="2" t="inlineStr">
        <is>
          <t>Regression guard (on the RAW improvement): fails if any raw improvement &lt; -max_metric_regression. Then clamp to [-1, +1].</t>
        </is>
      </c>
    </row>
    <row r="8">
      <c r="A8" s="2" t="inlineStr">
        <is>
          <t>weighted_improvement = sum(weight/total_weight x clamped improvement); complexity_cost = complexity_penalty x max(0, challenger_complexity - champion_complexity); objective_gain = weighted - cost.</t>
        </is>
      </c>
    </row>
    <row r="9">
      <c r="A9" s="2" t="inlineStr">
        <is>
          <t>hard_checks_passed = every objective hard check present with result 'pass' (a missing check is an ERROR). promotion_eligible = hard checks AND guard AND objective_gain &gt;= min_improvement.</t>
        </is>
      </c>
    </row>
    <row r="10">
      <c r="A10" s="3" t="inlineStr">
        <is>
          <t>Status rules</t>
        </is>
      </c>
    </row>
    <row r="11">
      <c r="A11" s="2" t="inlineStr">
        <is>
          <t>generated needs no evaluation; evaluated/discarded/proposed/promoted need one; only promotion-eligible epochs may be proposed or promoted. Weak or failed challengers are marked discarded and KEPT.</t>
        </is>
      </c>
    </row>
    <row r="12">
      <c r="A12" s="3" t="inlineStr">
        <is>
          <t>Promotion (human gate)</t>
        </is>
      </c>
    </row>
    <row r="13">
      <c r="A13" s="2" t="inlineStr">
        <is>
          <t>Promotion requires: approved_by non-blank, epoch status proposed, eligible on RECOMPUTE from the stored metrics (guards against hand-edited files), epoch challenger = registry challenger, challenger source_epoch = epoch_id. Then the old champion moves to retired and a promotion row is appended.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4" t="inlineStr">
        <is>
          <t>OVERALL</t>
        </is>
      </c>
      <c r="C3" s="5">
        <f>IF(COUNTIF(C5:C8,"PASS")=COUNT(A5:A8),"PASS","FAIL")</f>
        <v/>
      </c>
      <c r="D3" s="6">
        <f>COUNTIF(C5:C8,"PASS")&amp;" pass / "&amp;COUNTIF(C5:C8,"FAIL")&amp;" fail / "&amp;(COUNT(A5:A8)-COUNTIF(C5:C8,"PASS")-COUNTIF(C5:C8,"FAIL"))&amp;"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objective has &gt;= 1 metric and positive weights</t>
        </is>
      </c>
      <c r="C5" s="6">
        <f>IF(AND(COUNTA(Objective!A5:A12)&gt;=1,COUNTIF(Objective!B5:B12,"&lt;=0")=0),"PASS","FAIL")</f>
        <v/>
      </c>
    </row>
    <row r="6">
      <c r="A6" t="n">
        <v>2</v>
      </c>
      <c r="B6" t="inlineStr">
        <is>
          <t>metric names unique</t>
        </is>
      </c>
      <c r="C6" s="6">
        <f>IF(SUMPRODUCT((Objective!A5:A12&lt;&gt;"")/COUNTIF(Objective!A5:A12,Objective!A5:A12&amp;""))=COUNTA(Objective!A5:A12),"PASS","FAIL")</f>
        <v/>
      </c>
    </row>
    <row r="7">
      <c r="A7" t="n">
        <v>3</v>
      </c>
      <c r="B7" t="inlineStr">
        <is>
          <t>min_improvement and complexity_penalty &gt;= 0; max_metric_regression blank or &gt; 0</t>
        </is>
      </c>
      <c r="C7" s="6">
        <f>IF(AND(Objective!B22&gt;=0,Objective!B23&gt;=0,OR(Objective!B24="",Objective!B24&gt;0)),"PASS","FAIL")</f>
        <v/>
      </c>
    </row>
    <row r="8">
      <c r="A8" t="n">
        <v>4</v>
      </c>
      <c r="B8" t="inlineStr">
        <is>
          <t>every epoch's requested status is consistent with its evaluation</t>
        </is>
      </c>
      <c r="C8" s="6">
        <f>IF(COUNTIF(Epochs!BA5:BA44,FALSE)=0,"PASS","FAIL")</f>
        <v/>
      </c>
    </row>
  </sheetData>
  <conditionalFormatting sqref="C3:C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</cols>
  <sheetData>
    <row r="1">
      <c r="A1" s="1" t="inlineStr">
        <is>
          <t>Objective (memory/research/objective.md)</t>
        </is>
      </c>
    </row>
    <row r="2"/>
    <row r="3"/>
    <row r="4">
      <c r="A4" s="7" t="inlineStr">
        <is>
          <t>metric</t>
        </is>
      </c>
      <c r="B4" s="7" t="inlineStr">
        <is>
          <t>weight</t>
        </is>
      </c>
      <c r="C4" s="7" t="inlineStr">
        <is>
          <t>direction (lower/higher)</t>
        </is>
      </c>
    </row>
    <row r="5">
      <c r="A5" s="8" t="inlineStr">
        <is>
          <t>revenue_error</t>
        </is>
      </c>
      <c r="B5" s="9" t="n">
        <v>0.3</v>
      </c>
      <c r="C5" s="8" t="inlineStr">
        <is>
          <t>lower</t>
        </is>
      </c>
    </row>
    <row r="6">
      <c r="A6" s="8" t="inlineStr">
        <is>
          <t>gross_profit_error</t>
        </is>
      </c>
      <c r="B6" s="9" t="n">
        <v>0.2</v>
      </c>
      <c r="C6" s="8" t="inlineStr">
        <is>
          <t>lower</t>
        </is>
      </c>
    </row>
    <row r="7">
      <c r="A7" s="8" t="inlineStr">
        <is>
          <t>adjusted_ebitda_error</t>
        </is>
      </c>
      <c r="B7" s="9" t="n">
        <v>0.3</v>
      </c>
      <c r="C7" s="8" t="inlineStr">
        <is>
          <t>lower</t>
        </is>
      </c>
    </row>
    <row r="8">
      <c r="A8" s="8" t="inlineStr">
        <is>
          <t>working_capital_balance_error</t>
        </is>
      </c>
      <c r="B8" s="9" t="n">
        <v>0.2</v>
      </c>
      <c r="C8" s="8" t="inlineStr">
        <is>
          <t>lower</t>
        </is>
      </c>
    </row>
    <row r="9">
      <c r="A9" s="8" t="n"/>
      <c r="B9" s="9" t="n"/>
      <c r="C9" s="8" t="n"/>
    </row>
    <row r="10">
      <c r="A10" s="8" t="n"/>
      <c r="B10" s="9" t="n"/>
      <c r="C10" s="8" t="n"/>
    </row>
    <row r="11">
      <c r="A11" s="8" t="n"/>
      <c r="B11" s="9" t="n"/>
      <c r="C11" s="8" t="n"/>
    </row>
    <row r="12">
      <c r="A12" s="8" t="n"/>
      <c r="B12" s="9" t="n"/>
      <c r="C12" s="8" t="n"/>
    </row>
    <row r="13"/>
    <row r="14">
      <c r="A14" s="7" t="inlineStr">
        <is>
          <t>hard check name</t>
        </is>
      </c>
    </row>
    <row r="15">
      <c r="A15" s="8" t="inlineStr">
        <is>
          <t>holdout separation</t>
        </is>
      </c>
    </row>
    <row r="16">
      <c r="A16" s="8" t="inlineStr">
        <is>
          <t>segment rollup</t>
        </is>
      </c>
    </row>
    <row r="17">
      <c r="A17" s="8" t="inlineStr">
        <is>
          <t>working capital continuity</t>
        </is>
      </c>
    </row>
    <row r="18">
      <c r="A18" s="8" t="n"/>
    </row>
    <row r="19">
      <c r="A19" s="8" t="n"/>
    </row>
    <row r="20">
      <c r="A20" s="8" t="n"/>
    </row>
    <row r="21"/>
    <row r="22">
      <c r="A22" t="inlineStr">
        <is>
          <t>min_improvement (&gt;=0)</t>
        </is>
      </c>
      <c r="B22" s="10" t="n">
        <v>0.02</v>
      </c>
    </row>
    <row r="23">
      <c r="A23" t="inlineStr">
        <is>
          <t>complexity_penalty (&gt;=0)</t>
        </is>
      </c>
      <c r="B23" s="10" t="n">
        <v>0.01</v>
      </c>
    </row>
    <row r="24">
      <c r="A24" t="inlineStr">
        <is>
          <t>max_metric_regression (&gt;0, blank = off)</t>
        </is>
      </c>
      <c r="B24" s="10" t="n">
        <v>0.5</v>
      </c>
    </row>
    <row r="25">
      <c r="A25" t="inlineStr">
        <is>
          <t>total weight</t>
        </is>
      </c>
      <c r="B25" s="11">
        <f>SUM(B5:B12)</f>
        <v/>
      </c>
    </row>
  </sheetData>
  <dataValidations count="1">
    <dataValidation sqref="C5:C12" showDropDown="0" showInputMessage="0" showErrorMessage="0" allowBlank="1" type="list">
      <formula1>"lower,higher"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0" customWidth="1" min="4" max="4"/>
  </cols>
  <sheetData>
    <row r="1">
      <c r="A1" s="1" t="inlineStr">
        <is>
          <t>Epochs - one row per memory/research/epochs/&lt;epoch_id&gt;.md (champion vs challenger)</t>
        </is>
      </c>
    </row>
    <row r="2"/>
    <row r="3">
      <c r="I3">
        <f>Objective!A5</f>
        <v/>
      </c>
      <c r="J3">
        <f>Objective!A6</f>
        <v/>
      </c>
      <c r="K3">
        <f>Objective!A7</f>
        <v/>
      </c>
      <c r="L3">
        <f>Objective!A8</f>
        <v/>
      </c>
      <c r="M3">
        <f>Objective!A9</f>
        <v/>
      </c>
      <c r="N3">
        <f>Objective!A10</f>
        <v/>
      </c>
      <c r="O3">
        <f>Objective!A11</f>
        <v/>
      </c>
      <c r="P3">
        <f>Objective!A12</f>
        <v/>
      </c>
      <c r="Q3">
        <f>Objective!A5</f>
        <v/>
      </c>
      <c r="R3">
        <f>Objective!A6</f>
        <v/>
      </c>
      <c r="S3">
        <f>Objective!A7</f>
        <v/>
      </c>
      <c r="T3">
        <f>Objective!A8</f>
        <v/>
      </c>
      <c r="U3">
        <f>Objective!A9</f>
        <v/>
      </c>
      <c r="V3">
        <f>Objective!A10</f>
        <v/>
      </c>
      <c r="W3">
        <f>Objective!A11</f>
        <v/>
      </c>
      <c r="X3">
        <f>Objective!A12</f>
        <v/>
      </c>
      <c r="Y3">
        <f>Objective!A15</f>
        <v/>
      </c>
      <c r="Z3">
        <f>Objective!A16</f>
        <v/>
      </c>
      <c r="AA3">
        <f>Objective!A17</f>
        <v/>
      </c>
      <c r="AB3">
        <f>Objective!A18</f>
        <v/>
      </c>
      <c r="AC3">
        <f>Objective!A19</f>
        <v/>
      </c>
      <c r="AD3">
        <f>Objective!A20</f>
        <v/>
      </c>
    </row>
    <row r="4">
      <c r="A4" s="7" t="inlineStr">
        <is>
          <t>epoch_id</t>
        </is>
      </c>
      <c r="B4" s="7" t="inlineStr">
        <is>
          <t>created</t>
        </is>
      </c>
      <c r="C4" s="7" t="inlineStr">
        <is>
          <t>requested status</t>
        </is>
      </c>
      <c r="D4" s="7" t="inlineStr">
        <is>
          <t>hypothesis</t>
        </is>
      </c>
      <c r="E4" s="7" t="inlineStr">
        <is>
          <t>champion_id</t>
        </is>
      </c>
      <c r="F4" s="7" t="inlineStr">
        <is>
          <t>challenger_id</t>
        </is>
      </c>
      <c r="G4" s="7" t="inlineStr">
        <is>
          <t>champion complexity</t>
        </is>
      </c>
      <c r="H4" s="7" t="inlineStr">
        <is>
          <t>challenger complexity</t>
        </is>
      </c>
      <c r="I4" s="7" t="inlineStr">
        <is>
          <t>champion m1</t>
        </is>
      </c>
      <c r="J4" s="7" t="inlineStr">
        <is>
          <t>champion m2</t>
        </is>
      </c>
      <c r="K4" s="7" t="inlineStr">
        <is>
          <t>champion m3</t>
        </is>
      </c>
      <c r="L4" s="7" t="inlineStr">
        <is>
          <t>champion m4</t>
        </is>
      </c>
      <c r="M4" s="7" t="inlineStr">
        <is>
          <t>champion m5</t>
        </is>
      </c>
      <c r="N4" s="7" t="inlineStr">
        <is>
          <t>champion m6</t>
        </is>
      </c>
      <c r="O4" s="7" t="inlineStr">
        <is>
          <t>champion m7</t>
        </is>
      </c>
      <c r="P4" s="7" t="inlineStr">
        <is>
          <t>champion m8</t>
        </is>
      </c>
      <c r="Q4" s="7" t="inlineStr">
        <is>
          <t>challenger m1</t>
        </is>
      </c>
      <c r="R4" s="7" t="inlineStr">
        <is>
          <t>challenger m2</t>
        </is>
      </c>
      <c r="S4" s="7" t="inlineStr">
        <is>
          <t>challenger m3</t>
        </is>
      </c>
      <c r="T4" s="7" t="inlineStr">
        <is>
          <t>challenger m4</t>
        </is>
      </c>
      <c r="U4" s="7" t="inlineStr">
        <is>
          <t>challenger m5</t>
        </is>
      </c>
      <c r="V4" s="7" t="inlineStr">
        <is>
          <t>challenger m6</t>
        </is>
      </c>
      <c r="W4" s="7" t="inlineStr">
        <is>
          <t>challenger m7</t>
        </is>
      </c>
      <c r="X4" s="7" t="inlineStr">
        <is>
          <t>challenger m8</t>
        </is>
      </c>
      <c r="Y4" s="7" t="inlineStr">
        <is>
          <t>check 1 result</t>
        </is>
      </c>
      <c r="Z4" s="7" t="inlineStr">
        <is>
          <t>check 2 result</t>
        </is>
      </c>
      <c r="AA4" s="7" t="inlineStr">
        <is>
          <t>check 3 result</t>
        </is>
      </c>
      <c r="AB4" s="7" t="inlineStr">
        <is>
          <t>check 4 result</t>
        </is>
      </c>
      <c r="AC4" s="7" t="inlineStr">
        <is>
          <t>check 5 result</t>
        </is>
      </c>
      <c r="AD4" s="7" t="inlineStr">
        <is>
          <t>check 6 result</t>
        </is>
      </c>
      <c r="AE4" s="7" t="inlineStr">
        <is>
          <t>raw impr m1</t>
        </is>
      </c>
      <c r="AF4" s="7" t="inlineStr">
        <is>
          <t>raw impr m2</t>
        </is>
      </c>
      <c r="AG4" s="7" t="inlineStr">
        <is>
          <t>raw impr m3</t>
        </is>
      </c>
      <c r="AH4" s="7" t="inlineStr">
        <is>
          <t>raw impr m4</t>
        </is>
      </c>
      <c r="AI4" s="7" t="inlineStr">
        <is>
          <t>raw impr m5</t>
        </is>
      </c>
      <c r="AJ4" s="7" t="inlineStr">
        <is>
          <t>raw impr m6</t>
        </is>
      </c>
      <c r="AK4" s="7" t="inlineStr">
        <is>
          <t>raw impr m7</t>
        </is>
      </c>
      <c r="AL4" s="7" t="inlineStr">
        <is>
          <t>raw impr m8</t>
        </is>
      </c>
      <c r="AM4" s="7" t="inlineStr">
        <is>
          <t>clamped m1</t>
        </is>
      </c>
      <c r="AN4" s="7" t="inlineStr">
        <is>
          <t>clamped m2</t>
        </is>
      </c>
      <c r="AO4" s="7" t="inlineStr">
        <is>
          <t>clamped m3</t>
        </is>
      </c>
      <c r="AP4" s="7" t="inlineStr">
        <is>
          <t>clamped m4</t>
        </is>
      </c>
      <c r="AQ4" s="7" t="inlineStr">
        <is>
          <t>clamped m5</t>
        </is>
      </c>
      <c r="AR4" s="7" t="inlineStr">
        <is>
          <t>clamped m6</t>
        </is>
      </c>
      <c r="AS4" s="7" t="inlineStr">
        <is>
          <t>clamped m7</t>
        </is>
      </c>
      <c r="AT4" s="7" t="inlineStr">
        <is>
          <t>clamped m8</t>
        </is>
      </c>
      <c r="AU4" s="7" t="inlineStr">
        <is>
          <t>weighted_improvement</t>
        </is>
      </c>
      <c r="AV4" s="7" t="inlineStr">
        <is>
          <t>complexity_cost</t>
        </is>
      </c>
      <c r="AW4" s="7" t="inlineStr">
        <is>
          <t>objective_gain</t>
        </is>
      </c>
      <c r="AX4" s="7" t="inlineStr">
        <is>
          <t>hard_checks_passed</t>
        </is>
      </c>
      <c r="AY4" s="7" t="inlineStr">
        <is>
          <t>regression_guard_passed</t>
        </is>
      </c>
      <c r="AZ4" s="7" t="inlineStr">
        <is>
          <t>promotion_eligible</t>
        </is>
      </c>
      <c r="BA4" s="7" t="inlineStr">
        <is>
          <t>status valid?</t>
        </is>
      </c>
      <c r="BB4" s="7" t="inlineStr">
        <is>
          <t>suggested status</t>
        </is>
      </c>
    </row>
    <row r="5">
      <c r="A5" s="8" t="inlineStr">
        <is>
          <t>foxf-fy2025-001-broad-mean-reversion</t>
        </is>
      </c>
      <c r="B5" s="8" t="inlineStr">
        <is>
          <t>2026-06-09</t>
        </is>
      </c>
      <c r="C5" s="8" t="inlineStr">
        <is>
          <t>discarded</t>
        </is>
      </c>
      <c r="D5" s="8" t="inlineStr">
        <is>
          <t>After the FY2024 trough, both segment revenue and margins recover halfway toward FY2023.</t>
        </is>
      </c>
      <c r="E5" s="8" t="inlineStr">
        <is>
          <t>foxf-flat-fy2024-run-rate</t>
        </is>
      </c>
      <c r="F5" s="8" t="inlineStr">
        <is>
          <t>foxf-broad-half-mean-reversion</t>
        </is>
      </c>
      <c r="G5" s="8" t="n">
        <v>1</v>
      </c>
      <c r="H5" s="8" t="n">
        <v>1.1</v>
      </c>
      <c r="I5" s="12" t="n">
        <v>0.05002313740483523</v>
      </c>
      <c r="J5" s="12" t="n">
        <v>0.04437931898016257</v>
      </c>
      <c r="K5" s="12" t="n">
        <v>0.01027497407994896</v>
      </c>
      <c r="L5" s="12" t="n">
        <v>0.07038772042962037</v>
      </c>
      <c r="M5" s="12" t="n"/>
      <c r="N5" s="12" t="n"/>
      <c r="O5" s="12" t="n"/>
      <c r="P5" s="12" t="n"/>
      <c r="Q5" s="12" t="n">
        <v>0.02608256816334018</v>
      </c>
      <c r="R5" s="12" t="n">
        <v>0.001598294044893374</v>
      </c>
      <c r="S5" s="12" t="n">
        <v>0.2039435621042006</v>
      </c>
      <c r="T5" s="12" t="n">
        <v>0.06349156763815528</v>
      </c>
      <c r="U5" s="12" t="n"/>
      <c r="V5" s="12" t="n"/>
      <c r="W5" s="12" t="n"/>
      <c r="X5" s="12" t="n"/>
      <c r="Y5" s="8" t="inlineStr">
        <is>
          <t>pass</t>
        </is>
      </c>
      <c r="Z5" s="8" t="inlineStr">
        <is>
          <t>pass</t>
        </is>
      </c>
      <c r="AA5" s="8" t="inlineStr">
        <is>
          <t>pass</t>
        </is>
      </c>
      <c r="AB5" s="8" t="n"/>
      <c r="AC5" s="8" t="n"/>
      <c r="AD5" s="8" t="n"/>
      <c r="AE5" s="13">
        <f>IF(OR($A5="",Objective!$A$5=""),"",IF(I5=0,IF(Q5=0,0,IF(Objective!$C$5="lower",-1,1)),IF(Objective!$C$5="lower",(I5-Q5)/ABS(I5),(Q5-I5)/ABS(I5))))</f>
        <v/>
      </c>
      <c r="AF5" s="13">
        <f>IF(OR($A5="",Objective!$A$6=""),"",IF(J5=0,IF(R5=0,0,IF(Objective!$C$6="lower",-1,1)),IF(Objective!$C$6="lower",(J5-R5)/ABS(J5),(R5-J5)/ABS(J5))))</f>
        <v/>
      </c>
      <c r="AG5" s="13">
        <f>IF(OR($A5="",Objective!$A$7=""),"",IF(K5=0,IF(S5=0,0,IF(Objective!$C$7="lower",-1,1)),IF(Objective!$C$7="lower",(K5-S5)/ABS(K5),(S5-K5)/ABS(K5))))</f>
        <v/>
      </c>
      <c r="AH5" s="13">
        <f>IF(OR($A5="",Objective!$A$8=""),"",IF(L5=0,IF(T5=0,0,IF(Objective!$C$8="lower",-1,1)),IF(Objective!$C$8="lower",(L5-T5)/ABS(L5),(T5-L5)/ABS(L5))))</f>
        <v/>
      </c>
      <c r="AI5" s="13">
        <f>IF(OR($A5="",Objective!$A$9=""),"",IF(M5=0,IF(U5=0,0,IF(Objective!$C$9="lower",-1,1)),IF(Objective!$C$9="lower",(M5-U5)/ABS(M5),(U5-M5)/ABS(M5))))</f>
        <v/>
      </c>
      <c r="AJ5" s="13">
        <f>IF(OR($A5="",Objective!$A$10=""),"",IF(N5=0,IF(V5=0,0,IF(Objective!$C$10="lower",-1,1)),IF(Objective!$C$10="lower",(N5-V5)/ABS(N5),(V5-N5)/ABS(N5))))</f>
        <v/>
      </c>
      <c r="AK5" s="13">
        <f>IF(OR($A5="",Objective!$A$11=""),"",IF(O5=0,IF(W5=0,0,IF(Objective!$C$11="lower",-1,1)),IF(Objective!$C$11="lower",(O5-W5)/ABS(O5),(W5-O5)/ABS(O5))))</f>
        <v/>
      </c>
      <c r="AL5" s="13">
        <f>IF(OR($A5="",Objective!$A$12=""),"",IF(P5=0,IF(X5=0,0,IF(Objective!$C$12="lower",-1,1)),IF(Objective!$C$12="lower",(P5-X5)/ABS(P5),(X5-P5)/ABS(P5))))</f>
        <v/>
      </c>
      <c r="AM5" s="13">
        <f>IF(AE5="","",MAX(-1,MIN(1,AE5)))</f>
        <v/>
      </c>
      <c r="AN5" s="13">
        <f>IF(AF5="","",MAX(-1,MIN(1,AF5)))</f>
        <v/>
      </c>
      <c r="AO5" s="13">
        <f>IF(AG5="","",MAX(-1,MIN(1,AG5)))</f>
        <v/>
      </c>
      <c r="AP5" s="13">
        <f>IF(AH5="","",MAX(-1,MIN(1,AH5)))</f>
        <v/>
      </c>
      <c r="AQ5" s="13">
        <f>IF(AI5="","",MAX(-1,MIN(1,AI5)))</f>
        <v/>
      </c>
      <c r="AR5" s="13">
        <f>IF(AJ5="","",MAX(-1,MIN(1,AJ5)))</f>
        <v/>
      </c>
      <c r="AS5" s="13">
        <f>IF(AK5="","",MAX(-1,MIN(1,AK5)))</f>
        <v/>
      </c>
      <c r="AT5" s="13">
        <f>IF(AL5="","",MAX(-1,MIN(1,AL5)))</f>
        <v/>
      </c>
      <c r="AU5" s="13">
        <f>IF($A5="","",IF(AM5="",0,Objective!$B$5/Objective!$B$25*AM5)+IF(AN5="",0,Objective!$B$6/Objective!$B$25*AN5)+IF(AO5="",0,Objective!$B$7/Objective!$B$25*AO5)+IF(AP5="",0,Objective!$B$8/Objective!$B$25*AP5)+IF(AQ5="",0,Objective!$B$9/Objective!$B$25*AQ5)+IF(AR5="",0,Objective!$B$10/Objective!$B$25*AR5)+IF(AS5="",0,Objective!$B$11/Objective!$B$25*AS5)+IF(AT5="",0,Objective!$B$12/Objective!$B$25*AT5))</f>
        <v/>
      </c>
      <c r="AV5" s="13">
        <f>IF($A5="","",Objective!$B$23*MAX(0,N($H5)-N($G5)))</f>
        <v/>
      </c>
      <c r="AW5" s="13">
        <f>IF($A5="","",AU5-AV5)</f>
        <v/>
      </c>
      <c r="AX5" s="6">
        <f>IF($A5="","",AND(OR(Objective!$A$15="",LOWER(Y5)="pass"),OR(Objective!$A$16="",LOWER(Z5)="pass"),OR(Objective!$A$17="",LOWER(AA5)="pass"),OR(Objective!$A$18="",LOWER(AB5)="pass"),OR(Objective!$A$19="",LOWER(AC5)="pass"),OR(Objective!$A$20="",LOWER(AD5)="pass")))</f>
        <v/>
      </c>
      <c r="AY5" s="6">
        <f>IF($A5="","",AND(OR(AE5="",Objective!$B$24="",AE5&gt;=-Objective!$B$24),OR(AF5="",Objective!$B$24="",AF5&gt;=-Objective!$B$24),OR(AG5="",Objective!$B$24="",AG5&gt;=-Objective!$B$24),OR(AH5="",Objective!$B$24="",AH5&gt;=-Objective!$B$24),OR(AI5="",Objective!$B$24="",AI5&gt;=-Objective!$B$24),OR(AJ5="",Objective!$B$24="",AJ5&gt;=-Objective!$B$24),OR(AK5="",Objective!$B$24="",AK5&gt;=-Objective!$B$24),OR(AL5="",Objective!$B$24="",AL5&gt;=-Objective!$B$24)))</f>
        <v/>
      </c>
      <c r="AZ5" s="6">
        <f>IF($A5="","",AND(AX5,AY5,AW5&gt;=Objective!$B$22))</f>
        <v/>
      </c>
      <c r="BA5" s="6">
        <f>IF($A5="","",IF(OR(LOWER($C5)="generated",LOWER($C5)="evaluated",LOWER($C5)="discarded"),TRUE,IF(OR(LOWER($C5)="proposed",LOWER($C5)="promoted"),AZ5,FALSE)))</f>
        <v/>
      </c>
      <c r="BB5" s="6">
        <f>IF($A5="","",IF(AZ5,"proposed (eligible - present to human)","discarded (keep the record and the reason)"))</f>
        <v/>
      </c>
    </row>
    <row r="6">
      <c r="A6" s="8" t="inlineStr">
        <is>
          <t>foxf-fy2025-002-slow-margin-recovery</t>
        </is>
      </c>
      <c r="B6" s="8" t="inlineStr">
        <is>
          <t>2026-06-09</t>
        </is>
      </c>
      <c r="C6" s="8" t="inlineStr">
        <is>
          <t>proposed</t>
        </is>
      </c>
      <c r="D6" s="8" t="inlineStr">
        <is>
          <t>After the FY2024 trough, segment revenue partially mean-reverts toward FY2023 while margins recover much more slowly.</t>
        </is>
      </c>
      <c r="E6" s="8" t="inlineStr">
        <is>
          <t>foxf-flat-fy2024-run-rate</t>
        </is>
      </c>
      <c r="F6" s="8" t="inlineStr">
        <is>
          <t>foxf-revenue-recovery-slow-margin</t>
        </is>
      </c>
      <c r="G6" s="8" t="n">
        <v>1</v>
      </c>
      <c r="H6" s="8" t="n">
        <v>1.1</v>
      </c>
      <c r="I6" s="12" t="n">
        <v>0.05002313740483523</v>
      </c>
      <c r="J6" s="12" t="n">
        <v>0.04437931898016257</v>
      </c>
      <c r="K6" s="12" t="n">
        <v>0.01027497407994896</v>
      </c>
      <c r="L6" s="12" t="n">
        <v>0.07038772042962037</v>
      </c>
      <c r="M6" s="12" t="n"/>
      <c r="N6" s="12" t="n"/>
      <c r="O6" s="12" t="n"/>
      <c r="P6" s="12" t="n"/>
      <c r="Q6" s="12" t="n">
        <v>0.02608256816334018</v>
      </c>
      <c r="R6" s="12" t="n">
        <v>0.001598294044893374</v>
      </c>
      <c r="S6" s="12" t="n">
        <v>0.001396480319165562</v>
      </c>
      <c r="T6" s="12" t="n">
        <v>0.06349156763815528</v>
      </c>
      <c r="U6" s="12" t="n"/>
      <c r="V6" s="12" t="n"/>
      <c r="W6" s="12" t="n"/>
      <c r="X6" s="12" t="n"/>
      <c r="Y6" s="8" t="inlineStr">
        <is>
          <t>pass</t>
        </is>
      </c>
      <c r="Z6" s="8" t="inlineStr">
        <is>
          <t>pass</t>
        </is>
      </c>
      <c r="AA6" s="8" t="inlineStr">
        <is>
          <t>pass</t>
        </is>
      </c>
      <c r="AB6" s="8" t="n"/>
      <c r="AC6" s="8" t="n"/>
      <c r="AD6" s="8" t="n"/>
      <c r="AE6" s="13">
        <f>IF(OR($A6="",Objective!$A$5=""),"",IF(I6=0,IF(Q6=0,0,IF(Objective!$C$5="lower",-1,1)),IF(Objective!$C$5="lower",(I6-Q6)/ABS(I6),(Q6-I6)/ABS(I6))))</f>
        <v/>
      </c>
      <c r="AF6" s="13">
        <f>IF(OR($A6="",Objective!$A$6=""),"",IF(J6=0,IF(R6=0,0,IF(Objective!$C$6="lower",-1,1)),IF(Objective!$C$6="lower",(J6-R6)/ABS(J6),(R6-J6)/ABS(J6))))</f>
        <v/>
      </c>
      <c r="AG6" s="13">
        <f>IF(OR($A6="",Objective!$A$7=""),"",IF(K6=0,IF(S6=0,0,IF(Objective!$C$7="lower",-1,1)),IF(Objective!$C$7="lower",(K6-S6)/ABS(K6),(S6-K6)/ABS(K6))))</f>
        <v/>
      </c>
      <c r="AH6" s="13">
        <f>IF(OR($A6="",Objective!$A$8=""),"",IF(L6=0,IF(T6=0,0,IF(Objective!$C$8="lower",-1,1)),IF(Objective!$C$8="lower",(L6-T6)/ABS(L6),(T6-L6)/ABS(L6))))</f>
        <v/>
      </c>
      <c r="AI6" s="13">
        <f>IF(OR($A6="",Objective!$A$9=""),"",IF(M6=0,IF(U6=0,0,IF(Objective!$C$9="lower",-1,1)),IF(Objective!$C$9="lower",(M6-U6)/ABS(M6),(U6-M6)/ABS(M6))))</f>
        <v/>
      </c>
      <c r="AJ6" s="13">
        <f>IF(OR($A6="",Objective!$A$10=""),"",IF(N6=0,IF(V6=0,0,IF(Objective!$C$10="lower",-1,1)),IF(Objective!$C$10="lower",(N6-V6)/ABS(N6),(V6-N6)/ABS(N6))))</f>
        <v/>
      </c>
      <c r="AK6" s="13">
        <f>IF(OR($A6="",Objective!$A$11=""),"",IF(O6=0,IF(W6=0,0,IF(Objective!$C$11="lower",-1,1)),IF(Objective!$C$11="lower",(O6-W6)/ABS(O6),(W6-O6)/ABS(O6))))</f>
        <v/>
      </c>
      <c r="AL6" s="13">
        <f>IF(OR($A6="",Objective!$A$12=""),"",IF(P6=0,IF(X6=0,0,IF(Objective!$C$12="lower",-1,1)),IF(Objective!$C$12="lower",(P6-X6)/ABS(P6),(X6-P6)/ABS(P6))))</f>
        <v/>
      </c>
      <c r="AM6" s="13">
        <f>IF(AE6="","",MAX(-1,MIN(1,AE6)))</f>
        <v/>
      </c>
      <c r="AN6" s="13">
        <f>IF(AF6="","",MAX(-1,MIN(1,AF6)))</f>
        <v/>
      </c>
      <c r="AO6" s="13">
        <f>IF(AG6="","",MAX(-1,MIN(1,AG6)))</f>
        <v/>
      </c>
      <c r="AP6" s="13">
        <f>IF(AH6="","",MAX(-1,MIN(1,AH6)))</f>
        <v/>
      </c>
      <c r="AQ6" s="13">
        <f>IF(AI6="","",MAX(-1,MIN(1,AI6)))</f>
        <v/>
      </c>
      <c r="AR6" s="13">
        <f>IF(AJ6="","",MAX(-1,MIN(1,AJ6)))</f>
        <v/>
      </c>
      <c r="AS6" s="13">
        <f>IF(AK6="","",MAX(-1,MIN(1,AK6)))</f>
        <v/>
      </c>
      <c r="AT6" s="13">
        <f>IF(AL6="","",MAX(-1,MIN(1,AL6)))</f>
        <v/>
      </c>
      <c r="AU6" s="13">
        <f>IF($A6="","",IF(AM6="",0,Objective!$B$5/Objective!$B$25*AM6)+IF(AN6="",0,Objective!$B$6/Objective!$B$25*AN6)+IF(AO6="",0,Objective!$B$7/Objective!$B$25*AO6)+IF(AP6="",0,Objective!$B$8/Objective!$B$25*AP6)+IF(AQ6="",0,Objective!$B$9/Objective!$B$25*AQ6)+IF(AR6="",0,Objective!$B$10/Objective!$B$25*AR6)+IF(AS6="",0,Objective!$B$11/Objective!$B$25*AS6)+IF(AT6="",0,Objective!$B$12/Objective!$B$25*AT6))</f>
        <v/>
      </c>
      <c r="AV6" s="13">
        <f>IF($A6="","",Objective!$B$23*MAX(0,N($H6)-N($G6)))</f>
        <v/>
      </c>
      <c r="AW6" s="13">
        <f>IF($A6="","",AU6-AV6)</f>
        <v/>
      </c>
      <c r="AX6" s="6">
        <f>IF($A6="","",AND(OR(Objective!$A$15="",LOWER(Y6)="pass"),OR(Objective!$A$16="",LOWER(Z6)="pass"),OR(Objective!$A$17="",LOWER(AA6)="pass"),OR(Objective!$A$18="",LOWER(AB6)="pass"),OR(Objective!$A$19="",LOWER(AC6)="pass"),OR(Objective!$A$20="",LOWER(AD6)="pass")))</f>
        <v/>
      </c>
      <c r="AY6" s="6">
        <f>IF($A6="","",AND(OR(AE6="",Objective!$B$24="",AE6&gt;=-Objective!$B$24),OR(AF6="",Objective!$B$24="",AF6&gt;=-Objective!$B$24),OR(AG6="",Objective!$B$24="",AG6&gt;=-Objective!$B$24),OR(AH6="",Objective!$B$24="",AH6&gt;=-Objective!$B$24),OR(AI6="",Objective!$B$24="",AI6&gt;=-Objective!$B$24),OR(AJ6="",Objective!$B$24="",AJ6&gt;=-Objective!$B$24),OR(AK6="",Objective!$B$24="",AK6&gt;=-Objective!$B$24),OR(AL6="",Objective!$B$24="",AL6&gt;=-Objective!$B$24)))</f>
        <v/>
      </c>
      <c r="AZ6" s="6">
        <f>IF($A6="","",AND(AX6,AY6,AW6&gt;=Objective!$B$22))</f>
        <v/>
      </c>
      <c r="BA6" s="6">
        <f>IF($A6="","",IF(OR(LOWER($C6)="generated",LOWER($C6)="evaluated",LOWER($C6)="discarded"),TRUE,IF(OR(LOWER($C6)="proposed",LOWER($C6)="promoted"),AZ6,FALSE)))</f>
        <v/>
      </c>
      <c r="BB6" s="6">
        <f>IF($A6="","",IF(AZ6,"proposed (eligible - present to human)","discarded (keep the record and the reason)"))</f>
        <v/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8" t="n"/>
      <c r="Z7" s="8" t="n"/>
      <c r="AA7" s="8" t="n"/>
      <c r="AB7" s="8" t="n"/>
      <c r="AC7" s="8" t="n"/>
      <c r="AD7" s="8" t="n"/>
      <c r="AE7" s="13">
        <f>IF(OR($A7="",Objective!$A$5=""),"",IF(I7=0,IF(Q7=0,0,IF(Objective!$C$5="lower",-1,1)),IF(Objective!$C$5="lower",(I7-Q7)/ABS(I7),(Q7-I7)/ABS(I7))))</f>
        <v/>
      </c>
      <c r="AF7" s="13">
        <f>IF(OR($A7="",Objective!$A$6=""),"",IF(J7=0,IF(R7=0,0,IF(Objective!$C$6="lower",-1,1)),IF(Objective!$C$6="lower",(J7-R7)/ABS(J7),(R7-J7)/ABS(J7))))</f>
        <v/>
      </c>
      <c r="AG7" s="13">
        <f>IF(OR($A7="",Objective!$A$7=""),"",IF(K7=0,IF(S7=0,0,IF(Objective!$C$7="lower",-1,1)),IF(Objective!$C$7="lower",(K7-S7)/ABS(K7),(S7-K7)/ABS(K7))))</f>
        <v/>
      </c>
      <c r="AH7" s="13">
        <f>IF(OR($A7="",Objective!$A$8=""),"",IF(L7=0,IF(T7=0,0,IF(Objective!$C$8="lower",-1,1)),IF(Objective!$C$8="lower",(L7-T7)/ABS(L7),(T7-L7)/ABS(L7))))</f>
        <v/>
      </c>
      <c r="AI7" s="13">
        <f>IF(OR($A7="",Objective!$A$9=""),"",IF(M7=0,IF(U7=0,0,IF(Objective!$C$9="lower",-1,1)),IF(Objective!$C$9="lower",(M7-U7)/ABS(M7),(U7-M7)/ABS(M7))))</f>
        <v/>
      </c>
      <c r="AJ7" s="13">
        <f>IF(OR($A7="",Objective!$A$10=""),"",IF(N7=0,IF(V7=0,0,IF(Objective!$C$10="lower",-1,1)),IF(Objective!$C$10="lower",(N7-V7)/ABS(N7),(V7-N7)/ABS(N7))))</f>
        <v/>
      </c>
      <c r="AK7" s="13">
        <f>IF(OR($A7="",Objective!$A$11=""),"",IF(O7=0,IF(W7=0,0,IF(Objective!$C$11="lower",-1,1)),IF(Objective!$C$11="lower",(O7-W7)/ABS(O7),(W7-O7)/ABS(O7))))</f>
        <v/>
      </c>
      <c r="AL7" s="13">
        <f>IF(OR($A7="",Objective!$A$12=""),"",IF(P7=0,IF(X7=0,0,IF(Objective!$C$12="lower",-1,1)),IF(Objective!$C$12="lower",(P7-X7)/ABS(P7),(X7-P7)/ABS(P7))))</f>
        <v/>
      </c>
      <c r="AM7" s="13">
        <f>IF(AE7="","",MAX(-1,MIN(1,AE7)))</f>
        <v/>
      </c>
      <c r="AN7" s="13">
        <f>IF(AF7="","",MAX(-1,MIN(1,AF7)))</f>
        <v/>
      </c>
      <c r="AO7" s="13">
        <f>IF(AG7="","",MAX(-1,MIN(1,AG7)))</f>
        <v/>
      </c>
      <c r="AP7" s="13">
        <f>IF(AH7="","",MAX(-1,MIN(1,AH7)))</f>
        <v/>
      </c>
      <c r="AQ7" s="13">
        <f>IF(AI7="","",MAX(-1,MIN(1,AI7)))</f>
        <v/>
      </c>
      <c r="AR7" s="13">
        <f>IF(AJ7="","",MAX(-1,MIN(1,AJ7)))</f>
        <v/>
      </c>
      <c r="AS7" s="13">
        <f>IF(AK7="","",MAX(-1,MIN(1,AK7)))</f>
        <v/>
      </c>
      <c r="AT7" s="13">
        <f>IF(AL7="","",MAX(-1,MIN(1,AL7)))</f>
        <v/>
      </c>
      <c r="AU7" s="13">
        <f>IF($A7="","",IF(AM7="",0,Objective!$B$5/Objective!$B$25*AM7)+IF(AN7="",0,Objective!$B$6/Objective!$B$25*AN7)+IF(AO7="",0,Objective!$B$7/Objective!$B$25*AO7)+IF(AP7="",0,Objective!$B$8/Objective!$B$25*AP7)+IF(AQ7="",0,Objective!$B$9/Objective!$B$25*AQ7)+IF(AR7="",0,Objective!$B$10/Objective!$B$25*AR7)+IF(AS7="",0,Objective!$B$11/Objective!$B$25*AS7)+IF(AT7="",0,Objective!$B$12/Objective!$B$25*AT7))</f>
        <v/>
      </c>
      <c r="AV7" s="13">
        <f>IF($A7="","",Objective!$B$23*MAX(0,N($H7)-N($G7)))</f>
        <v/>
      </c>
      <c r="AW7" s="13">
        <f>IF($A7="","",AU7-AV7)</f>
        <v/>
      </c>
      <c r="AX7" s="6">
        <f>IF($A7="","",AND(OR(Objective!$A$15="",LOWER(Y7)="pass"),OR(Objective!$A$16="",LOWER(Z7)="pass"),OR(Objective!$A$17="",LOWER(AA7)="pass"),OR(Objective!$A$18="",LOWER(AB7)="pass"),OR(Objective!$A$19="",LOWER(AC7)="pass"),OR(Objective!$A$20="",LOWER(AD7)="pass")))</f>
        <v/>
      </c>
      <c r="AY7" s="6">
        <f>IF($A7="","",AND(OR(AE7="",Objective!$B$24="",AE7&gt;=-Objective!$B$24),OR(AF7="",Objective!$B$24="",AF7&gt;=-Objective!$B$24),OR(AG7="",Objective!$B$24="",AG7&gt;=-Objective!$B$24),OR(AH7="",Objective!$B$24="",AH7&gt;=-Objective!$B$24),OR(AI7="",Objective!$B$24="",AI7&gt;=-Objective!$B$24),OR(AJ7="",Objective!$B$24="",AJ7&gt;=-Objective!$B$24),OR(AK7="",Objective!$B$24="",AK7&gt;=-Objective!$B$24),OR(AL7="",Objective!$B$24="",AL7&gt;=-Objective!$B$24)))</f>
        <v/>
      </c>
      <c r="AZ7" s="6">
        <f>IF($A7="","",AND(AX7,AY7,AW7&gt;=Objective!$B$22))</f>
        <v/>
      </c>
      <c r="BA7" s="6">
        <f>IF($A7="","",IF(OR(LOWER($C7)="generated",LOWER($C7)="evaluated",LOWER($C7)="discarded"),TRUE,IF(OR(LOWER($C7)="proposed",LOWER($C7)="promoted"),AZ7,FALSE)))</f>
        <v/>
      </c>
      <c r="BB7" s="6">
        <f>IF($A7="","",IF(AZ7,"proposed (eligible - present to human)","discarded (keep the record and the reason)"))</f>
        <v/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8" t="n"/>
      <c r="Z8" s="8" t="n"/>
      <c r="AA8" s="8" t="n"/>
      <c r="AB8" s="8" t="n"/>
      <c r="AC8" s="8" t="n"/>
      <c r="AD8" s="8" t="n"/>
      <c r="AE8" s="13">
        <f>IF(OR($A8="",Objective!$A$5=""),"",IF(I8=0,IF(Q8=0,0,IF(Objective!$C$5="lower",-1,1)),IF(Objective!$C$5="lower",(I8-Q8)/ABS(I8),(Q8-I8)/ABS(I8))))</f>
        <v/>
      </c>
      <c r="AF8" s="13">
        <f>IF(OR($A8="",Objective!$A$6=""),"",IF(J8=0,IF(R8=0,0,IF(Objective!$C$6="lower",-1,1)),IF(Objective!$C$6="lower",(J8-R8)/ABS(J8),(R8-J8)/ABS(J8))))</f>
        <v/>
      </c>
      <c r="AG8" s="13">
        <f>IF(OR($A8="",Objective!$A$7=""),"",IF(K8=0,IF(S8=0,0,IF(Objective!$C$7="lower",-1,1)),IF(Objective!$C$7="lower",(K8-S8)/ABS(K8),(S8-K8)/ABS(K8))))</f>
        <v/>
      </c>
      <c r="AH8" s="13">
        <f>IF(OR($A8="",Objective!$A$8=""),"",IF(L8=0,IF(T8=0,0,IF(Objective!$C$8="lower",-1,1)),IF(Objective!$C$8="lower",(L8-T8)/ABS(L8),(T8-L8)/ABS(L8))))</f>
        <v/>
      </c>
      <c r="AI8" s="13">
        <f>IF(OR($A8="",Objective!$A$9=""),"",IF(M8=0,IF(U8=0,0,IF(Objective!$C$9="lower",-1,1)),IF(Objective!$C$9="lower",(M8-U8)/ABS(M8),(U8-M8)/ABS(M8))))</f>
        <v/>
      </c>
      <c r="AJ8" s="13">
        <f>IF(OR($A8="",Objective!$A$10=""),"",IF(N8=0,IF(V8=0,0,IF(Objective!$C$10="lower",-1,1)),IF(Objective!$C$10="lower",(N8-V8)/ABS(N8),(V8-N8)/ABS(N8))))</f>
        <v/>
      </c>
      <c r="AK8" s="13">
        <f>IF(OR($A8="",Objective!$A$11=""),"",IF(O8=0,IF(W8=0,0,IF(Objective!$C$11="lower",-1,1)),IF(Objective!$C$11="lower",(O8-W8)/ABS(O8),(W8-O8)/ABS(O8))))</f>
        <v/>
      </c>
      <c r="AL8" s="13">
        <f>IF(OR($A8="",Objective!$A$12=""),"",IF(P8=0,IF(X8=0,0,IF(Objective!$C$12="lower",-1,1)),IF(Objective!$C$12="lower",(P8-X8)/ABS(P8),(X8-P8)/ABS(P8))))</f>
        <v/>
      </c>
      <c r="AM8" s="13">
        <f>IF(AE8="","",MAX(-1,MIN(1,AE8)))</f>
        <v/>
      </c>
      <c r="AN8" s="13">
        <f>IF(AF8="","",MAX(-1,MIN(1,AF8)))</f>
        <v/>
      </c>
      <c r="AO8" s="13">
        <f>IF(AG8="","",MAX(-1,MIN(1,AG8)))</f>
        <v/>
      </c>
      <c r="AP8" s="13">
        <f>IF(AH8="","",MAX(-1,MIN(1,AH8)))</f>
        <v/>
      </c>
      <c r="AQ8" s="13">
        <f>IF(AI8="","",MAX(-1,MIN(1,AI8)))</f>
        <v/>
      </c>
      <c r="AR8" s="13">
        <f>IF(AJ8="","",MAX(-1,MIN(1,AJ8)))</f>
        <v/>
      </c>
      <c r="AS8" s="13">
        <f>IF(AK8="","",MAX(-1,MIN(1,AK8)))</f>
        <v/>
      </c>
      <c r="AT8" s="13">
        <f>IF(AL8="","",MAX(-1,MIN(1,AL8)))</f>
        <v/>
      </c>
      <c r="AU8" s="13">
        <f>IF($A8="","",IF(AM8="",0,Objective!$B$5/Objective!$B$25*AM8)+IF(AN8="",0,Objective!$B$6/Objective!$B$25*AN8)+IF(AO8="",0,Objective!$B$7/Objective!$B$25*AO8)+IF(AP8="",0,Objective!$B$8/Objective!$B$25*AP8)+IF(AQ8="",0,Objective!$B$9/Objective!$B$25*AQ8)+IF(AR8="",0,Objective!$B$10/Objective!$B$25*AR8)+IF(AS8="",0,Objective!$B$11/Objective!$B$25*AS8)+IF(AT8="",0,Objective!$B$12/Objective!$B$25*AT8))</f>
        <v/>
      </c>
      <c r="AV8" s="13">
        <f>IF($A8="","",Objective!$B$23*MAX(0,N($H8)-N($G8)))</f>
        <v/>
      </c>
      <c r="AW8" s="13">
        <f>IF($A8="","",AU8-AV8)</f>
        <v/>
      </c>
      <c r="AX8" s="6">
        <f>IF($A8="","",AND(OR(Objective!$A$15="",LOWER(Y8)="pass"),OR(Objective!$A$16="",LOWER(Z8)="pass"),OR(Objective!$A$17="",LOWER(AA8)="pass"),OR(Objective!$A$18="",LOWER(AB8)="pass"),OR(Objective!$A$19="",LOWER(AC8)="pass"),OR(Objective!$A$20="",LOWER(AD8)="pass")))</f>
        <v/>
      </c>
      <c r="AY8" s="6">
        <f>IF($A8="","",AND(OR(AE8="",Objective!$B$24="",AE8&gt;=-Objective!$B$24),OR(AF8="",Objective!$B$24="",AF8&gt;=-Objective!$B$24),OR(AG8="",Objective!$B$24="",AG8&gt;=-Objective!$B$24),OR(AH8="",Objective!$B$24="",AH8&gt;=-Objective!$B$24),OR(AI8="",Objective!$B$24="",AI8&gt;=-Objective!$B$24),OR(AJ8="",Objective!$B$24="",AJ8&gt;=-Objective!$B$24),OR(AK8="",Objective!$B$24="",AK8&gt;=-Objective!$B$24),OR(AL8="",Objective!$B$24="",AL8&gt;=-Objective!$B$24)))</f>
        <v/>
      </c>
      <c r="AZ8" s="6">
        <f>IF($A8="","",AND(AX8,AY8,AW8&gt;=Objective!$B$22))</f>
        <v/>
      </c>
      <c r="BA8" s="6">
        <f>IF($A8="","",IF(OR(LOWER($C8)="generated",LOWER($C8)="evaluated",LOWER($C8)="discarded"),TRUE,IF(OR(LOWER($C8)="proposed",LOWER($C8)="promoted"),AZ8,FALSE)))</f>
        <v/>
      </c>
      <c r="BB8" s="6">
        <f>IF($A8="","",IF(AZ8,"proposed (eligible - present to human)","discarded (keep the record and the reason)"))</f>
        <v/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8" t="n"/>
      <c r="Z9" s="8" t="n"/>
      <c r="AA9" s="8" t="n"/>
      <c r="AB9" s="8" t="n"/>
      <c r="AC9" s="8" t="n"/>
      <c r="AD9" s="8" t="n"/>
      <c r="AE9" s="13">
        <f>IF(OR($A9="",Objective!$A$5=""),"",IF(I9=0,IF(Q9=0,0,IF(Objective!$C$5="lower",-1,1)),IF(Objective!$C$5="lower",(I9-Q9)/ABS(I9),(Q9-I9)/ABS(I9))))</f>
        <v/>
      </c>
      <c r="AF9" s="13">
        <f>IF(OR($A9="",Objective!$A$6=""),"",IF(J9=0,IF(R9=0,0,IF(Objective!$C$6="lower",-1,1)),IF(Objective!$C$6="lower",(J9-R9)/ABS(J9),(R9-J9)/ABS(J9))))</f>
        <v/>
      </c>
      <c r="AG9" s="13">
        <f>IF(OR($A9="",Objective!$A$7=""),"",IF(K9=0,IF(S9=0,0,IF(Objective!$C$7="lower",-1,1)),IF(Objective!$C$7="lower",(K9-S9)/ABS(K9),(S9-K9)/ABS(K9))))</f>
        <v/>
      </c>
      <c r="AH9" s="13">
        <f>IF(OR($A9="",Objective!$A$8=""),"",IF(L9=0,IF(T9=0,0,IF(Objective!$C$8="lower",-1,1)),IF(Objective!$C$8="lower",(L9-T9)/ABS(L9),(T9-L9)/ABS(L9))))</f>
        <v/>
      </c>
      <c r="AI9" s="13">
        <f>IF(OR($A9="",Objective!$A$9=""),"",IF(M9=0,IF(U9=0,0,IF(Objective!$C$9="lower",-1,1)),IF(Objective!$C$9="lower",(M9-U9)/ABS(M9),(U9-M9)/ABS(M9))))</f>
        <v/>
      </c>
      <c r="AJ9" s="13">
        <f>IF(OR($A9="",Objective!$A$10=""),"",IF(N9=0,IF(V9=0,0,IF(Objective!$C$10="lower",-1,1)),IF(Objective!$C$10="lower",(N9-V9)/ABS(N9),(V9-N9)/ABS(N9))))</f>
        <v/>
      </c>
      <c r="AK9" s="13">
        <f>IF(OR($A9="",Objective!$A$11=""),"",IF(O9=0,IF(W9=0,0,IF(Objective!$C$11="lower",-1,1)),IF(Objective!$C$11="lower",(O9-W9)/ABS(O9),(W9-O9)/ABS(O9))))</f>
        <v/>
      </c>
      <c r="AL9" s="13">
        <f>IF(OR($A9="",Objective!$A$12=""),"",IF(P9=0,IF(X9=0,0,IF(Objective!$C$12="lower",-1,1)),IF(Objective!$C$12="lower",(P9-X9)/ABS(P9),(X9-P9)/ABS(P9))))</f>
        <v/>
      </c>
      <c r="AM9" s="13">
        <f>IF(AE9="","",MAX(-1,MIN(1,AE9)))</f>
        <v/>
      </c>
      <c r="AN9" s="13">
        <f>IF(AF9="","",MAX(-1,MIN(1,AF9)))</f>
        <v/>
      </c>
      <c r="AO9" s="13">
        <f>IF(AG9="","",MAX(-1,MIN(1,AG9)))</f>
        <v/>
      </c>
      <c r="AP9" s="13">
        <f>IF(AH9="","",MAX(-1,MIN(1,AH9)))</f>
        <v/>
      </c>
      <c r="AQ9" s="13">
        <f>IF(AI9="","",MAX(-1,MIN(1,AI9)))</f>
        <v/>
      </c>
      <c r="AR9" s="13">
        <f>IF(AJ9="","",MAX(-1,MIN(1,AJ9)))</f>
        <v/>
      </c>
      <c r="AS9" s="13">
        <f>IF(AK9="","",MAX(-1,MIN(1,AK9)))</f>
        <v/>
      </c>
      <c r="AT9" s="13">
        <f>IF(AL9="","",MAX(-1,MIN(1,AL9)))</f>
        <v/>
      </c>
      <c r="AU9" s="13">
        <f>IF($A9="","",IF(AM9="",0,Objective!$B$5/Objective!$B$25*AM9)+IF(AN9="",0,Objective!$B$6/Objective!$B$25*AN9)+IF(AO9="",0,Objective!$B$7/Objective!$B$25*AO9)+IF(AP9="",0,Objective!$B$8/Objective!$B$25*AP9)+IF(AQ9="",0,Objective!$B$9/Objective!$B$25*AQ9)+IF(AR9="",0,Objective!$B$10/Objective!$B$25*AR9)+IF(AS9="",0,Objective!$B$11/Objective!$B$25*AS9)+IF(AT9="",0,Objective!$B$12/Objective!$B$25*AT9))</f>
        <v/>
      </c>
      <c r="AV9" s="13">
        <f>IF($A9="","",Objective!$B$23*MAX(0,N($H9)-N($G9)))</f>
        <v/>
      </c>
      <c r="AW9" s="13">
        <f>IF($A9="","",AU9-AV9)</f>
        <v/>
      </c>
      <c r="AX9" s="6">
        <f>IF($A9="","",AND(OR(Objective!$A$15="",LOWER(Y9)="pass"),OR(Objective!$A$16="",LOWER(Z9)="pass"),OR(Objective!$A$17="",LOWER(AA9)="pass"),OR(Objective!$A$18="",LOWER(AB9)="pass"),OR(Objective!$A$19="",LOWER(AC9)="pass"),OR(Objective!$A$20="",LOWER(AD9)="pass")))</f>
        <v/>
      </c>
      <c r="AY9" s="6">
        <f>IF($A9="","",AND(OR(AE9="",Objective!$B$24="",AE9&gt;=-Objective!$B$24),OR(AF9="",Objective!$B$24="",AF9&gt;=-Objective!$B$24),OR(AG9="",Objective!$B$24="",AG9&gt;=-Objective!$B$24),OR(AH9="",Objective!$B$24="",AH9&gt;=-Objective!$B$24),OR(AI9="",Objective!$B$24="",AI9&gt;=-Objective!$B$24),OR(AJ9="",Objective!$B$24="",AJ9&gt;=-Objective!$B$24),OR(AK9="",Objective!$B$24="",AK9&gt;=-Objective!$B$24),OR(AL9="",Objective!$B$24="",AL9&gt;=-Objective!$B$24)))</f>
        <v/>
      </c>
      <c r="AZ9" s="6">
        <f>IF($A9="","",AND(AX9,AY9,AW9&gt;=Objective!$B$22))</f>
        <v/>
      </c>
      <c r="BA9" s="6">
        <f>IF($A9="","",IF(OR(LOWER($C9)="generated",LOWER($C9)="evaluated",LOWER($C9)="discarded"),TRUE,IF(OR(LOWER($C9)="proposed",LOWER($C9)="promoted"),AZ9,FALSE)))</f>
        <v/>
      </c>
      <c r="BB9" s="6">
        <f>IF($A9="","",IF(AZ9,"proposed (eligible - present to human)","discarded (keep the record and the reason)"))</f>
        <v/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8" t="n"/>
      <c r="Z10" s="8" t="n"/>
      <c r="AA10" s="8" t="n"/>
      <c r="AB10" s="8" t="n"/>
      <c r="AC10" s="8" t="n"/>
      <c r="AD10" s="8" t="n"/>
      <c r="AE10" s="13">
        <f>IF(OR($A10="",Objective!$A$5=""),"",IF(I10=0,IF(Q10=0,0,IF(Objective!$C$5="lower",-1,1)),IF(Objective!$C$5="lower",(I10-Q10)/ABS(I10),(Q10-I10)/ABS(I10))))</f>
        <v/>
      </c>
      <c r="AF10" s="13">
        <f>IF(OR($A10="",Objective!$A$6=""),"",IF(J10=0,IF(R10=0,0,IF(Objective!$C$6="lower",-1,1)),IF(Objective!$C$6="lower",(J10-R10)/ABS(J10),(R10-J10)/ABS(J10))))</f>
        <v/>
      </c>
      <c r="AG10" s="13">
        <f>IF(OR($A10="",Objective!$A$7=""),"",IF(K10=0,IF(S10=0,0,IF(Objective!$C$7="lower",-1,1)),IF(Objective!$C$7="lower",(K10-S10)/ABS(K10),(S10-K10)/ABS(K10))))</f>
        <v/>
      </c>
      <c r="AH10" s="13">
        <f>IF(OR($A10="",Objective!$A$8=""),"",IF(L10=0,IF(T10=0,0,IF(Objective!$C$8="lower",-1,1)),IF(Objective!$C$8="lower",(L10-T10)/ABS(L10),(T10-L10)/ABS(L10))))</f>
        <v/>
      </c>
      <c r="AI10" s="13">
        <f>IF(OR($A10="",Objective!$A$9=""),"",IF(M10=0,IF(U10=0,0,IF(Objective!$C$9="lower",-1,1)),IF(Objective!$C$9="lower",(M10-U10)/ABS(M10),(U10-M10)/ABS(M10))))</f>
        <v/>
      </c>
      <c r="AJ10" s="13">
        <f>IF(OR($A10="",Objective!$A$10=""),"",IF(N10=0,IF(V10=0,0,IF(Objective!$C$10="lower",-1,1)),IF(Objective!$C$10="lower",(N10-V10)/ABS(N10),(V10-N10)/ABS(N10))))</f>
        <v/>
      </c>
      <c r="AK10" s="13">
        <f>IF(OR($A10="",Objective!$A$11=""),"",IF(O10=0,IF(W10=0,0,IF(Objective!$C$11="lower",-1,1)),IF(Objective!$C$11="lower",(O10-W10)/ABS(O10),(W10-O10)/ABS(O10))))</f>
        <v/>
      </c>
      <c r="AL10" s="13">
        <f>IF(OR($A10="",Objective!$A$12=""),"",IF(P10=0,IF(X10=0,0,IF(Objective!$C$12="lower",-1,1)),IF(Objective!$C$12="lower",(P10-X10)/ABS(P10),(X10-P10)/ABS(P10))))</f>
        <v/>
      </c>
      <c r="AM10" s="13">
        <f>IF(AE10="","",MAX(-1,MIN(1,AE10)))</f>
        <v/>
      </c>
      <c r="AN10" s="13">
        <f>IF(AF10="","",MAX(-1,MIN(1,AF10)))</f>
        <v/>
      </c>
      <c r="AO10" s="13">
        <f>IF(AG10="","",MAX(-1,MIN(1,AG10)))</f>
        <v/>
      </c>
      <c r="AP10" s="13">
        <f>IF(AH10="","",MAX(-1,MIN(1,AH10)))</f>
        <v/>
      </c>
      <c r="AQ10" s="13">
        <f>IF(AI10="","",MAX(-1,MIN(1,AI10)))</f>
        <v/>
      </c>
      <c r="AR10" s="13">
        <f>IF(AJ10="","",MAX(-1,MIN(1,AJ10)))</f>
        <v/>
      </c>
      <c r="AS10" s="13">
        <f>IF(AK10="","",MAX(-1,MIN(1,AK10)))</f>
        <v/>
      </c>
      <c r="AT10" s="13">
        <f>IF(AL10="","",MAX(-1,MIN(1,AL10)))</f>
        <v/>
      </c>
      <c r="AU10" s="13">
        <f>IF($A10="","",IF(AM10="",0,Objective!$B$5/Objective!$B$25*AM10)+IF(AN10="",0,Objective!$B$6/Objective!$B$25*AN10)+IF(AO10="",0,Objective!$B$7/Objective!$B$25*AO10)+IF(AP10="",0,Objective!$B$8/Objective!$B$25*AP10)+IF(AQ10="",0,Objective!$B$9/Objective!$B$25*AQ10)+IF(AR10="",0,Objective!$B$10/Objective!$B$25*AR10)+IF(AS10="",0,Objective!$B$11/Objective!$B$25*AS10)+IF(AT10="",0,Objective!$B$12/Objective!$B$25*AT10))</f>
        <v/>
      </c>
      <c r="AV10" s="13">
        <f>IF($A10="","",Objective!$B$23*MAX(0,N($H10)-N($G10)))</f>
        <v/>
      </c>
      <c r="AW10" s="13">
        <f>IF($A10="","",AU10-AV10)</f>
        <v/>
      </c>
      <c r="AX10" s="6">
        <f>IF($A10="","",AND(OR(Objective!$A$15="",LOWER(Y10)="pass"),OR(Objective!$A$16="",LOWER(Z10)="pass"),OR(Objective!$A$17="",LOWER(AA10)="pass"),OR(Objective!$A$18="",LOWER(AB10)="pass"),OR(Objective!$A$19="",LOWER(AC10)="pass"),OR(Objective!$A$20="",LOWER(AD10)="pass")))</f>
        <v/>
      </c>
      <c r="AY10" s="6">
        <f>IF($A10="","",AND(OR(AE10="",Objective!$B$24="",AE10&gt;=-Objective!$B$24),OR(AF10="",Objective!$B$24="",AF10&gt;=-Objective!$B$24),OR(AG10="",Objective!$B$24="",AG10&gt;=-Objective!$B$24),OR(AH10="",Objective!$B$24="",AH10&gt;=-Objective!$B$24),OR(AI10="",Objective!$B$24="",AI10&gt;=-Objective!$B$24),OR(AJ10="",Objective!$B$24="",AJ10&gt;=-Objective!$B$24),OR(AK10="",Objective!$B$24="",AK10&gt;=-Objective!$B$24),OR(AL10="",Objective!$B$24="",AL10&gt;=-Objective!$B$24)))</f>
        <v/>
      </c>
      <c r="AZ10" s="6">
        <f>IF($A10="","",AND(AX10,AY10,AW10&gt;=Objective!$B$22))</f>
        <v/>
      </c>
      <c r="BA10" s="6">
        <f>IF($A10="","",IF(OR(LOWER($C10)="generated",LOWER($C10)="evaluated",LOWER($C10)="discarded"),TRUE,IF(OR(LOWER($C10)="proposed",LOWER($C10)="promoted"),AZ10,FALSE)))</f>
        <v/>
      </c>
      <c r="BB10" s="6">
        <f>IF($A10="","",IF(AZ10,"proposed (eligible - present to human)","discarded (keep the record and the reason)"))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8" t="n"/>
      <c r="Z11" s="8" t="n"/>
      <c r="AA11" s="8" t="n"/>
      <c r="AB11" s="8" t="n"/>
      <c r="AC11" s="8" t="n"/>
      <c r="AD11" s="8" t="n"/>
      <c r="AE11" s="13">
        <f>IF(OR($A11="",Objective!$A$5=""),"",IF(I11=0,IF(Q11=0,0,IF(Objective!$C$5="lower",-1,1)),IF(Objective!$C$5="lower",(I11-Q11)/ABS(I11),(Q11-I11)/ABS(I11))))</f>
        <v/>
      </c>
      <c r="AF11" s="13">
        <f>IF(OR($A11="",Objective!$A$6=""),"",IF(J11=0,IF(R11=0,0,IF(Objective!$C$6="lower",-1,1)),IF(Objective!$C$6="lower",(J11-R11)/ABS(J11),(R11-J11)/ABS(J11))))</f>
        <v/>
      </c>
      <c r="AG11" s="13">
        <f>IF(OR($A11="",Objective!$A$7=""),"",IF(K11=0,IF(S11=0,0,IF(Objective!$C$7="lower",-1,1)),IF(Objective!$C$7="lower",(K11-S11)/ABS(K11),(S11-K11)/ABS(K11))))</f>
        <v/>
      </c>
      <c r="AH11" s="13">
        <f>IF(OR($A11="",Objective!$A$8=""),"",IF(L11=0,IF(T11=0,0,IF(Objective!$C$8="lower",-1,1)),IF(Objective!$C$8="lower",(L11-T11)/ABS(L11),(T11-L11)/ABS(L11))))</f>
        <v/>
      </c>
      <c r="AI11" s="13">
        <f>IF(OR($A11="",Objective!$A$9=""),"",IF(M11=0,IF(U11=0,0,IF(Objective!$C$9="lower",-1,1)),IF(Objective!$C$9="lower",(M11-U11)/ABS(M11),(U11-M11)/ABS(M11))))</f>
        <v/>
      </c>
      <c r="AJ11" s="13">
        <f>IF(OR($A11="",Objective!$A$10=""),"",IF(N11=0,IF(V11=0,0,IF(Objective!$C$10="lower",-1,1)),IF(Objective!$C$10="lower",(N11-V11)/ABS(N11),(V11-N11)/ABS(N11))))</f>
        <v/>
      </c>
      <c r="AK11" s="13">
        <f>IF(OR($A11="",Objective!$A$11=""),"",IF(O11=0,IF(W11=0,0,IF(Objective!$C$11="lower",-1,1)),IF(Objective!$C$11="lower",(O11-W11)/ABS(O11),(W11-O11)/ABS(O11))))</f>
        <v/>
      </c>
      <c r="AL11" s="13">
        <f>IF(OR($A11="",Objective!$A$12=""),"",IF(P11=0,IF(X11=0,0,IF(Objective!$C$12="lower",-1,1)),IF(Objective!$C$12="lower",(P11-X11)/ABS(P11),(X11-P11)/ABS(P11))))</f>
        <v/>
      </c>
      <c r="AM11" s="13">
        <f>IF(AE11="","",MAX(-1,MIN(1,AE11)))</f>
        <v/>
      </c>
      <c r="AN11" s="13">
        <f>IF(AF11="","",MAX(-1,MIN(1,AF11)))</f>
        <v/>
      </c>
      <c r="AO11" s="13">
        <f>IF(AG11="","",MAX(-1,MIN(1,AG11)))</f>
        <v/>
      </c>
      <c r="AP11" s="13">
        <f>IF(AH11="","",MAX(-1,MIN(1,AH11)))</f>
        <v/>
      </c>
      <c r="AQ11" s="13">
        <f>IF(AI11="","",MAX(-1,MIN(1,AI11)))</f>
        <v/>
      </c>
      <c r="AR11" s="13">
        <f>IF(AJ11="","",MAX(-1,MIN(1,AJ11)))</f>
        <v/>
      </c>
      <c r="AS11" s="13">
        <f>IF(AK11="","",MAX(-1,MIN(1,AK11)))</f>
        <v/>
      </c>
      <c r="AT11" s="13">
        <f>IF(AL11="","",MAX(-1,MIN(1,AL11)))</f>
        <v/>
      </c>
      <c r="AU11" s="13">
        <f>IF($A11="","",IF(AM11="",0,Objective!$B$5/Objective!$B$25*AM11)+IF(AN11="",0,Objective!$B$6/Objective!$B$25*AN11)+IF(AO11="",0,Objective!$B$7/Objective!$B$25*AO11)+IF(AP11="",0,Objective!$B$8/Objective!$B$25*AP11)+IF(AQ11="",0,Objective!$B$9/Objective!$B$25*AQ11)+IF(AR11="",0,Objective!$B$10/Objective!$B$25*AR11)+IF(AS11="",0,Objective!$B$11/Objective!$B$25*AS11)+IF(AT11="",0,Objective!$B$12/Objective!$B$25*AT11))</f>
        <v/>
      </c>
      <c r="AV11" s="13">
        <f>IF($A11="","",Objective!$B$23*MAX(0,N($H11)-N($G11)))</f>
        <v/>
      </c>
      <c r="AW11" s="13">
        <f>IF($A11="","",AU11-AV11)</f>
        <v/>
      </c>
      <c r="AX11" s="6">
        <f>IF($A11="","",AND(OR(Objective!$A$15="",LOWER(Y11)="pass"),OR(Objective!$A$16="",LOWER(Z11)="pass"),OR(Objective!$A$17="",LOWER(AA11)="pass"),OR(Objective!$A$18="",LOWER(AB11)="pass"),OR(Objective!$A$19="",LOWER(AC11)="pass"),OR(Objective!$A$20="",LOWER(AD11)="pass")))</f>
        <v/>
      </c>
      <c r="AY11" s="6">
        <f>IF($A11="","",AND(OR(AE11="",Objective!$B$24="",AE11&gt;=-Objective!$B$24),OR(AF11="",Objective!$B$24="",AF11&gt;=-Objective!$B$24),OR(AG11="",Objective!$B$24="",AG11&gt;=-Objective!$B$24),OR(AH11="",Objective!$B$24="",AH11&gt;=-Objective!$B$24),OR(AI11="",Objective!$B$24="",AI11&gt;=-Objective!$B$24),OR(AJ11="",Objective!$B$24="",AJ11&gt;=-Objective!$B$24),OR(AK11="",Objective!$B$24="",AK11&gt;=-Objective!$B$24),OR(AL11="",Objective!$B$24="",AL11&gt;=-Objective!$B$24)))</f>
        <v/>
      </c>
      <c r="AZ11" s="6">
        <f>IF($A11="","",AND(AX11,AY11,AW11&gt;=Objective!$B$22))</f>
        <v/>
      </c>
      <c r="BA11" s="6">
        <f>IF($A11="","",IF(OR(LOWER($C11)="generated",LOWER($C11)="evaluated",LOWER($C11)="discarded"),TRUE,IF(OR(LOWER($C11)="proposed",LOWER($C11)="promoted"),AZ11,FALSE)))</f>
        <v/>
      </c>
      <c r="BB11" s="6">
        <f>IF($A11="","",IF(AZ11,"proposed (eligible - present to human)","discarded (keep the record and the reason)"))</f>
        <v/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8" t="n"/>
      <c r="Z12" s="8" t="n"/>
      <c r="AA12" s="8" t="n"/>
      <c r="AB12" s="8" t="n"/>
      <c r="AC12" s="8" t="n"/>
      <c r="AD12" s="8" t="n"/>
      <c r="AE12" s="13">
        <f>IF(OR($A12="",Objective!$A$5=""),"",IF(I12=0,IF(Q12=0,0,IF(Objective!$C$5="lower",-1,1)),IF(Objective!$C$5="lower",(I12-Q12)/ABS(I12),(Q12-I12)/ABS(I12))))</f>
        <v/>
      </c>
      <c r="AF12" s="13">
        <f>IF(OR($A12="",Objective!$A$6=""),"",IF(J12=0,IF(R12=0,0,IF(Objective!$C$6="lower",-1,1)),IF(Objective!$C$6="lower",(J12-R12)/ABS(J12),(R12-J12)/ABS(J12))))</f>
        <v/>
      </c>
      <c r="AG12" s="13">
        <f>IF(OR($A12="",Objective!$A$7=""),"",IF(K12=0,IF(S12=0,0,IF(Objective!$C$7="lower",-1,1)),IF(Objective!$C$7="lower",(K12-S12)/ABS(K12),(S12-K12)/ABS(K12))))</f>
        <v/>
      </c>
      <c r="AH12" s="13">
        <f>IF(OR($A12="",Objective!$A$8=""),"",IF(L12=0,IF(T12=0,0,IF(Objective!$C$8="lower",-1,1)),IF(Objective!$C$8="lower",(L12-T12)/ABS(L12),(T12-L12)/ABS(L12))))</f>
        <v/>
      </c>
      <c r="AI12" s="13">
        <f>IF(OR($A12="",Objective!$A$9=""),"",IF(M12=0,IF(U12=0,0,IF(Objective!$C$9="lower",-1,1)),IF(Objective!$C$9="lower",(M12-U12)/ABS(M12),(U12-M12)/ABS(M12))))</f>
        <v/>
      </c>
      <c r="AJ12" s="13">
        <f>IF(OR($A12="",Objective!$A$10=""),"",IF(N12=0,IF(V12=0,0,IF(Objective!$C$10="lower",-1,1)),IF(Objective!$C$10="lower",(N12-V12)/ABS(N12),(V12-N12)/ABS(N12))))</f>
        <v/>
      </c>
      <c r="AK12" s="13">
        <f>IF(OR($A12="",Objective!$A$11=""),"",IF(O12=0,IF(W12=0,0,IF(Objective!$C$11="lower",-1,1)),IF(Objective!$C$11="lower",(O12-W12)/ABS(O12),(W12-O12)/ABS(O12))))</f>
        <v/>
      </c>
      <c r="AL12" s="13">
        <f>IF(OR($A12="",Objective!$A$12=""),"",IF(P12=0,IF(X12=0,0,IF(Objective!$C$12="lower",-1,1)),IF(Objective!$C$12="lower",(P12-X12)/ABS(P12),(X12-P12)/ABS(P12))))</f>
        <v/>
      </c>
      <c r="AM12" s="13">
        <f>IF(AE12="","",MAX(-1,MIN(1,AE12)))</f>
        <v/>
      </c>
      <c r="AN12" s="13">
        <f>IF(AF12="","",MAX(-1,MIN(1,AF12)))</f>
        <v/>
      </c>
      <c r="AO12" s="13">
        <f>IF(AG12="","",MAX(-1,MIN(1,AG12)))</f>
        <v/>
      </c>
      <c r="AP12" s="13">
        <f>IF(AH12="","",MAX(-1,MIN(1,AH12)))</f>
        <v/>
      </c>
      <c r="AQ12" s="13">
        <f>IF(AI12="","",MAX(-1,MIN(1,AI12)))</f>
        <v/>
      </c>
      <c r="AR12" s="13">
        <f>IF(AJ12="","",MAX(-1,MIN(1,AJ12)))</f>
        <v/>
      </c>
      <c r="AS12" s="13">
        <f>IF(AK12="","",MAX(-1,MIN(1,AK12)))</f>
        <v/>
      </c>
      <c r="AT12" s="13">
        <f>IF(AL12="","",MAX(-1,MIN(1,AL12)))</f>
        <v/>
      </c>
      <c r="AU12" s="13">
        <f>IF($A12="","",IF(AM12="",0,Objective!$B$5/Objective!$B$25*AM12)+IF(AN12="",0,Objective!$B$6/Objective!$B$25*AN12)+IF(AO12="",0,Objective!$B$7/Objective!$B$25*AO12)+IF(AP12="",0,Objective!$B$8/Objective!$B$25*AP12)+IF(AQ12="",0,Objective!$B$9/Objective!$B$25*AQ12)+IF(AR12="",0,Objective!$B$10/Objective!$B$25*AR12)+IF(AS12="",0,Objective!$B$11/Objective!$B$25*AS12)+IF(AT12="",0,Objective!$B$12/Objective!$B$25*AT12))</f>
        <v/>
      </c>
      <c r="AV12" s="13">
        <f>IF($A12="","",Objective!$B$23*MAX(0,N($H12)-N($G12)))</f>
        <v/>
      </c>
      <c r="AW12" s="13">
        <f>IF($A12="","",AU12-AV12)</f>
        <v/>
      </c>
      <c r="AX12" s="6">
        <f>IF($A12="","",AND(OR(Objective!$A$15="",LOWER(Y12)="pass"),OR(Objective!$A$16="",LOWER(Z12)="pass"),OR(Objective!$A$17="",LOWER(AA12)="pass"),OR(Objective!$A$18="",LOWER(AB12)="pass"),OR(Objective!$A$19="",LOWER(AC12)="pass"),OR(Objective!$A$20="",LOWER(AD12)="pass")))</f>
        <v/>
      </c>
      <c r="AY12" s="6">
        <f>IF($A12="","",AND(OR(AE12="",Objective!$B$24="",AE12&gt;=-Objective!$B$24),OR(AF12="",Objective!$B$24="",AF12&gt;=-Objective!$B$24),OR(AG12="",Objective!$B$24="",AG12&gt;=-Objective!$B$24),OR(AH12="",Objective!$B$24="",AH12&gt;=-Objective!$B$24),OR(AI12="",Objective!$B$24="",AI12&gt;=-Objective!$B$24),OR(AJ12="",Objective!$B$24="",AJ12&gt;=-Objective!$B$24),OR(AK12="",Objective!$B$24="",AK12&gt;=-Objective!$B$24),OR(AL12="",Objective!$B$24="",AL12&gt;=-Objective!$B$24)))</f>
        <v/>
      </c>
      <c r="AZ12" s="6">
        <f>IF($A12="","",AND(AX12,AY12,AW12&gt;=Objective!$B$22))</f>
        <v/>
      </c>
      <c r="BA12" s="6">
        <f>IF($A12="","",IF(OR(LOWER($C12)="generated",LOWER($C12)="evaluated",LOWER($C12)="discarded"),TRUE,IF(OR(LOWER($C12)="proposed",LOWER($C12)="promoted"),AZ12,FALSE)))</f>
        <v/>
      </c>
      <c r="BB12" s="6">
        <f>IF($A12="","",IF(AZ12,"proposed (eligible - present to human)","discarded (keep the record and the reason)"))</f>
        <v/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8" t="n"/>
      <c r="Z13" s="8" t="n"/>
      <c r="AA13" s="8" t="n"/>
      <c r="AB13" s="8" t="n"/>
      <c r="AC13" s="8" t="n"/>
      <c r="AD13" s="8" t="n"/>
      <c r="AE13" s="13">
        <f>IF(OR($A13="",Objective!$A$5=""),"",IF(I13=0,IF(Q13=0,0,IF(Objective!$C$5="lower",-1,1)),IF(Objective!$C$5="lower",(I13-Q13)/ABS(I13),(Q13-I13)/ABS(I13))))</f>
        <v/>
      </c>
      <c r="AF13" s="13">
        <f>IF(OR($A13="",Objective!$A$6=""),"",IF(J13=0,IF(R13=0,0,IF(Objective!$C$6="lower",-1,1)),IF(Objective!$C$6="lower",(J13-R13)/ABS(J13),(R13-J13)/ABS(J13))))</f>
        <v/>
      </c>
      <c r="AG13" s="13">
        <f>IF(OR($A13="",Objective!$A$7=""),"",IF(K13=0,IF(S13=0,0,IF(Objective!$C$7="lower",-1,1)),IF(Objective!$C$7="lower",(K13-S13)/ABS(K13),(S13-K13)/ABS(K13))))</f>
        <v/>
      </c>
      <c r="AH13" s="13">
        <f>IF(OR($A13="",Objective!$A$8=""),"",IF(L13=0,IF(T13=0,0,IF(Objective!$C$8="lower",-1,1)),IF(Objective!$C$8="lower",(L13-T13)/ABS(L13),(T13-L13)/ABS(L13))))</f>
        <v/>
      </c>
      <c r="AI13" s="13">
        <f>IF(OR($A13="",Objective!$A$9=""),"",IF(M13=0,IF(U13=0,0,IF(Objective!$C$9="lower",-1,1)),IF(Objective!$C$9="lower",(M13-U13)/ABS(M13),(U13-M13)/ABS(M13))))</f>
        <v/>
      </c>
      <c r="AJ13" s="13">
        <f>IF(OR($A13="",Objective!$A$10=""),"",IF(N13=0,IF(V13=0,0,IF(Objective!$C$10="lower",-1,1)),IF(Objective!$C$10="lower",(N13-V13)/ABS(N13),(V13-N13)/ABS(N13))))</f>
        <v/>
      </c>
      <c r="AK13" s="13">
        <f>IF(OR($A13="",Objective!$A$11=""),"",IF(O13=0,IF(W13=0,0,IF(Objective!$C$11="lower",-1,1)),IF(Objective!$C$11="lower",(O13-W13)/ABS(O13),(W13-O13)/ABS(O13))))</f>
        <v/>
      </c>
      <c r="AL13" s="13">
        <f>IF(OR($A13="",Objective!$A$12=""),"",IF(P13=0,IF(X13=0,0,IF(Objective!$C$12="lower",-1,1)),IF(Objective!$C$12="lower",(P13-X13)/ABS(P13),(X13-P13)/ABS(P13))))</f>
        <v/>
      </c>
      <c r="AM13" s="13">
        <f>IF(AE13="","",MAX(-1,MIN(1,AE13)))</f>
        <v/>
      </c>
      <c r="AN13" s="13">
        <f>IF(AF13="","",MAX(-1,MIN(1,AF13)))</f>
        <v/>
      </c>
      <c r="AO13" s="13">
        <f>IF(AG13="","",MAX(-1,MIN(1,AG13)))</f>
        <v/>
      </c>
      <c r="AP13" s="13">
        <f>IF(AH13="","",MAX(-1,MIN(1,AH13)))</f>
        <v/>
      </c>
      <c r="AQ13" s="13">
        <f>IF(AI13="","",MAX(-1,MIN(1,AI13)))</f>
        <v/>
      </c>
      <c r="AR13" s="13">
        <f>IF(AJ13="","",MAX(-1,MIN(1,AJ13)))</f>
        <v/>
      </c>
      <c r="AS13" s="13">
        <f>IF(AK13="","",MAX(-1,MIN(1,AK13)))</f>
        <v/>
      </c>
      <c r="AT13" s="13">
        <f>IF(AL13="","",MAX(-1,MIN(1,AL13)))</f>
        <v/>
      </c>
      <c r="AU13" s="13">
        <f>IF($A13="","",IF(AM13="",0,Objective!$B$5/Objective!$B$25*AM13)+IF(AN13="",0,Objective!$B$6/Objective!$B$25*AN13)+IF(AO13="",0,Objective!$B$7/Objective!$B$25*AO13)+IF(AP13="",0,Objective!$B$8/Objective!$B$25*AP13)+IF(AQ13="",0,Objective!$B$9/Objective!$B$25*AQ13)+IF(AR13="",0,Objective!$B$10/Objective!$B$25*AR13)+IF(AS13="",0,Objective!$B$11/Objective!$B$25*AS13)+IF(AT13="",0,Objective!$B$12/Objective!$B$25*AT13))</f>
        <v/>
      </c>
      <c r="AV13" s="13">
        <f>IF($A13="","",Objective!$B$23*MAX(0,N($H13)-N($G13)))</f>
        <v/>
      </c>
      <c r="AW13" s="13">
        <f>IF($A13="","",AU13-AV13)</f>
        <v/>
      </c>
      <c r="AX13" s="6">
        <f>IF($A13="","",AND(OR(Objective!$A$15="",LOWER(Y13)="pass"),OR(Objective!$A$16="",LOWER(Z13)="pass"),OR(Objective!$A$17="",LOWER(AA13)="pass"),OR(Objective!$A$18="",LOWER(AB13)="pass"),OR(Objective!$A$19="",LOWER(AC13)="pass"),OR(Objective!$A$20="",LOWER(AD13)="pass")))</f>
        <v/>
      </c>
      <c r="AY13" s="6">
        <f>IF($A13="","",AND(OR(AE13="",Objective!$B$24="",AE13&gt;=-Objective!$B$24),OR(AF13="",Objective!$B$24="",AF13&gt;=-Objective!$B$24),OR(AG13="",Objective!$B$24="",AG13&gt;=-Objective!$B$24),OR(AH13="",Objective!$B$24="",AH13&gt;=-Objective!$B$24),OR(AI13="",Objective!$B$24="",AI13&gt;=-Objective!$B$24),OR(AJ13="",Objective!$B$24="",AJ13&gt;=-Objective!$B$24),OR(AK13="",Objective!$B$24="",AK13&gt;=-Objective!$B$24),OR(AL13="",Objective!$B$24="",AL13&gt;=-Objective!$B$24)))</f>
        <v/>
      </c>
      <c r="AZ13" s="6">
        <f>IF($A13="","",AND(AX13,AY13,AW13&gt;=Objective!$B$22))</f>
        <v/>
      </c>
      <c r="BA13" s="6">
        <f>IF($A13="","",IF(OR(LOWER($C13)="generated",LOWER($C13)="evaluated",LOWER($C13)="discarded"),TRUE,IF(OR(LOWER($C13)="proposed",LOWER($C13)="promoted"),AZ13,FALSE)))</f>
        <v/>
      </c>
      <c r="BB13" s="6">
        <f>IF($A13="","",IF(AZ13,"proposed (eligible - present to human)","discarded (keep the record and the reason)"))</f>
        <v/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8" t="n"/>
      <c r="Z14" s="8" t="n"/>
      <c r="AA14" s="8" t="n"/>
      <c r="AB14" s="8" t="n"/>
      <c r="AC14" s="8" t="n"/>
      <c r="AD14" s="8" t="n"/>
      <c r="AE14" s="13">
        <f>IF(OR($A14="",Objective!$A$5=""),"",IF(I14=0,IF(Q14=0,0,IF(Objective!$C$5="lower",-1,1)),IF(Objective!$C$5="lower",(I14-Q14)/ABS(I14),(Q14-I14)/ABS(I14))))</f>
        <v/>
      </c>
      <c r="AF14" s="13">
        <f>IF(OR($A14="",Objective!$A$6=""),"",IF(J14=0,IF(R14=0,0,IF(Objective!$C$6="lower",-1,1)),IF(Objective!$C$6="lower",(J14-R14)/ABS(J14),(R14-J14)/ABS(J14))))</f>
        <v/>
      </c>
      <c r="AG14" s="13">
        <f>IF(OR($A14="",Objective!$A$7=""),"",IF(K14=0,IF(S14=0,0,IF(Objective!$C$7="lower",-1,1)),IF(Objective!$C$7="lower",(K14-S14)/ABS(K14),(S14-K14)/ABS(K14))))</f>
        <v/>
      </c>
      <c r="AH14" s="13">
        <f>IF(OR($A14="",Objective!$A$8=""),"",IF(L14=0,IF(T14=0,0,IF(Objective!$C$8="lower",-1,1)),IF(Objective!$C$8="lower",(L14-T14)/ABS(L14),(T14-L14)/ABS(L14))))</f>
        <v/>
      </c>
      <c r="AI14" s="13">
        <f>IF(OR($A14="",Objective!$A$9=""),"",IF(M14=0,IF(U14=0,0,IF(Objective!$C$9="lower",-1,1)),IF(Objective!$C$9="lower",(M14-U14)/ABS(M14),(U14-M14)/ABS(M14))))</f>
        <v/>
      </c>
      <c r="AJ14" s="13">
        <f>IF(OR($A14="",Objective!$A$10=""),"",IF(N14=0,IF(V14=0,0,IF(Objective!$C$10="lower",-1,1)),IF(Objective!$C$10="lower",(N14-V14)/ABS(N14),(V14-N14)/ABS(N14))))</f>
        <v/>
      </c>
      <c r="AK14" s="13">
        <f>IF(OR($A14="",Objective!$A$11=""),"",IF(O14=0,IF(W14=0,0,IF(Objective!$C$11="lower",-1,1)),IF(Objective!$C$11="lower",(O14-W14)/ABS(O14),(W14-O14)/ABS(O14))))</f>
        <v/>
      </c>
      <c r="AL14" s="13">
        <f>IF(OR($A14="",Objective!$A$12=""),"",IF(P14=0,IF(X14=0,0,IF(Objective!$C$12="lower",-1,1)),IF(Objective!$C$12="lower",(P14-X14)/ABS(P14),(X14-P14)/ABS(P14))))</f>
        <v/>
      </c>
      <c r="AM14" s="13">
        <f>IF(AE14="","",MAX(-1,MIN(1,AE14)))</f>
        <v/>
      </c>
      <c r="AN14" s="13">
        <f>IF(AF14="","",MAX(-1,MIN(1,AF14)))</f>
        <v/>
      </c>
      <c r="AO14" s="13">
        <f>IF(AG14="","",MAX(-1,MIN(1,AG14)))</f>
        <v/>
      </c>
      <c r="AP14" s="13">
        <f>IF(AH14="","",MAX(-1,MIN(1,AH14)))</f>
        <v/>
      </c>
      <c r="AQ14" s="13">
        <f>IF(AI14="","",MAX(-1,MIN(1,AI14)))</f>
        <v/>
      </c>
      <c r="AR14" s="13">
        <f>IF(AJ14="","",MAX(-1,MIN(1,AJ14)))</f>
        <v/>
      </c>
      <c r="AS14" s="13">
        <f>IF(AK14="","",MAX(-1,MIN(1,AK14)))</f>
        <v/>
      </c>
      <c r="AT14" s="13">
        <f>IF(AL14="","",MAX(-1,MIN(1,AL14)))</f>
        <v/>
      </c>
      <c r="AU14" s="13">
        <f>IF($A14="","",IF(AM14="",0,Objective!$B$5/Objective!$B$25*AM14)+IF(AN14="",0,Objective!$B$6/Objective!$B$25*AN14)+IF(AO14="",0,Objective!$B$7/Objective!$B$25*AO14)+IF(AP14="",0,Objective!$B$8/Objective!$B$25*AP14)+IF(AQ14="",0,Objective!$B$9/Objective!$B$25*AQ14)+IF(AR14="",0,Objective!$B$10/Objective!$B$25*AR14)+IF(AS14="",0,Objective!$B$11/Objective!$B$25*AS14)+IF(AT14="",0,Objective!$B$12/Objective!$B$25*AT14))</f>
        <v/>
      </c>
      <c r="AV14" s="13">
        <f>IF($A14="","",Objective!$B$23*MAX(0,N($H14)-N($G14)))</f>
        <v/>
      </c>
      <c r="AW14" s="13">
        <f>IF($A14="","",AU14-AV14)</f>
        <v/>
      </c>
      <c r="AX14" s="6">
        <f>IF($A14="","",AND(OR(Objective!$A$15="",LOWER(Y14)="pass"),OR(Objective!$A$16="",LOWER(Z14)="pass"),OR(Objective!$A$17="",LOWER(AA14)="pass"),OR(Objective!$A$18="",LOWER(AB14)="pass"),OR(Objective!$A$19="",LOWER(AC14)="pass"),OR(Objective!$A$20="",LOWER(AD14)="pass")))</f>
        <v/>
      </c>
      <c r="AY14" s="6">
        <f>IF($A14="","",AND(OR(AE14="",Objective!$B$24="",AE14&gt;=-Objective!$B$24),OR(AF14="",Objective!$B$24="",AF14&gt;=-Objective!$B$24),OR(AG14="",Objective!$B$24="",AG14&gt;=-Objective!$B$24),OR(AH14="",Objective!$B$24="",AH14&gt;=-Objective!$B$24),OR(AI14="",Objective!$B$24="",AI14&gt;=-Objective!$B$24),OR(AJ14="",Objective!$B$24="",AJ14&gt;=-Objective!$B$24),OR(AK14="",Objective!$B$24="",AK14&gt;=-Objective!$B$24),OR(AL14="",Objective!$B$24="",AL14&gt;=-Objective!$B$24)))</f>
        <v/>
      </c>
      <c r="AZ14" s="6">
        <f>IF($A14="","",AND(AX14,AY14,AW14&gt;=Objective!$B$22))</f>
        <v/>
      </c>
      <c r="BA14" s="6">
        <f>IF($A14="","",IF(OR(LOWER($C14)="generated",LOWER($C14)="evaluated",LOWER($C14)="discarded"),TRUE,IF(OR(LOWER($C14)="proposed",LOWER($C14)="promoted"),AZ14,FALSE)))</f>
        <v/>
      </c>
      <c r="BB14" s="6">
        <f>IF($A14="","",IF(AZ14,"proposed (eligible - present to human)","discarded (keep the record and the reason)"))</f>
        <v/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8" t="n"/>
      <c r="Z15" s="8" t="n"/>
      <c r="AA15" s="8" t="n"/>
      <c r="AB15" s="8" t="n"/>
      <c r="AC15" s="8" t="n"/>
      <c r="AD15" s="8" t="n"/>
      <c r="AE15" s="13">
        <f>IF(OR($A15="",Objective!$A$5=""),"",IF(I15=0,IF(Q15=0,0,IF(Objective!$C$5="lower",-1,1)),IF(Objective!$C$5="lower",(I15-Q15)/ABS(I15),(Q15-I15)/ABS(I15))))</f>
        <v/>
      </c>
      <c r="AF15" s="13">
        <f>IF(OR($A15="",Objective!$A$6=""),"",IF(J15=0,IF(R15=0,0,IF(Objective!$C$6="lower",-1,1)),IF(Objective!$C$6="lower",(J15-R15)/ABS(J15),(R15-J15)/ABS(J15))))</f>
        <v/>
      </c>
      <c r="AG15" s="13">
        <f>IF(OR($A15="",Objective!$A$7=""),"",IF(K15=0,IF(S15=0,0,IF(Objective!$C$7="lower",-1,1)),IF(Objective!$C$7="lower",(K15-S15)/ABS(K15),(S15-K15)/ABS(K15))))</f>
        <v/>
      </c>
      <c r="AH15" s="13">
        <f>IF(OR($A15="",Objective!$A$8=""),"",IF(L15=0,IF(T15=0,0,IF(Objective!$C$8="lower",-1,1)),IF(Objective!$C$8="lower",(L15-T15)/ABS(L15),(T15-L15)/ABS(L15))))</f>
        <v/>
      </c>
      <c r="AI15" s="13">
        <f>IF(OR($A15="",Objective!$A$9=""),"",IF(M15=0,IF(U15=0,0,IF(Objective!$C$9="lower",-1,1)),IF(Objective!$C$9="lower",(M15-U15)/ABS(M15),(U15-M15)/ABS(M15))))</f>
        <v/>
      </c>
      <c r="AJ15" s="13">
        <f>IF(OR($A15="",Objective!$A$10=""),"",IF(N15=0,IF(V15=0,0,IF(Objective!$C$10="lower",-1,1)),IF(Objective!$C$10="lower",(N15-V15)/ABS(N15),(V15-N15)/ABS(N15))))</f>
        <v/>
      </c>
      <c r="AK15" s="13">
        <f>IF(OR($A15="",Objective!$A$11=""),"",IF(O15=0,IF(W15=0,0,IF(Objective!$C$11="lower",-1,1)),IF(Objective!$C$11="lower",(O15-W15)/ABS(O15),(W15-O15)/ABS(O15))))</f>
        <v/>
      </c>
      <c r="AL15" s="13">
        <f>IF(OR($A15="",Objective!$A$12=""),"",IF(P15=0,IF(X15=0,0,IF(Objective!$C$12="lower",-1,1)),IF(Objective!$C$12="lower",(P15-X15)/ABS(P15),(X15-P15)/ABS(P15))))</f>
        <v/>
      </c>
      <c r="AM15" s="13">
        <f>IF(AE15="","",MAX(-1,MIN(1,AE15)))</f>
        <v/>
      </c>
      <c r="AN15" s="13">
        <f>IF(AF15="","",MAX(-1,MIN(1,AF15)))</f>
        <v/>
      </c>
      <c r="AO15" s="13">
        <f>IF(AG15="","",MAX(-1,MIN(1,AG15)))</f>
        <v/>
      </c>
      <c r="AP15" s="13">
        <f>IF(AH15="","",MAX(-1,MIN(1,AH15)))</f>
        <v/>
      </c>
      <c r="AQ15" s="13">
        <f>IF(AI15="","",MAX(-1,MIN(1,AI15)))</f>
        <v/>
      </c>
      <c r="AR15" s="13">
        <f>IF(AJ15="","",MAX(-1,MIN(1,AJ15)))</f>
        <v/>
      </c>
      <c r="AS15" s="13">
        <f>IF(AK15="","",MAX(-1,MIN(1,AK15)))</f>
        <v/>
      </c>
      <c r="AT15" s="13">
        <f>IF(AL15="","",MAX(-1,MIN(1,AL15)))</f>
        <v/>
      </c>
      <c r="AU15" s="13">
        <f>IF($A15="","",IF(AM15="",0,Objective!$B$5/Objective!$B$25*AM15)+IF(AN15="",0,Objective!$B$6/Objective!$B$25*AN15)+IF(AO15="",0,Objective!$B$7/Objective!$B$25*AO15)+IF(AP15="",0,Objective!$B$8/Objective!$B$25*AP15)+IF(AQ15="",0,Objective!$B$9/Objective!$B$25*AQ15)+IF(AR15="",0,Objective!$B$10/Objective!$B$25*AR15)+IF(AS15="",0,Objective!$B$11/Objective!$B$25*AS15)+IF(AT15="",0,Objective!$B$12/Objective!$B$25*AT15))</f>
        <v/>
      </c>
      <c r="AV15" s="13">
        <f>IF($A15="","",Objective!$B$23*MAX(0,N($H15)-N($G15)))</f>
        <v/>
      </c>
      <c r="AW15" s="13">
        <f>IF($A15="","",AU15-AV15)</f>
        <v/>
      </c>
      <c r="AX15" s="6">
        <f>IF($A15="","",AND(OR(Objective!$A$15="",LOWER(Y15)="pass"),OR(Objective!$A$16="",LOWER(Z15)="pass"),OR(Objective!$A$17="",LOWER(AA15)="pass"),OR(Objective!$A$18="",LOWER(AB15)="pass"),OR(Objective!$A$19="",LOWER(AC15)="pass"),OR(Objective!$A$20="",LOWER(AD15)="pass")))</f>
        <v/>
      </c>
      <c r="AY15" s="6">
        <f>IF($A15="","",AND(OR(AE15="",Objective!$B$24="",AE15&gt;=-Objective!$B$24),OR(AF15="",Objective!$B$24="",AF15&gt;=-Objective!$B$24),OR(AG15="",Objective!$B$24="",AG15&gt;=-Objective!$B$24),OR(AH15="",Objective!$B$24="",AH15&gt;=-Objective!$B$24),OR(AI15="",Objective!$B$24="",AI15&gt;=-Objective!$B$24),OR(AJ15="",Objective!$B$24="",AJ15&gt;=-Objective!$B$24),OR(AK15="",Objective!$B$24="",AK15&gt;=-Objective!$B$24),OR(AL15="",Objective!$B$24="",AL15&gt;=-Objective!$B$24)))</f>
        <v/>
      </c>
      <c r="AZ15" s="6">
        <f>IF($A15="","",AND(AX15,AY15,AW15&gt;=Objective!$B$22))</f>
        <v/>
      </c>
      <c r="BA15" s="6">
        <f>IF($A15="","",IF(OR(LOWER($C15)="generated",LOWER($C15)="evaluated",LOWER($C15)="discarded"),TRUE,IF(OR(LOWER($C15)="proposed",LOWER($C15)="promoted"),AZ15,FALSE)))</f>
        <v/>
      </c>
      <c r="BB15" s="6">
        <f>IF($A15="","",IF(AZ15,"proposed (eligible - present to human)","discarded (keep the record and the reason)"))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8" t="n"/>
      <c r="Z16" s="8" t="n"/>
      <c r="AA16" s="8" t="n"/>
      <c r="AB16" s="8" t="n"/>
      <c r="AC16" s="8" t="n"/>
      <c r="AD16" s="8" t="n"/>
      <c r="AE16" s="13">
        <f>IF(OR($A16="",Objective!$A$5=""),"",IF(I16=0,IF(Q16=0,0,IF(Objective!$C$5="lower",-1,1)),IF(Objective!$C$5="lower",(I16-Q16)/ABS(I16),(Q16-I16)/ABS(I16))))</f>
        <v/>
      </c>
      <c r="AF16" s="13">
        <f>IF(OR($A16="",Objective!$A$6=""),"",IF(J16=0,IF(R16=0,0,IF(Objective!$C$6="lower",-1,1)),IF(Objective!$C$6="lower",(J16-R16)/ABS(J16),(R16-J16)/ABS(J16))))</f>
        <v/>
      </c>
      <c r="AG16" s="13">
        <f>IF(OR($A16="",Objective!$A$7=""),"",IF(K16=0,IF(S16=0,0,IF(Objective!$C$7="lower",-1,1)),IF(Objective!$C$7="lower",(K16-S16)/ABS(K16),(S16-K16)/ABS(K16))))</f>
        <v/>
      </c>
      <c r="AH16" s="13">
        <f>IF(OR($A16="",Objective!$A$8=""),"",IF(L16=0,IF(T16=0,0,IF(Objective!$C$8="lower",-1,1)),IF(Objective!$C$8="lower",(L16-T16)/ABS(L16),(T16-L16)/ABS(L16))))</f>
        <v/>
      </c>
      <c r="AI16" s="13">
        <f>IF(OR($A16="",Objective!$A$9=""),"",IF(M16=0,IF(U16=0,0,IF(Objective!$C$9="lower",-1,1)),IF(Objective!$C$9="lower",(M16-U16)/ABS(M16),(U16-M16)/ABS(M16))))</f>
        <v/>
      </c>
      <c r="AJ16" s="13">
        <f>IF(OR($A16="",Objective!$A$10=""),"",IF(N16=0,IF(V16=0,0,IF(Objective!$C$10="lower",-1,1)),IF(Objective!$C$10="lower",(N16-V16)/ABS(N16),(V16-N16)/ABS(N16))))</f>
        <v/>
      </c>
      <c r="AK16" s="13">
        <f>IF(OR($A16="",Objective!$A$11=""),"",IF(O16=0,IF(W16=0,0,IF(Objective!$C$11="lower",-1,1)),IF(Objective!$C$11="lower",(O16-W16)/ABS(O16),(W16-O16)/ABS(O16))))</f>
        <v/>
      </c>
      <c r="AL16" s="13">
        <f>IF(OR($A16="",Objective!$A$12=""),"",IF(P16=0,IF(X16=0,0,IF(Objective!$C$12="lower",-1,1)),IF(Objective!$C$12="lower",(P16-X16)/ABS(P16),(X16-P16)/ABS(P16))))</f>
        <v/>
      </c>
      <c r="AM16" s="13">
        <f>IF(AE16="","",MAX(-1,MIN(1,AE16)))</f>
        <v/>
      </c>
      <c r="AN16" s="13">
        <f>IF(AF16="","",MAX(-1,MIN(1,AF16)))</f>
        <v/>
      </c>
      <c r="AO16" s="13">
        <f>IF(AG16="","",MAX(-1,MIN(1,AG16)))</f>
        <v/>
      </c>
      <c r="AP16" s="13">
        <f>IF(AH16="","",MAX(-1,MIN(1,AH16)))</f>
        <v/>
      </c>
      <c r="AQ16" s="13">
        <f>IF(AI16="","",MAX(-1,MIN(1,AI16)))</f>
        <v/>
      </c>
      <c r="AR16" s="13">
        <f>IF(AJ16="","",MAX(-1,MIN(1,AJ16)))</f>
        <v/>
      </c>
      <c r="AS16" s="13">
        <f>IF(AK16="","",MAX(-1,MIN(1,AK16)))</f>
        <v/>
      </c>
      <c r="AT16" s="13">
        <f>IF(AL16="","",MAX(-1,MIN(1,AL16)))</f>
        <v/>
      </c>
      <c r="AU16" s="13">
        <f>IF($A16="","",IF(AM16="",0,Objective!$B$5/Objective!$B$25*AM16)+IF(AN16="",0,Objective!$B$6/Objective!$B$25*AN16)+IF(AO16="",0,Objective!$B$7/Objective!$B$25*AO16)+IF(AP16="",0,Objective!$B$8/Objective!$B$25*AP16)+IF(AQ16="",0,Objective!$B$9/Objective!$B$25*AQ16)+IF(AR16="",0,Objective!$B$10/Objective!$B$25*AR16)+IF(AS16="",0,Objective!$B$11/Objective!$B$25*AS16)+IF(AT16="",0,Objective!$B$12/Objective!$B$25*AT16))</f>
        <v/>
      </c>
      <c r="AV16" s="13">
        <f>IF($A16="","",Objective!$B$23*MAX(0,N($H16)-N($G16)))</f>
        <v/>
      </c>
      <c r="AW16" s="13">
        <f>IF($A16="","",AU16-AV16)</f>
        <v/>
      </c>
      <c r="AX16" s="6">
        <f>IF($A16="","",AND(OR(Objective!$A$15="",LOWER(Y16)="pass"),OR(Objective!$A$16="",LOWER(Z16)="pass"),OR(Objective!$A$17="",LOWER(AA16)="pass"),OR(Objective!$A$18="",LOWER(AB16)="pass"),OR(Objective!$A$19="",LOWER(AC16)="pass"),OR(Objective!$A$20="",LOWER(AD16)="pass")))</f>
        <v/>
      </c>
      <c r="AY16" s="6">
        <f>IF($A16="","",AND(OR(AE16="",Objective!$B$24="",AE16&gt;=-Objective!$B$24),OR(AF16="",Objective!$B$24="",AF16&gt;=-Objective!$B$24),OR(AG16="",Objective!$B$24="",AG16&gt;=-Objective!$B$24),OR(AH16="",Objective!$B$24="",AH16&gt;=-Objective!$B$24),OR(AI16="",Objective!$B$24="",AI16&gt;=-Objective!$B$24),OR(AJ16="",Objective!$B$24="",AJ16&gt;=-Objective!$B$24),OR(AK16="",Objective!$B$24="",AK16&gt;=-Objective!$B$24),OR(AL16="",Objective!$B$24="",AL16&gt;=-Objective!$B$24)))</f>
        <v/>
      </c>
      <c r="AZ16" s="6">
        <f>IF($A16="","",AND(AX16,AY16,AW16&gt;=Objective!$B$22))</f>
        <v/>
      </c>
      <c r="BA16" s="6">
        <f>IF($A16="","",IF(OR(LOWER($C16)="generated",LOWER($C16)="evaluated",LOWER($C16)="discarded"),TRUE,IF(OR(LOWER($C16)="proposed",LOWER($C16)="promoted"),AZ16,FALSE)))</f>
        <v/>
      </c>
      <c r="BB16" s="6">
        <f>IF($A16="","",IF(AZ16,"proposed (eligible - present to human)","discarded (keep the record and the reason)"))</f>
        <v/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8" t="n"/>
      <c r="Z17" s="8" t="n"/>
      <c r="AA17" s="8" t="n"/>
      <c r="AB17" s="8" t="n"/>
      <c r="AC17" s="8" t="n"/>
      <c r="AD17" s="8" t="n"/>
      <c r="AE17" s="13">
        <f>IF(OR($A17="",Objective!$A$5=""),"",IF(I17=0,IF(Q17=0,0,IF(Objective!$C$5="lower",-1,1)),IF(Objective!$C$5="lower",(I17-Q17)/ABS(I17),(Q17-I17)/ABS(I17))))</f>
        <v/>
      </c>
      <c r="AF17" s="13">
        <f>IF(OR($A17="",Objective!$A$6=""),"",IF(J17=0,IF(R17=0,0,IF(Objective!$C$6="lower",-1,1)),IF(Objective!$C$6="lower",(J17-R17)/ABS(J17),(R17-J17)/ABS(J17))))</f>
        <v/>
      </c>
      <c r="AG17" s="13">
        <f>IF(OR($A17="",Objective!$A$7=""),"",IF(K17=0,IF(S17=0,0,IF(Objective!$C$7="lower",-1,1)),IF(Objective!$C$7="lower",(K17-S17)/ABS(K17),(S17-K17)/ABS(K17))))</f>
        <v/>
      </c>
      <c r="AH17" s="13">
        <f>IF(OR($A17="",Objective!$A$8=""),"",IF(L17=0,IF(T17=0,0,IF(Objective!$C$8="lower",-1,1)),IF(Objective!$C$8="lower",(L17-T17)/ABS(L17),(T17-L17)/ABS(L17))))</f>
        <v/>
      </c>
      <c r="AI17" s="13">
        <f>IF(OR($A17="",Objective!$A$9=""),"",IF(M17=0,IF(U17=0,0,IF(Objective!$C$9="lower",-1,1)),IF(Objective!$C$9="lower",(M17-U17)/ABS(M17),(U17-M17)/ABS(M17))))</f>
        <v/>
      </c>
      <c r="AJ17" s="13">
        <f>IF(OR($A17="",Objective!$A$10=""),"",IF(N17=0,IF(V17=0,0,IF(Objective!$C$10="lower",-1,1)),IF(Objective!$C$10="lower",(N17-V17)/ABS(N17),(V17-N17)/ABS(N17))))</f>
        <v/>
      </c>
      <c r="AK17" s="13">
        <f>IF(OR($A17="",Objective!$A$11=""),"",IF(O17=0,IF(W17=0,0,IF(Objective!$C$11="lower",-1,1)),IF(Objective!$C$11="lower",(O17-W17)/ABS(O17),(W17-O17)/ABS(O17))))</f>
        <v/>
      </c>
      <c r="AL17" s="13">
        <f>IF(OR($A17="",Objective!$A$12=""),"",IF(P17=0,IF(X17=0,0,IF(Objective!$C$12="lower",-1,1)),IF(Objective!$C$12="lower",(P17-X17)/ABS(P17),(X17-P17)/ABS(P17))))</f>
        <v/>
      </c>
      <c r="AM17" s="13">
        <f>IF(AE17="","",MAX(-1,MIN(1,AE17)))</f>
        <v/>
      </c>
      <c r="AN17" s="13">
        <f>IF(AF17="","",MAX(-1,MIN(1,AF17)))</f>
        <v/>
      </c>
      <c r="AO17" s="13">
        <f>IF(AG17="","",MAX(-1,MIN(1,AG17)))</f>
        <v/>
      </c>
      <c r="AP17" s="13">
        <f>IF(AH17="","",MAX(-1,MIN(1,AH17)))</f>
        <v/>
      </c>
      <c r="AQ17" s="13">
        <f>IF(AI17="","",MAX(-1,MIN(1,AI17)))</f>
        <v/>
      </c>
      <c r="AR17" s="13">
        <f>IF(AJ17="","",MAX(-1,MIN(1,AJ17)))</f>
        <v/>
      </c>
      <c r="AS17" s="13">
        <f>IF(AK17="","",MAX(-1,MIN(1,AK17)))</f>
        <v/>
      </c>
      <c r="AT17" s="13">
        <f>IF(AL17="","",MAX(-1,MIN(1,AL17)))</f>
        <v/>
      </c>
      <c r="AU17" s="13">
        <f>IF($A17="","",IF(AM17="",0,Objective!$B$5/Objective!$B$25*AM17)+IF(AN17="",0,Objective!$B$6/Objective!$B$25*AN17)+IF(AO17="",0,Objective!$B$7/Objective!$B$25*AO17)+IF(AP17="",0,Objective!$B$8/Objective!$B$25*AP17)+IF(AQ17="",0,Objective!$B$9/Objective!$B$25*AQ17)+IF(AR17="",0,Objective!$B$10/Objective!$B$25*AR17)+IF(AS17="",0,Objective!$B$11/Objective!$B$25*AS17)+IF(AT17="",0,Objective!$B$12/Objective!$B$25*AT17))</f>
        <v/>
      </c>
      <c r="AV17" s="13">
        <f>IF($A17="","",Objective!$B$23*MAX(0,N($H17)-N($G17)))</f>
        <v/>
      </c>
      <c r="AW17" s="13">
        <f>IF($A17="","",AU17-AV17)</f>
        <v/>
      </c>
      <c r="AX17" s="6">
        <f>IF($A17="","",AND(OR(Objective!$A$15="",LOWER(Y17)="pass"),OR(Objective!$A$16="",LOWER(Z17)="pass"),OR(Objective!$A$17="",LOWER(AA17)="pass"),OR(Objective!$A$18="",LOWER(AB17)="pass"),OR(Objective!$A$19="",LOWER(AC17)="pass"),OR(Objective!$A$20="",LOWER(AD17)="pass")))</f>
        <v/>
      </c>
      <c r="AY17" s="6">
        <f>IF($A17="","",AND(OR(AE17="",Objective!$B$24="",AE17&gt;=-Objective!$B$24),OR(AF17="",Objective!$B$24="",AF17&gt;=-Objective!$B$24),OR(AG17="",Objective!$B$24="",AG17&gt;=-Objective!$B$24),OR(AH17="",Objective!$B$24="",AH17&gt;=-Objective!$B$24),OR(AI17="",Objective!$B$24="",AI17&gt;=-Objective!$B$24),OR(AJ17="",Objective!$B$24="",AJ17&gt;=-Objective!$B$24),OR(AK17="",Objective!$B$24="",AK17&gt;=-Objective!$B$24),OR(AL17="",Objective!$B$24="",AL17&gt;=-Objective!$B$24)))</f>
        <v/>
      </c>
      <c r="AZ17" s="6">
        <f>IF($A17="","",AND(AX17,AY17,AW17&gt;=Objective!$B$22))</f>
        <v/>
      </c>
      <c r="BA17" s="6">
        <f>IF($A17="","",IF(OR(LOWER($C17)="generated",LOWER($C17)="evaluated",LOWER($C17)="discarded"),TRUE,IF(OR(LOWER($C17)="proposed",LOWER($C17)="promoted"),AZ17,FALSE)))</f>
        <v/>
      </c>
      <c r="BB17" s="6">
        <f>IF($A17="","",IF(AZ17,"proposed (eligible - present to human)","discarded (keep the record and the reason)"))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8" t="n"/>
      <c r="Z18" s="8" t="n"/>
      <c r="AA18" s="8" t="n"/>
      <c r="AB18" s="8" t="n"/>
      <c r="AC18" s="8" t="n"/>
      <c r="AD18" s="8" t="n"/>
      <c r="AE18" s="13">
        <f>IF(OR($A18="",Objective!$A$5=""),"",IF(I18=0,IF(Q18=0,0,IF(Objective!$C$5="lower",-1,1)),IF(Objective!$C$5="lower",(I18-Q18)/ABS(I18),(Q18-I18)/ABS(I18))))</f>
        <v/>
      </c>
      <c r="AF18" s="13">
        <f>IF(OR($A18="",Objective!$A$6=""),"",IF(J18=0,IF(R18=0,0,IF(Objective!$C$6="lower",-1,1)),IF(Objective!$C$6="lower",(J18-R18)/ABS(J18),(R18-J18)/ABS(J18))))</f>
        <v/>
      </c>
      <c r="AG18" s="13">
        <f>IF(OR($A18="",Objective!$A$7=""),"",IF(K18=0,IF(S18=0,0,IF(Objective!$C$7="lower",-1,1)),IF(Objective!$C$7="lower",(K18-S18)/ABS(K18),(S18-K18)/ABS(K18))))</f>
        <v/>
      </c>
      <c r="AH18" s="13">
        <f>IF(OR($A18="",Objective!$A$8=""),"",IF(L18=0,IF(T18=0,0,IF(Objective!$C$8="lower",-1,1)),IF(Objective!$C$8="lower",(L18-T18)/ABS(L18),(T18-L18)/ABS(L18))))</f>
        <v/>
      </c>
      <c r="AI18" s="13">
        <f>IF(OR($A18="",Objective!$A$9=""),"",IF(M18=0,IF(U18=0,0,IF(Objective!$C$9="lower",-1,1)),IF(Objective!$C$9="lower",(M18-U18)/ABS(M18),(U18-M18)/ABS(M18))))</f>
        <v/>
      </c>
      <c r="AJ18" s="13">
        <f>IF(OR($A18="",Objective!$A$10=""),"",IF(N18=0,IF(V18=0,0,IF(Objective!$C$10="lower",-1,1)),IF(Objective!$C$10="lower",(N18-V18)/ABS(N18),(V18-N18)/ABS(N18))))</f>
        <v/>
      </c>
      <c r="AK18" s="13">
        <f>IF(OR($A18="",Objective!$A$11=""),"",IF(O18=0,IF(W18=0,0,IF(Objective!$C$11="lower",-1,1)),IF(Objective!$C$11="lower",(O18-W18)/ABS(O18),(W18-O18)/ABS(O18))))</f>
        <v/>
      </c>
      <c r="AL18" s="13">
        <f>IF(OR($A18="",Objective!$A$12=""),"",IF(P18=0,IF(X18=0,0,IF(Objective!$C$12="lower",-1,1)),IF(Objective!$C$12="lower",(P18-X18)/ABS(P18),(X18-P18)/ABS(P18))))</f>
        <v/>
      </c>
      <c r="AM18" s="13">
        <f>IF(AE18="","",MAX(-1,MIN(1,AE18)))</f>
        <v/>
      </c>
      <c r="AN18" s="13">
        <f>IF(AF18="","",MAX(-1,MIN(1,AF18)))</f>
        <v/>
      </c>
      <c r="AO18" s="13">
        <f>IF(AG18="","",MAX(-1,MIN(1,AG18)))</f>
        <v/>
      </c>
      <c r="AP18" s="13">
        <f>IF(AH18="","",MAX(-1,MIN(1,AH18)))</f>
        <v/>
      </c>
      <c r="AQ18" s="13">
        <f>IF(AI18="","",MAX(-1,MIN(1,AI18)))</f>
        <v/>
      </c>
      <c r="AR18" s="13">
        <f>IF(AJ18="","",MAX(-1,MIN(1,AJ18)))</f>
        <v/>
      </c>
      <c r="AS18" s="13">
        <f>IF(AK18="","",MAX(-1,MIN(1,AK18)))</f>
        <v/>
      </c>
      <c r="AT18" s="13">
        <f>IF(AL18="","",MAX(-1,MIN(1,AL18)))</f>
        <v/>
      </c>
      <c r="AU18" s="13">
        <f>IF($A18="","",IF(AM18="",0,Objective!$B$5/Objective!$B$25*AM18)+IF(AN18="",0,Objective!$B$6/Objective!$B$25*AN18)+IF(AO18="",0,Objective!$B$7/Objective!$B$25*AO18)+IF(AP18="",0,Objective!$B$8/Objective!$B$25*AP18)+IF(AQ18="",0,Objective!$B$9/Objective!$B$25*AQ18)+IF(AR18="",0,Objective!$B$10/Objective!$B$25*AR18)+IF(AS18="",0,Objective!$B$11/Objective!$B$25*AS18)+IF(AT18="",0,Objective!$B$12/Objective!$B$25*AT18))</f>
        <v/>
      </c>
      <c r="AV18" s="13">
        <f>IF($A18="","",Objective!$B$23*MAX(0,N($H18)-N($G18)))</f>
        <v/>
      </c>
      <c r="AW18" s="13">
        <f>IF($A18="","",AU18-AV18)</f>
        <v/>
      </c>
      <c r="AX18" s="6">
        <f>IF($A18="","",AND(OR(Objective!$A$15="",LOWER(Y18)="pass"),OR(Objective!$A$16="",LOWER(Z18)="pass"),OR(Objective!$A$17="",LOWER(AA18)="pass"),OR(Objective!$A$18="",LOWER(AB18)="pass"),OR(Objective!$A$19="",LOWER(AC18)="pass"),OR(Objective!$A$20="",LOWER(AD18)="pass")))</f>
        <v/>
      </c>
      <c r="AY18" s="6">
        <f>IF($A18="","",AND(OR(AE18="",Objective!$B$24="",AE18&gt;=-Objective!$B$24),OR(AF18="",Objective!$B$24="",AF18&gt;=-Objective!$B$24),OR(AG18="",Objective!$B$24="",AG18&gt;=-Objective!$B$24),OR(AH18="",Objective!$B$24="",AH18&gt;=-Objective!$B$24),OR(AI18="",Objective!$B$24="",AI18&gt;=-Objective!$B$24),OR(AJ18="",Objective!$B$24="",AJ18&gt;=-Objective!$B$24),OR(AK18="",Objective!$B$24="",AK18&gt;=-Objective!$B$24),OR(AL18="",Objective!$B$24="",AL18&gt;=-Objective!$B$24)))</f>
        <v/>
      </c>
      <c r="AZ18" s="6">
        <f>IF($A18="","",AND(AX18,AY18,AW18&gt;=Objective!$B$22))</f>
        <v/>
      </c>
      <c r="BA18" s="6">
        <f>IF($A18="","",IF(OR(LOWER($C18)="generated",LOWER($C18)="evaluated",LOWER($C18)="discarded"),TRUE,IF(OR(LOWER($C18)="proposed",LOWER($C18)="promoted"),AZ18,FALSE)))</f>
        <v/>
      </c>
      <c r="BB18" s="6">
        <f>IF($A18="","",IF(AZ18,"proposed (eligible - present to human)","discarded (keep the record and the reason)"))</f>
        <v/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8" t="n"/>
      <c r="Z19" s="8" t="n"/>
      <c r="AA19" s="8" t="n"/>
      <c r="AB19" s="8" t="n"/>
      <c r="AC19" s="8" t="n"/>
      <c r="AD19" s="8" t="n"/>
      <c r="AE19" s="13">
        <f>IF(OR($A19="",Objective!$A$5=""),"",IF(I19=0,IF(Q19=0,0,IF(Objective!$C$5="lower",-1,1)),IF(Objective!$C$5="lower",(I19-Q19)/ABS(I19),(Q19-I19)/ABS(I19))))</f>
        <v/>
      </c>
      <c r="AF19" s="13">
        <f>IF(OR($A19="",Objective!$A$6=""),"",IF(J19=0,IF(R19=0,0,IF(Objective!$C$6="lower",-1,1)),IF(Objective!$C$6="lower",(J19-R19)/ABS(J19),(R19-J19)/ABS(J19))))</f>
        <v/>
      </c>
      <c r="AG19" s="13">
        <f>IF(OR($A19="",Objective!$A$7=""),"",IF(K19=0,IF(S19=0,0,IF(Objective!$C$7="lower",-1,1)),IF(Objective!$C$7="lower",(K19-S19)/ABS(K19),(S19-K19)/ABS(K19))))</f>
        <v/>
      </c>
      <c r="AH19" s="13">
        <f>IF(OR($A19="",Objective!$A$8=""),"",IF(L19=0,IF(T19=0,0,IF(Objective!$C$8="lower",-1,1)),IF(Objective!$C$8="lower",(L19-T19)/ABS(L19),(T19-L19)/ABS(L19))))</f>
        <v/>
      </c>
      <c r="AI19" s="13">
        <f>IF(OR($A19="",Objective!$A$9=""),"",IF(M19=0,IF(U19=0,0,IF(Objective!$C$9="lower",-1,1)),IF(Objective!$C$9="lower",(M19-U19)/ABS(M19),(U19-M19)/ABS(M19))))</f>
        <v/>
      </c>
      <c r="AJ19" s="13">
        <f>IF(OR($A19="",Objective!$A$10=""),"",IF(N19=0,IF(V19=0,0,IF(Objective!$C$10="lower",-1,1)),IF(Objective!$C$10="lower",(N19-V19)/ABS(N19),(V19-N19)/ABS(N19))))</f>
        <v/>
      </c>
      <c r="AK19" s="13">
        <f>IF(OR($A19="",Objective!$A$11=""),"",IF(O19=0,IF(W19=0,0,IF(Objective!$C$11="lower",-1,1)),IF(Objective!$C$11="lower",(O19-W19)/ABS(O19),(W19-O19)/ABS(O19))))</f>
        <v/>
      </c>
      <c r="AL19" s="13">
        <f>IF(OR($A19="",Objective!$A$12=""),"",IF(P19=0,IF(X19=0,0,IF(Objective!$C$12="lower",-1,1)),IF(Objective!$C$12="lower",(P19-X19)/ABS(P19),(X19-P19)/ABS(P19))))</f>
        <v/>
      </c>
      <c r="AM19" s="13">
        <f>IF(AE19="","",MAX(-1,MIN(1,AE19)))</f>
        <v/>
      </c>
      <c r="AN19" s="13">
        <f>IF(AF19="","",MAX(-1,MIN(1,AF19)))</f>
        <v/>
      </c>
      <c r="AO19" s="13">
        <f>IF(AG19="","",MAX(-1,MIN(1,AG19)))</f>
        <v/>
      </c>
      <c r="AP19" s="13">
        <f>IF(AH19="","",MAX(-1,MIN(1,AH19)))</f>
        <v/>
      </c>
      <c r="AQ19" s="13">
        <f>IF(AI19="","",MAX(-1,MIN(1,AI19)))</f>
        <v/>
      </c>
      <c r="AR19" s="13">
        <f>IF(AJ19="","",MAX(-1,MIN(1,AJ19)))</f>
        <v/>
      </c>
      <c r="AS19" s="13">
        <f>IF(AK19="","",MAX(-1,MIN(1,AK19)))</f>
        <v/>
      </c>
      <c r="AT19" s="13">
        <f>IF(AL19="","",MAX(-1,MIN(1,AL19)))</f>
        <v/>
      </c>
      <c r="AU19" s="13">
        <f>IF($A19="","",IF(AM19="",0,Objective!$B$5/Objective!$B$25*AM19)+IF(AN19="",0,Objective!$B$6/Objective!$B$25*AN19)+IF(AO19="",0,Objective!$B$7/Objective!$B$25*AO19)+IF(AP19="",0,Objective!$B$8/Objective!$B$25*AP19)+IF(AQ19="",0,Objective!$B$9/Objective!$B$25*AQ19)+IF(AR19="",0,Objective!$B$10/Objective!$B$25*AR19)+IF(AS19="",0,Objective!$B$11/Objective!$B$25*AS19)+IF(AT19="",0,Objective!$B$12/Objective!$B$25*AT19))</f>
        <v/>
      </c>
      <c r="AV19" s="13">
        <f>IF($A19="","",Objective!$B$23*MAX(0,N($H19)-N($G19)))</f>
        <v/>
      </c>
      <c r="AW19" s="13">
        <f>IF($A19="","",AU19-AV19)</f>
        <v/>
      </c>
      <c r="AX19" s="6">
        <f>IF($A19="","",AND(OR(Objective!$A$15="",LOWER(Y19)="pass"),OR(Objective!$A$16="",LOWER(Z19)="pass"),OR(Objective!$A$17="",LOWER(AA19)="pass"),OR(Objective!$A$18="",LOWER(AB19)="pass"),OR(Objective!$A$19="",LOWER(AC19)="pass"),OR(Objective!$A$20="",LOWER(AD19)="pass")))</f>
        <v/>
      </c>
      <c r="AY19" s="6">
        <f>IF($A19="","",AND(OR(AE19="",Objective!$B$24="",AE19&gt;=-Objective!$B$24),OR(AF19="",Objective!$B$24="",AF19&gt;=-Objective!$B$24),OR(AG19="",Objective!$B$24="",AG19&gt;=-Objective!$B$24),OR(AH19="",Objective!$B$24="",AH19&gt;=-Objective!$B$24),OR(AI19="",Objective!$B$24="",AI19&gt;=-Objective!$B$24),OR(AJ19="",Objective!$B$24="",AJ19&gt;=-Objective!$B$24),OR(AK19="",Objective!$B$24="",AK19&gt;=-Objective!$B$24),OR(AL19="",Objective!$B$24="",AL19&gt;=-Objective!$B$24)))</f>
        <v/>
      </c>
      <c r="AZ19" s="6">
        <f>IF($A19="","",AND(AX19,AY19,AW19&gt;=Objective!$B$22))</f>
        <v/>
      </c>
      <c r="BA19" s="6">
        <f>IF($A19="","",IF(OR(LOWER($C19)="generated",LOWER($C19)="evaluated",LOWER($C19)="discarded"),TRUE,IF(OR(LOWER($C19)="proposed",LOWER($C19)="promoted"),AZ19,FALSE)))</f>
        <v/>
      </c>
      <c r="BB19" s="6">
        <f>IF($A19="","",IF(AZ19,"proposed (eligible - present to human)","discarded (keep the record and the reason)"))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8" t="n"/>
      <c r="Z20" s="8" t="n"/>
      <c r="AA20" s="8" t="n"/>
      <c r="AB20" s="8" t="n"/>
      <c r="AC20" s="8" t="n"/>
      <c r="AD20" s="8" t="n"/>
      <c r="AE20" s="13">
        <f>IF(OR($A20="",Objective!$A$5=""),"",IF(I20=0,IF(Q20=0,0,IF(Objective!$C$5="lower",-1,1)),IF(Objective!$C$5="lower",(I20-Q20)/ABS(I20),(Q20-I20)/ABS(I20))))</f>
        <v/>
      </c>
      <c r="AF20" s="13">
        <f>IF(OR($A20="",Objective!$A$6=""),"",IF(J20=0,IF(R20=0,0,IF(Objective!$C$6="lower",-1,1)),IF(Objective!$C$6="lower",(J20-R20)/ABS(J20),(R20-J20)/ABS(J20))))</f>
        <v/>
      </c>
      <c r="AG20" s="13">
        <f>IF(OR($A20="",Objective!$A$7=""),"",IF(K20=0,IF(S20=0,0,IF(Objective!$C$7="lower",-1,1)),IF(Objective!$C$7="lower",(K20-S20)/ABS(K20),(S20-K20)/ABS(K20))))</f>
        <v/>
      </c>
      <c r="AH20" s="13">
        <f>IF(OR($A20="",Objective!$A$8=""),"",IF(L20=0,IF(T20=0,0,IF(Objective!$C$8="lower",-1,1)),IF(Objective!$C$8="lower",(L20-T20)/ABS(L20),(T20-L20)/ABS(L20))))</f>
        <v/>
      </c>
      <c r="AI20" s="13">
        <f>IF(OR($A20="",Objective!$A$9=""),"",IF(M20=0,IF(U20=0,0,IF(Objective!$C$9="lower",-1,1)),IF(Objective!$C$9="lower",(M20-U20)/ABS(M20),(U20-M20)/ABS(M20))))</f>
        <v/>
      </c>
      <c r="AJ20" s="13">
        <f>IF(OR($A20="",Objective!$A$10=""),"",IF(N20=0,IF(V20=0,0,IF(Objective!$C$10="lower",-1,1)),IF(Objective!$C$10="lower",(N20-V20)/ABS(N20),(V20-N20)/ABS(N20))))</f>
        <v/>
      </c>
      <c r="AK20" s="13">
        <f>IF(OR($A20="",Objective!$A$11=""),"",IF(O20=0,IF(W20=0,0,IF(Objective!$C$11="lower",-1,1)),IF(Objective!$C$11="lower",(O20-W20)/ABS(O20),(W20-O20)/ABS(O20))))</f>
        <v/>
      </c>
      <c r="AL20" s="13">
        <f>IF(OR($A20="",Objective!$A$12=""),"",IF(P20=0,IF(X20=0,0,IF(Objective!$C$12="lower",-1,1)),IF(Objective!$C$12="lower",(P20-X20)/ABS(P20),(X20-P20)/ABS(P20))))</f>
        <v/>
      </c>
      <c r="AM20" s="13">
        <f>IF(AE20="","",MAX(-1,MIN(1,AE20)))</f>
        <v/>
      </c>
      <c r="AN20" s="13">
        <f>IF(AF20="","",MAX(-1,MIN(1,AF20)))</f>
        <v/>
      </c>
      <c r="AO20" s="13">
        <f>IF(AG20="","",MAX(-1,MIN(1,AG20)))</f>
        <v/>
      </c>
      <c r="AP20" s="13">
        <f>IF(AH20="","",MAX(-1,MIN(1,AH20)))</f>
        <v/>
      </c>
      <c r="AQ20" s="13">
        <f>IF(AI20="","",MAX(-1,MIN(1,AI20)))</f>
        <v/>
      </c>
      <c r="AR20" s="13">
        <f>IF(AJ20="","",MAX(-1,MIN(1,AJ20)))</f>
        <v/>
      </c>
      <c r="AS20" s="13">
        <f>IF(AK20="","",MAX(-1,MIN(1,AK20)))</f>
        <v/>
      </c>
      <c r="AT20" s="13">
        <f>IF(AL20="","",MAX(-1,MIN(1,AL20)))</f>
        <v/>
      </c>
      <c r="AU20" s="13">
        <f>IF($A20="","",IF(AM20="",0,Objective!$B$5/Objective!$B$25*AM20)+IF(AN20="",0,Objective!$B$6/Objective!$B$25*AN20)+IF(AO20="",0,Objective!$B$7/Objective!$B$25*AO20)+IF(AP20="",0,Objective!$B$8/Objective!$B$25*AP20)+IF(AQ20="",0,Objective!$B$9/Objective!$B$25*AQ20)+IF(AR20="",0,Objective!$B$10/Objective!$B$25*AR20)+IF(AS20="",0,Objective!$B$11/Objective!$B$25*AS20)+IF(AT20="",0,Objective!$B$12/Objective!$B$25*AT20))</f>
        <v/>
      </c>
      <c r="AV20" s="13">
        <f>IF($A20="","",Objective!$B$23*MAX(0,N($H20)-N($G20)))</f>
        <v/>
      </c>
      <c r="AW20" s="13">
        <f>IF($A20="","",AU20-AV20)</f>
        <v/>
      </c>
      <c r="AX20" s="6">
        <f>IF($A20="","",AND(OR(Objective!$A$15="",LOWER(Y20)="pass"),OR(Objective!$A$16="",LOWER(Z20)="pass"),OR(Objective!$A$17="",LOWER(AA20)="pass"),OR(Objective!$A$18="",LOWER(AB20)="pass"),OR(Objective!$A$19="",LOWER(AC20)="pass"),OR(Objective!$A$20="",LOWER(AD20)="pass")))</f>
        <v/>
      </c>
      <c r="AY20" s="6">
        <f>IF($A20="","",AND(OR(AE20="",Objective!$B$24="",AE20&gt;=-Objective!$B$24),OR(AF20="",Objective!$B$24="",AF20&gt;=-Objective!$B$24),OR(AG20="",Objective!$B$24="",AG20&gt;=-Objective!$B$24),OR(AH20="",Objective!$B$24="",AH20&gt;=-Objective!$B$24),OR(AI20="",Objective!$B$24="",AI20&gt;=-Objective!$B$24),OR(AJ20="",Objective!$B$24="",AJ20&gt;=-Objective!$B$24),OR(AK20="",Objective!$B$24="",AK20&gt;=-Objective!$B$24),OR(AL20="",Objective!$B$24="",AL20&gt;=-Objective!$B$24)))</f>
        <v/>
      </c>
      <c r="AZ20" s="6">
        <f>IF($A20="","",AND(AX20,AY20,AW20&gt;=Objective!$B$22))</f>
        <v/>
      </c>
      <c r="BA20" s="6">
        <f>IF($A20="","",IF(OR(LOWER($C20)="generated",LOWER($C20)="evaluated",LOWER($C20)="discarded"),TRUE,IF(OR(LOWER($C20)="proposed",LOWER($C20)="promoted"),AZ20,FALSE)))</f>
        <v/>
      </c>
      <c r="BB20" s="6">
        <f>IF($A20="","",IF(AZ20,"proposed (eligible - present to human)","discarded (keep the record and the reason)"))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8" t="n"/>
      <c r="Z21" s="8" t="n"/>
      <c r="AA21" s="8" t="n"/>
      <c r="AB21" s="8" t="n"/>
      <c r="AC21" s="8" t="n"/>
      <c r="AD21" s="8" t="n"/>
      <c r="AE21" s="13">
        <f>IF(OR($A21="",Objective!$A$5=""),"",IF(I21=0,IF(Q21=0,0,IF(Objective!$C$5="lower",-1,1)),IF(Objective!$C$5="lower",(I21-Q21)/ABS(I21),(Q21-I21)/ABS(I21))))</f>
        <v/>
      </c>
      <c r="AF21" s="13">
        <f>IF(OR($A21="",Objective!$A$6=""),"",IF(J21=0,IF(R21=0,0,IF(Objective!$C$6="lower",-1,1)),IF(Objective!$C$6="lower",(J21-R21)/ABS(J21),(R21-J21)/ABS(J21))))</f>
        <v/>
      </c>
      <c r="AG21" s="13">
        <f>IF(OR($A21="",Objective!$A$7=""),"",IF(K21=0,IF(S21=0,0,IF(Objective!$C$7="lower",-1,1)),IF(Objective!$C$7="lower",(K21-S21)/ABS(K21),(S21-K21)/ABS(K21))))</f>
        <v/>
      </c>
      <c r="AH21" s="13">
        <f>IF(OR($A21="",Objective!$A$8=""),"",IF(L21=0,IF(T21=0,0,IF(Objective!$C$8="lower",-1,1)),IF(Objective!$C$8="lower",(L21-T21)/ABS(L21),(T21-L21)/ABS(L21))))</f>
        <v/>
      </c>
      <c r="AI21" s="13">
        <f>IF(OR($A21="",Objective!$A$9=""),"",IF(M21=0,IF(U21=0,0,IF(Objective!$C$9="lower",-1,1)),IF(Objective!$C$9="lower",(M21-U21)/ABS(M21),(U21-M21)/ABS(M21))))</f>
        <v/>
      </c>
      <c r="AJ21" s="13">
        <f>IF(OR($A21="",Objective!$A$10=""),"",IF(N21=0,IF(V21=0,0,IF(Objective!$C$10="lower",-1,1)),IF(Objective!$C$10="lower",(N21-V21)/ABS(N21),(V21-N21)/ABS(N21))))</f>
        <v/>
      </c>
      <c r="AK21" s="13">
        <f>IF(OR($A21="",Objective!$A$11=""),"",IF(O21=0,IF(W21=0,0,IF(Objective!$C$11="lower",-1,1)),IF(Objective!$C$11="lower",(O21-W21)/ABS(O21),(W21-O21)/ABS(O21))))</f>
        <v/>
      </c>
      <c r="AL21" s="13">
        <f>IF(OR($A21="",Objective!$A$12=""),"",IF(P21=0,IF(X21=0,0,IF(Objective!$C$12="lower",-1,1)),IF(Objective!$C$12="lower",(P21-X21)/ABS(P21),(X21-P21)/ABS(P21))))</f>
        <v/>
      </c>
      <c r="AM21" s="13">
        <f>IF(AE21="","",MAX(-1,MIN(1,AE21)))</f>
        <v/>
      </c>
      <c r="AN21" s="13">
        <f>IF(AF21="","",MAX(-1,MIN(1,AF21)))</f>
        <v/>
      </c>
      <c r="AO21" s="13">
        <f>IF(AG21="","",MAX(-1,MIN(1,AG21)))</f>
        <v/>
      </c>
      <c r="AP21" s="13">
        <f>IF(AH21="","",MAX(-1,MIN(1,AH21)))</f>
        <v/>
      </c>
      <c r="AQ21" s="13">
        <f>IF(AI21="","",MAX(-1,MIN(1,AI21)))</f>
        <v/>
      </c>
      <c r="AR21" s="13">
        <f>IF(AJ21="","",MAX(-1,MIN(1,AJ21)))</f>
        <v/>
      </c>
      <c r="AS21" s="13">
        <f>IF(AK21="","",MAX(-1,MIN(1,AK21)))</f>
        <v/>
      </c>
      <c r="AT21" s="13">
        <f>IF(AL21="","",MAX(-1,MIN(1,AL21)))</f>
        <v/>
      </c>
      <c r="AU21" s="13">
        <f>IF($A21="","",IF(AM21="",0,Objective!$B$5/Objective!$B$25*AM21)+IF(AN21="",0,Objective!$B$6/Objective!$B$25*AN21)+IF(AO21="",0,Objective!$B$7/Objective!$B$25*AO21)+IF(AP21="",0,Objective!$B$8/Objective!$B$25*AP21)+IF(AQ21="",0,Objective!$B$9/Objective!$B$25*AQ21)+IF(AR21="",0,Objective!$B$10/Objective!$B$25*AR21)+IF(AS21="",0,Objective!$B$11/Objective!$B$25*AS21)+IF(AT21="",0,Objective!$B$12/Objective!$B$25*AT21))</f>
        <v/>
      </c>
      <c r="AV21" s="13">
        <f>IF($A21="","",Objective!$B$23*MAX(0,N($H21)-N($G21)))</f>
        <v/>
      </c>
      <c r="AW21" s="13">
        <f>IF($A21="","",AU21-AV21)</f>
        <v/>
      </c>
      <c r="AX21" s="6">
        <f>IF($A21="","",AND(OR(Objective!$A$15="",LOWER(Y21)="pass"),OR(Objective!$A$16="",LOWER(Z21)="pass"),OR(Objective!$A$17="",LOWER(AA21)="pass"),OR(Objective!$A$18="",LOWER(AB21)="pass"),OR(Objective!$A$19="",LOWER(AC21)="pass"),OR(Objective!$A$20="",LOWER(AD21)="pass")))</f>
        <v/>
      </c>
      <c r="AY21" s="6">
        <f>IF($A21="","",AND(OR(AE21="",Objective!$B$24="",AE21&gt;=-Objective!$B$24),OR(AF21="",Objective!$B$24="",AF21&gt;=-Objective!$B$24),OR(AG21="",Objective!$B$24="",AG21&gt;=-Objective!$B$24),OR(AH21="",Objective!$B$24="",AH21&gt;=-Objective!$B$24),OR(AI21="",Objective!$B$24="",AI21&gt;=-Objective!$B$24),OR(AJ21="",Objective!$B$24="",AJ21&gt;=-Objective!$B$24),OR(AK21="",Objective!$B$24="",AK21&gt;=-Objective!$B$24),OR(AL21="",Objective!$B$24="",AL21&gt;=-Objective!$B$24)))</f>
        <v/>
      </c>
      <c r="AZ21" s="6">
        <f>IF($A21="","",AND(AX21,AY21,AW21&gt;=Objective!$B$22))</f>
        <v/>
      </c>
      <c r="BA21" s="6">
        <f>IF($A21="","",IF(OR(LOWER($C21)="generated",LOWER($C21)="evaluated",LOWER($C21)="discarded"),TRUE,IF(OR(LOWER($C21)="proposed",LOWER($C21)="promoted"),AZ21,FALSE)))</f>
        <v/>
      </c>
      <c r="BB21" s="6">
        <f>IF($A21="","",IF(AZ21,"proposed (eligible - present to human)","discarded (keep the record and the reason)"))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8" t="n"/>
      <c r="Z22" s="8" t="n"/>
      <c r="AA22" s="8" t="n"/>
      <c r="AB22" s="8" t="n"/>
      <c r="AC22" s="8" t="n"/>
      <c r="AD22" s="8" t="n"/>
      <c r="AE22" s="13">
        <f>IF(OR($A22="",Objective!$A$5=""),"",IF(I22=0,IF(Q22=0,0,IF(Objective!$C$5="lower",-1,1)),IF(Objective!$C$5="lower",(I22-Q22)/ABS(I22),(Q22-I22)/ABS(I22))))</f>
        <v/>
      </c>
      <c r="AF22" s="13">
        <f>IF(OR($A22="",Objective!$A$6=""),"",IF(J22=0,IF(R22=0,0,IF(Objective!$C$6="lower",-1,1)),IF(Objective!$C$6="lower",(J22-R22)/ABS(J22),(R22-J22)/ABS(J22))))</f>
        <v/>
      </c>
      <c r="AG22" s="13">
        <f>IF(OR($A22="",Objective!$A$7=""),"",IF(K22=0,IF(S22=0,0,IF(Objective!$C$7="lower",-1,1)),IF(Objective!$C$7="lower",(K22-S22)/ABS(K22),(S22-K22)/ABS(K22))))</f>
        <v/>
      </c>
      <c r="AH22" s="13">
        <f>IF(OR($A22="",Objective!$A$8=""),"",IF(L22=0,IF(T22=0,0,IF(Objective!$C$8="lower",-1,1)),IF(Objective!$C$8="lower",(L22-T22)/ABS(L22),(T22-L22)/ABS(L22))))</f>
        <v/>
      </c>
      <c r="AI22" s="13">
        <f>IF(OR($A22="",Objective!$A$9=""),"",IF(M22=0,IF(U22=0,0,IF(Objective!$C$9="lower",-1,1)),IF(Objective!$C$9="lower",(M22-U22)/ABS(M22),(U22-M22)/ABS(M22))))</f>
        <v/>
      </c>
      <c r="AJ22" s="13">
        <f>IF(OR($A22="",Objective!$A$10=""),"",IF(N22=0,IF(V22=0,0,IF(Objective!$C$10="lower",-1,1)),IF(Objective!$C$10="lower",(N22-V22)/ABS(N22),(V22-N22)/ABS(N22))))</f>
        <v/>
      </c>
      <c r="AK22" s="13">
        <f>IF(OR($A22="",Objective!$A$11=""),"",IF(O22=0,IF(W22=0,0,IF(Objective!$C$11="lower",-1,1)),IF(Objective!$C$11="lower",(O22-W22)/ABS(O22),(W22-O22)/ABS(O22))))</f>
        <v/>
      </c>
      <c r="AL22" s="13">
        <f>IF(OR($A22="",Objective!$A$12=""),"",IF(P22=0,IF(X22=0,0,IF(Objective!$C$12="lower",-1,1)),IF(Objective!$C$12="lower",(P22-X22)/ABS(P22),(X22-P22)/ABS(P22))))</f>
        <v/>
      </c>
      <c r="AM22" s="13">
        <f>IF(AE22="","",MAX(-1,MIN(1,AE22)))</f>
        <v/>
      </c>
      <c r="AN22" s="13">
        <f>IF(AF22="","",MAX(-1,MIN(1,AF22)))</f>
        <v/>
      </c>
      <c r="AO22" s="13">
        <f>IF(AG22="","",MAX(-1,MIN(1,AG22)))</f>
        <v/>
      </c>
      <c r="AP22" s="13">
        <f>IF(AH22="","",MAX(-1,MIN(1,AH22)))</f>
        <v/>
      </c>
      <c r="AQ22" s="13">
        <f>IF(AI22="","",MAX(-1,MIN(1,AI22)))</f>
        <v/>
      </c>
      <c r="AR22" s="13">
        <f>IF(AJ22="","",MAX(-1,MIN(1,AJ22)))</f>
        <v/>
      </c>
      <c r="AS22" s="13">
        <f>IF(AK22="","",MAX(-1,MIN(1,AK22)))</f>
        <v/>
      </c>
      <c r="AT22" s="13">
        <f>IF(AL22="","",MAX(-1,MIN(1,AL22)))</f>
        <v/>
      </c>
      <c r="AU22" s="13">
        <f>IF($A22="","",IF(AM22="",0,Objective!$B$5/Objective!$B$25*AM22)+IF(AN22="",0,Objective!$B$6/Objective!$B$25*AN22)+IF(AO22="",0,Objective!$B$7/Objective!$B$25*AO22)+IF(AP22="",0,Objective!$B$8/Objective!$B$25*AP22)+IF(AQ22="",0,Objective!$B$9/Objective!$B$25*AQ22)+IF(AR22="",0,Objective!$B$10/Objective!$B$25*AR22)+IF(AS22="",0,Objective!$B$11/Objective!$B$25*AS22)+IF(AT22="",0,Objective!$B$12/Objective!$B$25*AT22))</f>
        <v/>
      </c>
      <c r="AV22" s="13">
        <f>IF($A22="","",Objective!$B$23*MAX(0,N($H22)-N($G22)))</f>
        <v/>
      </c>
      <c r="AW22" s="13">
        <f>IF($A22="","",AU22-AV22)</f>
        <v/>
      </c>
      <c r="AX22" s="6">
        <f>IF($A22="","",AND(OR(Objective!$A$15="",LOWER(Y22)="pass"),OR(Objective!$A$16="",LOWER(Z22)="pass"),OR(Objective!$A$17="",LOWER(AA22)="pass"),OR(Objective!$A$18="",LOWER(AB22)="pass"),OR(Objective!$A$19="",LOWER(AC22)="pass"),OR(Objective!$A$20="",LOWER(AD22)="pass")))</f>
        <v/>
      </c>
      <c r="AY22" s="6">
        <f>IF($A22="","",AND(OR(AE22="",Objective!$B$24="",AE22&gt;=-Objective!$B$24),OR(AF22="",Objective!$B$24="",AF22&gt;=-Objective!$B$24),OR(AG22="",Objective!$B$24="",AG22&gt;=-Objective!$B$24),OR(AH22="",Objective!$B$24="",AH22&gt;=-Objective!$B$24),OR(AI22="",Objective!$B$24="",AI22&gt;=-Objective!$B$24),OR(AJ22="",Objective!$B$24="",AJ22&gt;=-Objective!$B$24),OR(AK22="",Objective!$B$24="",AK22&gt;=-Objective!$B$24),OR(AL22="",Objective!$B$24="",AL22&gt;=-Objective!$B$24)))</f>
        <v/>
      </c>
      <c r="AZ22" s="6">
        <f>IF($A22="","",AND(AX22,AY22,AW22&gt;=Objective!$B$22))</f>
        <v/>
      </c>
      <c r="BA22" s="6">
        <f>IF($A22="","",IF(OR(LOWER($C22)="generated",LOWER($C22)="evaluated",LOWER($C22)="discarded"),TRUE,IF(OR(LOWER($C22)="proposed",LOWER($C22)="promoted"),AZ22,FALSE)))</f>
        <v/>
      </c>
      <c r="BB22" s="6">
        <f>IF($A22="","",IF(AZ22,"proposed (eligible - present to human)","discarded (keep the record and the reason)"))</f>
        <v/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8" t="n"/>
      <c r="Z23" s="8" t="n"/>
      <c r="AA23" s="8" t="n"/>
      <c r="AB23" s="8" t="n"/>
      <c r="AC23" s="8" t="n"/>
      <c r="AD23" s="8" t="n"/>
      <c r="AE23" s="13">
        <f>IF(OR($A23="",Objective!$A$5=""),"",IF(I23=0,IF(Q23=0,0,IF(Objective!$C$5="lower",-1,1)),IF(Objective!$C$5="lower",(I23-Q23)/ABS(I23),(Q23-I23)/ABS(I23))))</f>
        <v/>
      </c>
      <c r="AF23" s="13">
        <f>IF(OR($A23="",Objective!$A$6=""),"",IF(J23=0,IF(R23=0,0,IF(Objective!$C$6="lower",-1,1)),IF(Objective!$C$6="lower",(J23-R23)/ABS(J23),(R23-J23)/ABS(J23))))</f>
        <v/>
      </c>
      <c r="AG23" s="13">
        <f>IF(OR($A23="",Objective!$A$7=""),"",IF(K23=0,IF(S23=0,0,IF(Objective!$C$7="lower",-1,1)),IF(Objective!$C$7="lower",(K23-S23)/ABS(K23),(S23-K23)/ABS(K23))))</f>
        <v/>
      </c>
      <c r="AH23" s="13">
        <f>IF(OR($A23="",Objective!$A$8=""),"",IF(L23=0,IF(T23=0,0,IF(Objective!$C$8="lower",-1,1)),IF(Objective!$C$8="lower",(L23-T23)/ABS(L23),(T23-L23)/ABS(L23))))</f>
        <v/>
      </c>
      <c r="AI23" s="13">
        <f>IF(OR($A23="",Objective!$A$9=""),"",IF(M23=0,IF(U23=0,0,IF(Objective!$C$9="lower",-1,1)),IF(Objective!$C$9="lower",(M23-U23)/ABS(M23),(U23-M23)/ABS(M23))))</f>
        <v/>
      </c>
      <c r="AJ23" s="13">
        <f>IF(OR($A23="",Objective!$A$10=""),"",IF(N23=0,IF(V23=0,0,IF(Objective!$C$10="lower",-1,1)),IF(Objective!$C$10="lower",(N23-V23)/ABS(N23),(V23-N23)/ABS(N23))))</f>
        <v/>
      </c>
      <c r="AK23" s="13">
        <f>IF(OR($A23="",Objective!$A$11=""),"",IF(O23=0,IF(W23=0,0,IF(Objective!$C$11="lower",-1,1)),IF(Objective!$C$11="lower",(O23-W23)/ABS(O23),(W23-O23)/ABS(O23))))</f>
        <v/>
      </c>
      <c r="AL23" s="13">
        <f>IF(OR($A23="",Objective!$A$12=""),"",IF(P23=0,IF(X23=0,0,IF(Objective!$C$12="lower",-1,1)),IF(Objective!$C$12="lower",(P23-X23)/ABS(P23),(X23-P23)/ABS(P23))))</f>
        <v/>
      </c>
      <c r="AM23" s="13">
        <f>IF(AE23="","",MAX(-1,MIN(1,AE23)))</f>
        <v/>
      </c>
      <c r="AN23" s="13">
        <f>IF(AF23="","",MAX(-1,MIN(1,AF23)))</f>
        <v/>
      </c>
      <c r="AO23" s="13">
        <f>IF(AG23="","",MAX(-1,MIN(1,AG23)))</f>
        <v/>
      </c>
      <c r="AP23" s="13">
        <f>IF(AH23="","",MAX(-1,MIN(1,AH23)))</f>
        <v/>
      </c>
      <c r="AQ23" s="13">
        <f>IF(AI23="","",MAX(-1,MIN(1,AI23)))</f>
        <v/>
      </c>
      <c r="AR23" s="13">
        <f>IF(AJ23="","",MAX(-1,MIN(1,AJ23)))</f>
        <v/>
      </c>
      <c r="AS23" s="13">
        <f>IF(AK23="","",MAX(-1,MIN(1,AK23)))</f>
        <v/>
      </c>
      <c r="AT23" s="13">
        <f>IF(AL23="","",MAX(-1,MIN(1,AL23)))</f>
        <v/>
      </c>
      <c r="AU23" s="13">
        <f>IF($A23="","",IF(AM23="",0,Objective!$B$5/Objective!$B$25*AM23)+IF(AN23="",0,Objective!$B$6/Objective!$B$25*AN23)+IF(AO23="",0,Objective!$B$7/Objective!$B$25*AO23)+IF(AP23="",0,Objective!$B$8/Objective!$B$25*AP23)+IF(AQ23="",0,Objective!$B$9/Objective!$B$25*AQ23)+IF(AR23="",0,Objective!$B$10/Objective!$B$25*AR23)+IF(AS23="",0,Objective!$B$11/Objective!$B$25*AS23)+IF(AT23="",0,Objective!$B$12/Objective!$B$25*AT23))</f>
        <v/>
      </c>
      <c r="AV23" s="13">
        <f>IF($A23="","",Objective!$B$23*MAX(0,N($H23)-N($G23)))</f>
        <v/>
      </c>
      <c r="AW23" s="13">
        <f>IF($A23="","",AU23-AV23)</f>
        <v/>
      </c>
      <c r="AX23" s="6">
        <f>IF($A23="","",AND(OR(Objective!$A$15="",LOWER(Y23)="pass"),OR(Objective!$A$16="",LOWER(Z23)="pass"),OR(Objective!$A$17="",LOWER(AA23)="pass"),OR(Objective!$A$18="",LOWER(AB23)="pass"),OR(Objective!$A$19="",LOWER(AC23)="pass"),OR(Objective!$A$20="",LOWER(AD23)="pass")))</f>
        <v/>
      </c>
      <c r="AY23" s="6">
        <f>IF($A23="","",AND(OR(AE23="",Objective!$B$24="",AE23&gt;=-Objective!$B$24),OR(AF23="",Objective!$B$24="",AF23&gt;=-Objective!$B$24),OR(AG23="",Objective!$B$24="",AG23&gt;=-Objective!$B$24),OR(AH23="",Objective!$B$24="",AH23&gt;=-Objective!$B$24),OR(AI23="",Objective!$B$24="",AI23&gt;=-Objective!$B$24),OR(AJ23="",Objective!$B$24="",AJ23&gt;=-Objective!$B$24),OR(AK23="",Objective!$B$24="",AK23&gt;=-Objective!$B$24),OR(AL23="",Objective!$B$24="",AL23&gt;=-Objective!$B$24)))</f>
        <v/>
      </c>
      <c r="AZ23" s="6">
        <f>IF($A23="","",AND(AX23,AY23,AW23&gt;=Objective!$B$22))</f>
        <v/>
      </c>
      <c r="BA23" s="6">
        <f>IF($A23="","",IF(OR(LOWER($C23)="generated",LOWER($C23)="evaluated",LOWER($C23)="discarded"),TRUE,IF(OR(LOWER($C23)="proposed",LOWER($C23)="promoted"),AZ23,FALSE)))</f>
        <v/>
      </c>
      <c r="BB23" s="6">
        <f>IF($A23="","",IF(AZ23,"proposed (eligible - present to human)","discarded (keep the record and the reason)"))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8" t="n"/>
      <c r="Z24" s="8" t="n"/>
      <c r="AA24" s="8" t="n"/>
      <c r="AB24" s="8" t="n"/>
      <c r="AC24" s="8" t="n"/>
      <c r="AD24" s="8" t="n"/>
      <c r="AE24" s="13">
        <f>IF(OR($A24="",Objective!$A$5=""),"",IF(I24=0,IF(Q24=0,0,IF(Objective!$C$5="lower",-1,1)),IF(Objective!$C$5="lower",(I24-Q24)/ABS(I24),(Q24-I24)/ABS(I24))))</f>
        <v/>
      </c>
      <c r="AF24" s="13">
        <f>IF(OR($A24="",Objective!$A$6=""),"",IF(J24=0,IF(R24=0,0,IF(Objective!$C$6="lower",-1,1)),IF(Objective!$C$6="lower",(J24-R24)/ABS(J24),(R24-J24)/ABS(J24))))</f>
        <v/>
      </c>
      <c r="AG24" s="13">
        <f>IF(OR($A24="",Objective!$A$7=""),"",IF(K24=0,IF(S24=0,0,IF(Objective!$C$7="lower",-1,1)),IF(Objective!$C$7="lower",(K24-S24)/ABS(K24),(S24-K24)/ABS(K24))))</f>
        <v/>
      </c>
      <c r="AH24" s="13">
        <f>IF(OR($A24="",Objective!$A$8=""),"",IF(L24=0,IF(T24=0,0,IF(Objective!$C$8="lower",-1,1)),IF(Objective!$C$8="lower",(L24-T24)/ABS(L24),(T24-L24)/ABS(L24))))</f>
        <v/>
      </c>
      <c r="AI24" s="13">
        <f>IF(OR($A24="",Objective!$A$9=""),"",IF(M24=0,IF(U24=0,0,IF(Objective!$C$9="lower",-1,1)),IF(Objective!$C$9="lower",(M24-U24)/ABS(M24),(U24-M24)/ABS(M24))))</f>
        <v/>
      </c>
      <c r="AJ24" s="13">
        <f>IF(OR($A24="",Objective!$A$10=""),"",IF(N24=0,IF(V24=0,0,IF(Objective!$C$10="lower",-1,1)),IF(Objective!$C$10="lower",(N24-V24)/ABS(N24),(V24-N24)/ABS(N24))))</f>
        <v/>
      </c>
      <c r="AK24" s="13">
        <f>IF(OR($A24="",Objective!$A$11=""),"",IF(O24=0,IF(W24=0,0,IF(Objective!$C$11="lower",-1,1)),IF(Objective!$C$11="lower",(O24-W24)/ABS(O24),(W24-O24)/ABS(O24))))</f>
        <v/>
      </c>
      <c r="AL24" s="13">
        <f>IF(OR($A24="",Objective!$A$12=""),"",IF(P24=0,IF(X24=0,0,IF(Objective!$C$12="lower",-1,1)),IF(Objective!$C$12="lower",(P24-X24)/ABS(P24),(X24-P24)/ABS(P24))))</f>
        <v/>
      </c>
      <c r="AM24" s="13">
        <f>IF(AE24="","",MAX(-1,MIN(1,AE24)))</f>
        <v/>
      </c>
      <c r="AN24" s="13">
        <f>IF(AF24="","",MAX(-1,MIN(1,AF24)))</f>
        <v/>
      </c>
      <c r="AO24" s="13">
        <f>IF(AG24="","",MAX(-1,MIN(1,AG24)))</f>
        <v/>
      </c>
      <c r="AP24" s="13">
        <f>IF(AH24="","",MAX(-1,MIN(1,AH24)))</f>
        <v/>
      </c>
      <c r="AQ24" s="13">
        <f>IF(AI24="","",MAX(-1,MIN(1,AI24)))</f>
        <v/>
      </c>
      <c r="AR24" s="13">
        <f>IF(AJ24="","",MAX(-1,MIN(1,AJ24)))</f>
        <v/>
      </c>
      <c r="AS24" s="13">
        <f>IF(AK24="","",MAX(-1,MIN(1,AK24)))</f>
        <v/>
      </c>
      <c r="AT24" s="13">
        <f>IF(AL24="","",MAX(-1,MIN(1,AL24)))</f>
        <v/>
      </c>
      <c r="AU24" s="13">
        <f>IF($A24="","",IF(AM24="",0,Objective!$B$5/Objective!$B$25*AM24)+IF(AN24="",0,Objective!$B$6/Objective!$B$25*AN24)+IF(AO24="",0,Objective!$B$7/Objective!$B$25*AO24)+IF(AP24="",0,Objective!$B$8/Objective!$B$25*AP24)+IF(AQ24="",0,Objective!$B$9/Objective!$B$25*AQ24)+IF(AR24="",0,Objective!$B$10/Objective!$B$25*AR24)+IF(AS24="",0,Objective!$B$11/Objective!$B$25*AS24)+IF(AT24="",0,Objective!$B$12/Objective!$B$25*AT24))</f>
        <v/>
      </c>
      <c r="AV24" s="13">
        <f>IF($A24="","",Objective!$B$23*MAX(0,N($H24)-N($G24)))</f>
        <v/>
      </c>
      <c r="AW24" s="13">
        <f>IF($A24="","",AU24-AV24)</f>
        <v/>
      </c>
      <c r="AX24" s="6">
        <f>IF($A24="","",AND(OR(Objective!$A$15="",LOWER(Y24)="pass"),OR(Objective!$A$16="",LOWER(Z24)="pass"),OR(Objective!$A$17="",LOWER(AA24)="pass"),OR(Objective!$A$18="",LOWER(AB24)="pass"),OR(Objective!$A$19="",LOWER(AC24)="pass"),OR(Objective!$A$20="",LOWER(AD24)="pass")))</f>
        <v/>
      </c>
      <c r="AY24" s="6">
        <f>IF($A24="","",AND(OR(AE24="",Objective!$B$24="",AE24&gt;=-Objective!$B$24),OR(AF24="",Objective!$B$24="",AF24&gt;=-Objective!$B$24),OR(AG24="",Objective!$B$24="",AG24&gt;=-Objective!$B$24),OR(AH24="",Objective!$B$24="",AH24&gt;=-Objective!$B$24),OR(AI24="",Objective!$B$24="",AI24&gt;=-Objective!$B$24),OR(AJ24="",Objective!$B$24="",AJ24&gt;=-Objective!$B$24),OR(AK24="",Objective!$B$24="",AK24&gt;=-Objective!$B$24),OR(AL24="",Objective!$B$24="",AL24&gt;=-Objective!$B$24)))</f>
        <v/>
      </c>
      <c r="AZ24" s="6">
        <f>IF($A24="","",AND(AX24,AY24,AW24&gt;=Objective!$B$22))</f>
        <v/>
      </c>
      <c r="BA24" s="6">
        <f>IF($A24="","",IF(OR(LOWER($C24)="generated",LOWER($C24)="evaluated",LOWER($C24)="discarded"),TRUE,IF(OR(LOWER($C24)="proposed",LOWER($C24)="promoted"),AZ24,FALSE)))</f>
        <v/>
      </c>
      <c r="BB24" s="6">
        <f>IF($A24="","",IF(AZ24,"proposed (eligible - present to human)","discarded (keep the record and the reason)"))</f>
        <v/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8" t="n"/>
      <c r="Z25" s="8" t="n"/>
      <c r="AA25" s="8" t="n"/>
      <c r="AB25" s="8" t="n"/>
      <c r="AC25" s="8" t="n"/>
      <c r="AD25" s="8" t="n"/>
      <c r="AE25" s="13">
        <f>IF(OR($A25="",Objective!$A$5=""),"",IF(I25=0,IF(Q25=0,0,IF(Objective!$C$5="lower",-1,1)),IF(Objective!$C$5="lower",(I25-Q25)/ABS(I25),(Q25-I25)/ABS(I25))))</f>
        <v/>
      </c>
      <c r="AF25" s="13">
        <f>IF(OR($A25="",Objective!$A$6=""),"",IF(J25=0,IF(R25=0,0,IF(Objective!$C$6="lower",-1,1)),IF(Objective!$C$6="lower",(J25-R25)/ABS(J25),(R25-J25)/ABS(J25))))</f>
        <v/>
      </c>
      <c r="AG25" s="13">
        <f>IF(OR($A25="",Objective!$A$7=""),"",IF(K25=0,IF(S25=0,0,IF(Objective!$C$7="lower",-1,1)),IF(Objective!$C$7="lower",(K25-S25)/ABS(K25),(S25-K25)/ABS(K25))))</f>
        <v/>
      </c>
      <c r="AH25" s="13">
        <f>IF(OR($A25="",Objective!$A$8=""),"",IF(L25=0,IF(T25=0,0,IF(Objective!$C$8="lower",-1,1)),IF(Objective!$C$8="lower",(L25-T25)/ABS(L25),(T25-L25)/ABS(L25))))</f>
        <v/>
      </c>
      <c r="AI25" s="13">
        <f>IF(OR($A25="",Objective!$A$9=""),"",IF(M25=0,IF(U25=0,0,IF(Objective!$C$9="lower",-1,1)),IF(Objective!$C$9="lower",(M25-U25)/ABS(M25),(U25-M25)/ABS(M25))))</f>
        <v/>
      </c>
      <c r="AJ25" s="13">
        <f>IF(OR($A25="",Objective!$A$10=""),"",IF(N25=0,IF(V25=0,0,IF(Objective!$C$10="lower",-1,1)),IF(Objective!$C$10="lower",(N25-V25)/ABS(N25),(V25-N25)/ABS(N25))))</f>
        <v/>
      </c>
      <c r="AK25" s="13">
        <f>IF(OR($A25="",Objective!$A$11=""),"",IF(O25=0,IF(W25=0,0,IF(Objective!$C$11="lower",-1,1)),IF(Objective!$C$11="lower",(O25-W25)/ABS(O25),(W25-O25)/ABS(O25))))</f>
        <v/>
      </c>
      <c r="AL25" s="13">
        <f>IF(OR($A25="",Objective!$A$12=""),"",IF(P25=0,IF(X25=0,0,IF(Objective!$C$12="lower",-1,1)),IF(Objective!$C$12="lower",(P25-X25)/ABS(P25),(X25-P25)/ABS(P25))))</f>
        <v/>
      </c>
      <c r="AM25" s="13">
        <f>IF(AE25="","",MAX(-1,MIN(1,AE25)))</f>
        <v/>
      </c>
      <c r="AN25" s="13">
        <f>IF(AF25="","",MAX(-1,MIN(1,AF25)))</f>
        <v/>
      </c>
      <c r="AO25" s="13">
        <f>IF(AG25="","",MAX(-1,MIN(1,AG25)))</f>
        <v/>
      </c>
      <c r="AP25" s="13">
        <f>IF(AH25="","",MAX(-1,MIN(1,AH25)))</f>
        <v/>
      </c>
      <c r="AQ25" s="13">
        <f>IF(AI25="","",MAX(-1,MIN(1,AI25)))</f>
        <v/>
      </c>
      <c r="AR25" s="13">
        <f>IF(AJ25="","",MAX(-1,MIN(1,AJ25)))</f>
        <v/>
      </c>
      <c r="AS25" s="13">
        <f>IF(AK25="","",MAX(-1,MIN(1,AK25)))</f>
        <v/>
      </c>
      <c r="AT25" s="13">
        <f>IF(AL25="","",MAX(-1,MIN(1,AL25)))</f>
        <v/>
      </c>
      <c r="AU25" s="13">
        <f>IF($A25="","",IF(AM25="",0,Objective!$B$5/Objective!$B$25*AM25)+IF(AN25="",0,Objective!$B$6/Objective!$B$25*AN25)+IF(AO25="",0,Objective!$B$7/Objective!$B$25*AO25)+IF(AP25="",0,Objective!$B$8/Objective!$B$25*AP25)+IF(AQ25="",0,Objective!$B$9/Objective!$B$25*AQ25)+IF(AR25="",0,Objective!$B$10/Objective!$B$25*AR25)+IF(AS25="",0,Objective!$B$11/Objective!$B$25*AS25)+IF(AT25="",0,Objective!$B$12/Objective!$B$25*AT25))</f>
        <v/>
      </c>
      <c r="AV25" s="13">
        <f>IF($A25="","",Objective!$B$23*MAX(0,N($H25)-N($G25)))</f>
        <v/>
      </c>
      <c r="AW25" s="13">
        <f>IF($A25="","",AU25-AV25)</f>
        <v/>
      </c>
      <c r="AX25" s="6">
        <f>IF($A25="","",AND(OR(Objective!$A$15="",LOWER(Y25)="pass"),OR(Objective!$A$16="",LOWER(Z25)="pass"),OR(Objective!$A$17="",LOWER(AA25)="pass"),OR(Objective!$A$18="",LOWER(AB25)="pass"),OR(Objective!$A$19="",LOWER(AC25)="pass"),OR(Objective!$A$20="",LOWER(AD25)="pass")))</f>
        <v/>
      </c>
      <c r="AY25" s="6">
        <f>IF($A25="","",AND(OR(AE25="",Objective!$B$24="",AE25&gt;=-Objective!$B$24),OR(AF25="",Objective!$B$24="",AF25&gt;=-Objective!$B$24),OR(AG25="",Objective!$B$24="",AG25&gt;=-Objective!$B$24),OR(AH25="",Objective!$B$24="",AH25&gt;=-Objective!$B$24),OR(AI25="",Objective!$B$24="",AI25&gt;=-Objective!$B$24),OR(AJ25="",Objective!$B$24="",AJ25&gt;=-Objective!$B$24),OR(AK25="",Objective!$B$24="",AK25&gt;=-Objective!$B$24),OR(AL25="",Objective!$B$24="",AL25&gt;=-Objective!$B$24)))</f>
        <v/>
      </c>
      <c r="AZ25" s="6">
        <f>IF($A25="","",AND(AX25,AY25,AW25&gt;=Objective!$B$22))</f>
        <v/>
      </c>
      <c r="BA25" s="6">
        <f>IF($A25="","",IF(OR(LOWER($C25)="generated",LOWER($C25)="evaluated",LOWER($C25)="discarded"),TRUE,IF(OR(LOWER($C25)="proposed",LOWER($C25)="promoted"),AZ25,FALSE)))</f>
        <v/>
      </c>
      <c r="BB25" s="6">
        <f>IF($A25="","",IF(AZ25,"proposed (eligible - present to human)","discarded (keep the record and the reason)"))</f>
        <v/>
      </c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8" t="n"/>
      <c r="Z26" s="8" t="n"/>
      <c r="AA26" s="8" t="n"/>
      <c r="AB26" s="8" t="n"/>
      <c r="AC26" s="8" t="n"/>
      <c r="AD26" s="8" t="n"/>
      <c r="AE26" s="13">
        <f>IF(OR($A26="",Objective!$A$5=""),"",IF(I26=0,IF(Q26=0,0,IF(Objective!$C$5="lower",-1,1)),IF(Objective!$C$5="lower",(I26-Q26)/ABS(I26),(Q26-I26)/ABS(I26))))</f>
        <v/>
      </c>
      <c r="AF26" s="13">
        <f>IF(OR($A26="",Objective!$A$6=""),"",IF(J26=0,IF(R26=0,0,IF(Objective!$C$6="lower",-1,1)),IF(Objective!$C$6="lower",(J26-R26)/ABS(J26),(R26-J26)/ABS(J26))))</f>
        <v/>
      </c>
      <c r="AG26" s="13">
        <f>IF(OR($A26="",Objective!$A$7=""),"",IF(K26=0,IF(S26=0,0,IF(Objective!$C$7="lower",-1,1)),IF(Objective!$C$7="lower",(K26-S26)/ABS(K26),(S26-K26)/ABS(K26))))</f>
        <v/>
      </c>
      <c r="AH26" s="13">
        <f>IF(OR($A26="",Objective!$A$8=""),"",IF(L26=0,IF(T26=0,0,IF(Objective!$C$8="lower",-1,1)),IF(Objective!$C$8="lower",(L26-T26)/ABS(L26),(T26-L26)/ABS(L26))))</f>
        <v/>
      </c>
      <c r="AI26" s="13">
        <f>IF(OR($A26="",Objective!$A$9=""),"",IF(M26=0,IF(U26=0,0,IF(Objective!$C$9="lower",-1,1)),IF(Objective!$C$9="lower",(M26-U26)/ABS(M26),(U26-M26)/ABS(M26))))</f>
        <v/>
      </c>
      <c r="AJ26" s="13">
        <f>IF(OR($A26="",Objective!$A$10=""),"",IF(N26=0,IF(V26=0,0,IF(Objective!$C$10="lower",-1,1)),IF(Objective!$C$10="lower",(N26-V26)/ABS(N26),(V26-N26)/ABS(N26))))</f>
        <v/>
      </c>
      <c r="AK26" s="13">
        <f>IF(OR($A26="",Objective!$A$11=""),"",IF(O26=0,IF(W26=0,0,IF(Objective!$C$11="lower",-1,1)),IF(Objective!$C$11="lower",(O26-W26)/ABS(O26),(W26-O26)/ABS(O26))))</f>
        <v/>
      </c>
      <c r="AL26" s="13">
        <f>IF(OR($A26="",Objective!$A$12=""),"",IF(P26=0,IF(X26=0,0,IF(Objective!$C$12="lower",-1,1)),IF(Objective!$C$12="lower",(P26-X26)/ABS(P26),(X26-P26)/ABS(P26))))</f>
        <v/>
      </c>
      <c r="AM26" s="13">
        <f>IF(AE26="","",MAX(-1,MIN(1,AE26)))</f>
        <v/>
      </c>
      <c r="AN26" s="13">
        <f>IF(AF26="","",MAX(-1,MIN(1,AF26)))</f>
        <v/>
      </c>
      <c r="AO26" s="13">
        <f>IF(AG26="","",MAX(-1,MIN(1,AG26)))</f>
        <v/>
      </c>
      <c r="AP26" s="13">
        <f>IF(AH26="","",MAX(-1,MIN(1,AH26)))</f>
        <v/>
      </c>
      <c r="AQ26" s="13">
        <f>IF(AI26="","",MAX(-1,MIN(1,AI26)))</f>
        <v/>
      </c>
      <c r="AR26" s="13">
        <f>IF(AJ26="","",MAX(-1,MIN(1,AJ26)))</f>
        <v/>
      </c>
      <c r="AS26" s="13">
        <f>IF(AK26="","",MAX(-1,MIN(1,AK26)))</f>
        <v/>
      </c>
      <c r="AT26" s="13">
        <f>IF(AL26="","",MAX(-1,MIN(1,AL26)))</f>
        <v/>
      </c>
      <c r="AU26" s="13">
        <f>IF($A26="","",IF(AM26="",0,Objective!$B$5/Objective!$B$25*AM26)+IF(AN26="",0,Objective!$B$6/Objective!$B$25*AN26)+IF(AO26="",0,Objective!$B$7/Objective!$B$25*AO26)+IF(AP26="",0,Objective!$B$8/Objective!$B$25*AP26)+IF(AQ26="",0,Objective!$B$9/Objective!$B$25*AQ26)+IF(AR26="",0,Objective!$B$10/Objective!$B$25*AR26)+IF(AS26="",0,Objective!$B$11/Objective!$B$25*AS26)+IF(AT26="",0,Objective!$B$12/Objective!$B$25*AT26))</f>
        <v/>
      </c>
      <c r="AV26" s="13">
        <f>IF($A26="","",Objective!$B$23*MAX(0,N($H26)-N($G26)))</f>
        <v/>
      </c>
      <c r="AW26" s="13">
        <f>IF($A26="","",AU26-AV26)</f>
        <v/>
      </c>
      <c r="AX26" s="6">
        <f>IF($A26="","",AND(OR(Objective!$A$15="",LOWER(Y26)="pass"),OR(Objective!$A$16="",LOWER(Z26)="pass"),OR(Objective!$A$17="",LOWER(AA26)="pass"),OR(Objective!$A$18="",LOWER(AB26)="pass"),OR(Objective!$A$19="",LOWER(AC26)="pass"),OR(Objective!$A$20="",LOWER(AD26)="pass")))</f>
        <v/>
      </c>
      <c r="AY26" s="6">
        <f>IF($A26="","",AND(OR(AE26="",Objective!$B$24="",AE26&gt;=-Objective!$B$24),OR(AF26="",Objective!$B$24="",AF26&gt;=-Objective!$B$24),OR(AG26="",Objective!$B$24="",AG26&gt;=-Objective!$B$24),OR(AH26="",Objective!$B$24="",AH26&gt;=-Objective!$B$24),OR(AI26="",Objective!$B$24="",AI26&gt;=-Objective!$B$24),OR(AJ26="",Objective!$B$24="",AJ26&gt;=-Objective!$B$24),OR(AK26="",Objective!$B$24="",AK26&gt;=-Objective!$B$24),OR(AL26="",Objective!$B$24="",AL26&gt;=-Objective!$B$24)))</f>
        <v/>
      </c>
      <c r="AZ26" s="6">
        <f>IF($A26="","",AND(AX26,AY26,AW26&gt;=Objective!$B$22))</f>
        <v/>
      </c>
      <c r="BA26" s="6">
        <f>IF($A26="","",IF(OR(LOWER($C26)="generated",LOWER($C26)="evaluated",LOWER($C26)="discarded"),TRUE,IF(OR(LOWER($C26)="proposed",LOWER($C26)="promoted"),AZ26,FALSE)))</f>
        <v/>
      </c>
      <c r="BB26" s="6">
        <f>IF($A26="","",IF(AZ26,"proposed (eligible - present to human)","discarded (keep the record and the reason)"))</f>
        <v/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8" t="n"/>
      <c r="Z27" s="8" t="n"/>
      <c r="AA27" s="8" t="n"/>
      <c r="AB27" s="8" t="n"/>
      <c r="AC27" s="8" t="n"/>
      <c r="AD27" s="8" t="n"/>
      <c r="AE27" s="13">
        <f>IF(OR($A27="",Objective!$A$5=""),"",IF(I27=0,IF(Q27=0,0,IF(Objective!$C$5="lower",-1,1)),IF(Objective!$C$5="lower",(I27-Q27)/ABS(I27),(Q27-I27)/ABS(I27))))</f>
        <v/>
      </c>
      <c r="AF27" s="13">
        <f>IF(OR($A27="",Objective!$A$6=""),"",IF(J27=0,IF(R27=0,0,IF(Objective!$C$6="lower",-1,1)),IF(Objective!$C$6="lower",(J27-R27)/ABS(J27),(R27-J27)/ABS(J27))))</f>
        <v/>
      </c>
      <c r="AG27" s="13">
        <f>IF(OR($A27="",Objective!$A$7=""),"",IF(K27=0,IF(S27=0,0,IF(Objective!$C$7="lower",-1,1)),IF(Objective!$C$7="lower",(K27-S27)/ABS(K27),(S27-K27)/ABS(K27))))</f>
        <v/>
      </c>
      <c r="AH27" s="13">
        <f>IF(OR($A27="",Objective!$A$8=""),"",IF(L27=0,IF(T27=0,0,IF(Objective!$C$8="lower",-1,1)),IF(Objective!$C$8="lower",(L27-T27)/ABS(L27),(T27-L27)/ABS(L27))))</f>
        <v/>
      </c>
      <c r="AI27" s="13">
        <f>IF(OR($A27="",Objective!$A$9=""),"",IF(M27=0,IF(U27=0,0,IF(Objective!$C$9="lower",-1,1)),IF(Objective!$C$9="lower",(M27-U27)/ABS(M27),(U27-M27)/ABS(M27))))</f>
        <v/>
      </c>
      <c r="AJ27" s="13">
        <f>IF(OR($A27="",Objective!$A$10=""),"",IF(N27=0,IF(V27=0,0,IF(Objective!$C$10="lower",-1,1)),IF(Objective!$C$10="lower",(N27-V27)/ABS(N27),(V27-N27)/ABS(N27))))</f>
        <v/>
      </c>
      <c r="AK27" s="13">
        <f>IF(OR($A27="",Objective!$A$11=""),"",IF(O27=0,IF(W27=0,0,IF(Objective!$C$11="lower",-1,1)),IF(Objective!$C$11="lower",(O27-W27)/ABS(O27),(W27-O27)/ABS(O27))))</f>
        <v/>
      </c>
      <c r="AL27" s="13">
        <f>IF(OR($A27="",Objective!$A$12=""),"",IF(P27=0,IF(X27=0,0,IF(Objective!$C$12="lower",-1,1)),IF(Objective!$C$12="lower",(P27-X27)/ABS(P27),(X27-P27)/ABS(P27))))</f>
        <v/>
      </c>
      <c r="AM27" s="13">
        <f>IF(AE27="","",MAX(-1,MIN(1,AE27)))</f>
        <v/>
      </c>
      <c r="AN27" s="13">
        <f>IF(AF27="","",MAX(-1,MIN(1,AF27)))</f>
        <v/>
      </c>
      <c r="AO27" s="13">
        <f>IF(AG27="","",MAX(-1,MIN(1,AG27)))</f>
        <v/>
      </c>
      <c r="AP27" s="13">
        <f>IF(AH27="","",MAX(-1,MIN(1,AH27)))</f>
        <v/>
      </c>
      <c r="AQ27" s="13">
        <f>IF(AI27="","",MAX(-1,MIN(1,AI27)))</f>
        <v/>
      </c>
      <c r="AR27" s="13">
        <f>IF(AJ27="","",MAX(-1,MIN(1,AJ27)))</f>
        <v/>
      </c>
      <c r="AS27" s="13">
        <f>IF(AK27="","",MAX(-1,MIN(1,AK27)))</f>
        <v/>
      </c>
      <c r="AT27" s="13">
        <f>IF(AL27="","",MAX(-1,MIN(1,AL27)))</f>
        <v/>
      </c>
      <c r="AU27" s="13">
        <f>IF($A27="","",IF(AM27="",0,Objective!$B$5/Objective!$B$25*AM27)+IF(AN27="",0,Objective!$B$6/Objective!$B$25*AN27)+IF(AO27="",0,Objective!$B$7/Objective!$B$25*AO27)+IF(AP27="",0,Objective!$B$8/Objective!$B$25*AP27)+IF(AQ27="",0,Objective!$B$9/Objective!$B$25*AQ27)+IF(AR27="",0,Objective!$B$10/Objective!$B$25*AR27)+IF(AS27="",0,Objective!$B$11/Objective!$B$25*AS27)+IF(AT27="",0,Objective!$B$12/Objective!$B$25*AT27))</f>
        <v/>
      </c>
      <c r="AV27" s="13">
        <f>IF($A27="","",Objective!$B$23*MAX(0,N($H27)-N($G27)))</f>
        <v/>
      </c>
      <c r="AW27" s="13">
        <f>IF($A27="","",AU27-AV27)</f>
        <v/>
      </c>
      <c r="AX27" s="6">
        <f>IF($A27="","",AND(OR(Objective!$A$15="",LOWER(Y27)="pass"),OR(Objective!$A$16="",LOWER(Z27)="pass"),OR(Objective!$A$17="",LOWER(AA27)="pass"),OR(Objective!$A$18="",LOWER(AB27)="pass"),OR(Objective!$A$19="",LOWER(AC27)="pass"),OR(Objective!$A$20="",LOWER(AD27)="pass")))</f>
        <v/>
      </c>
      <c r="AY27" s="6">
        <f>IF($A27="","",AND(OR(AE27="",Objective!$B$24="",AE27&gt;=-Objective!$B$24),OR(AF27="",Objective!$B$24="",AF27&gt;=-Objective!$B$24),OR(AG27="",Objective!$B$24="",AG27&gt;=-Objective!$B$24),OR(AH27="",Objective!$B$24="",AH27&gt;=-Objective!$B$24),OR(AI27="",Objective!$B$24="",AI27&gt;=-Objective!$B$24),OR(AJ27="",Objective!$B$24="",AJ27&gt;=-Objective!$B$24),OR(AK27="",Objective!$B$24="",AK27&gt;=-Objective!$B$24),OR(AL27="",Objective!$B$24="",AL27&gt;=-Objective!$B$24)))</f>
        <v/>
      </c>
      <c r="AZ27" s="6">
        <f>IF($A27="","",AND(AX27,AY27,AW27&gt;=Objective!$B$22))</f>
        <v/>
      </c>
      <c r="BA27" s="6">
        <f>IF($A27="","",IF(OR(LOWER($C27)="generated",LOWER($C27)="evaluated",LOWER($C27)="discarded"),TRUE,IF(OR(LOWER($C27)="proposed",LOWER($C27)="promoted"),AZ27,FALSE)))</f>
        <v/>
      </c>
      <c r="BB27" s="6">
        <f>IF($A27="","",IF(AZ27,"proposed (eligible - present to human)","discarded (keep the record and the reason)"))</f>
        <v/>
      </c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8" t="n"/>
      <c r="Z28" s="8" t="n"/>
      <c r="AA28" s="8" t="n"/>
      <c r="AB28" s="8" t="n"/>
      <c r="AC28" s="8" t="n"/>
      <c r="AD28" s="8" t="n"/>
      <c r="AE28" s="13">
        <f>IF(OR($A28="",Objective!$A$5=""),"",IF(I28=0,IF(Q28=0,0,IF(Objective!$C$5="lower",-1,1)),IF(Objective!$C$5="lower",(I28-Q28)/ABS(I28),(Q28-I28)/ABS(I28))))</f>
        <v/>
      </c>
      <c r="AF28" s="13">
        <f>IF(OR($A28="",Objective!$A$6=""),"",IF(J28=0,IF(R28=0,0,IF(Objective!$C$6="lower",-1,1)),IF(Objective!$C$6="lower",(J28-R28)/ABS(J28),(R28-J28)/ABS(J28))))</f>
        <v/>
      </c>
      <c r="AG28" s="13">
        <f>IF(OR($A28="",Objective!$A$7=""),"",IF(K28=0,IF(S28=0,0,IF(Objective!$C$7="lower",-1,1)),IF(Objective!$C$7="lower",(K28-S28)/ABS(K28),(S28-K28)/ABS(K28))))</f>
        <v/>
      </c>
      <c r="AH28" s="13">
        <f>IF(OR($A28="",Objective!$A$8=""),"",IF(L28=0,IF(T28=0,0,IF(Objective!$C$8="lower",-1,1)),IF(Objective!$C$8="lower",(L28-T28)/ABS(L28),(T28-L28)/ABS(L28))))</f>
        <v/>
      </c>
      <c r="AI28" s="13">
        <f>IF(OR($A28="",Objective!$A$9=""),"",IF(M28=0,IF(U28=0,0,IF(Objective!$C$9="lower",-1,1)),IF(Objective!$C$9="lower",(M28-U28)/ABS(M28),(U28-M28)/ABS(M28))))</f>
        <v/>
      </c>
      <c r="AJ28" s="13">
        <f>IF(OR($A28="",Objective!$A$10=""),"",IF(N28=0,IF(V28=0,0,IF(Objective!$C$10="lower",-1,1)),IF(Objective!$C$10="lower",(N28-V28)/ABS(N28),(V28-N28)/ABS(N28))))</f>
        <v/>
      </c>
      <c r="AK28" s="13">
        <f>IF(OR($A28="",Objective!$A$11=""),"",IF(O28=0,IF(W28=0,0,IF(Objective!$C$11="lower",-1,1)),IF(Objective!$C$11="lower",(O28-W28)/ABS(O28),(W28-O28)/ABS(O28))))</f>
        <v/>
      </c>
      <c r="AL28" s="13">
        <f>IF(OR($A28="",Objective!$A$12=""),"",IF(P28=0,IF(X28=0,0,IF(Objective!$C$12="lower",-1,1)),IF(Objective!$C$12="lower",(P28-X28)/ABS(P28),(X28-P28)/ABS(P28))))</f>
        <v/>
      </c>
      <c r="AM28" s="13">
        <f>IF(AE28="","",MAX(-1,MIN(1,AE28)))</f>
        <v/>
      </c>
      <c r="AN28" s="13">
        <f>IF(AF28="","",MAX(-1,MIN(1,AF28)))</f>
        <v/>
      </c>
      <c r="AO28" s="13">
        <f>IF(AG28="","",MAX(-1,MIN(1,AG28)))</f>
        <v/>
      </c>
      <c r="AP28" s="13">
        <f>IF(AH28="","",MAX(-1,MIN(1,AH28)))</f>
        <v/>
      </c>
      <c r="AQ28" s="13">
        <f>IF(AI28="","",MAX(-1,MIN(1,AI28)))</f>
        <v/>
      </c>
      <c r="AR28" s="13">
        <f>IF(AJ28="","",MAX(-1,MIN(1,AJ28)))</f>
        <v/>
      </c>
      <c r="AS28" s="13">
        <f>IF(AK28="","",MAX(-1,MIN(1,AK28)))</f>
        <v/>
      </c>
      <c r="AT28" s="13">
        <f>IF(AL28="","",MAX(-1,MIN(1,AL28)))</f>
        <v/>
      </c>
      <c r="AU28" s="13">
        <f>IF($A28="","",IF(AM28="",0,Objective!$B$5/Objective!$B$25*AM28)+IF(AN28="",0,Objective!$B$6/Objective!$B$25*AN28)+IF(AO28="",0,Objective!$B$7/Objective!$B$25*AO28)+IF(AP28="",0,Objective!$B$8/Objective!$B$25*AP28)+IF(AQ28="",0,Objective!$B$9/Objective!$B$25*AQ28)+IF(AR28="",0,Objective!$B$10/Objective!$B$25*AR28)+IF(AS28="",0,Objective!$B$11/Objective!$B$25*AS28)+IF(AT28="",0,Objective!$B$12/Objective!$B$25*AT28))</f>
        <v/>
      </c>
      <c r="AV28" s="13">
        <f>IF($A28="","",Objective!$B$23*MAX(0,N($H28)-N($G28)))</f>
        <v/>
      </c>
      <c r="AW28" s="13">
        <f>IF($A28="","",AU28-AV28)</f>
        <v/>
      </c>
      <c r="AX28" s="6">
        <f>IF($A28="","",AND(OR(Objective!$A$15="",LOWER(Y28)="pass"),OR(Objective!$A$16="",LOWER(Z28)="pass"),OR(Objective!$A$17="",LOWER(AA28)="pass"),OR(Objective!$A$18="",LOWER(AB28)="pass"),OR(Objective!$A$19="",LOWER(AC28)="pass"),OR(Objective!$A$20="",LOWER(AD28)="pass")))</f>
        <v/>
      </c>
      <c r="AY28" s="6">
        <f>IF($A28="","",AND(OR(AE28="",Objective!$B$24="",AE28&gt;=-Objective!$B$24),OR(AF28="",Objective!$B$24="",AF28&gt;=-Objective!$B$24),OR(AG28="",Objective!$B$24="",AG28&gt;=-Objective!$B$24),OR(AH28="",Objective!$B$24="",AH28&gt;=-Objective!$B$24),OR(AI28="",Objective!$B$24="",AI28&gt;=-Objective!$B$24),OR(AJ28="",Objective!$B$24="",AJ28&gt;=-Objective!$B$24),OR(AK28="",Objective!$B$24="",AK28&gt;=-Objective!$B$24),OR(AL28="",Objective!$B$24="",AL28&gt;=-Objective!$B$24)))</f>
        <v/>
      </c>
      <c r="AZ28" s="6">
        <f>IF($A28="","",AND(AX28,AY28,AW28&gt;=Objective!$B$22))</f>
        <v/>
      </c>
      <c r="BA28" s="6">
        <f>IF($A28="","",IF(OR(LOWER($C28)="generated",LOWER($C28)="evaluated",LOWER($C28)="discarded"),TRUE,IF(OR(LOWER($C28)="proposed",LOWER($C28)="promoted"),AZ28,FALSE)))</f>
        <v/>
      </c>
      <c r="BB28" s="6">
        <f>IF($A28="","",IF(AZ28,"proposed (eligible - present to human)","discarded (keep the record and the reason)"))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8" t="n"/>
      <c r="Z29" s="8" t="n"/>
      <c r="AA29" s="8" t="n"/>
      <c r="AB29" s="8" t="n"/>
      <c r="AC29" s="8" t="n"/>
      <c r="AD29" s="8" t="n"/>
      <c r="AE29" s="13">
        <f>IF(OR($A29="",Objective!$A$5=""),"",IF(I29=0,IF(Q29=0,0,IF(Objective!$C$5="lower",-1,1)),IF(Objective!$C$5="lower",(I29-Q29)/ABS(I29),(Q29-I29)/ABS(I29))))</f>
        <v/>
      </c>
      <c r="AF29" s="13">
        <f>IF(OR($A29="",Objective!$A$6=""),"",IF(J29=0,IF(R29=0,0,IF(Objective!$C$6="lower",-1,1)),IF(Objective!$C$6="lower",(J29-R29)/ABS(J29),(R29-J29)/ABS(J29))))</f>
        <v/>
      </c>
      <c r="AG29" s="13">
        <f>IF(OR($A29="",Objective!$A$7=""),"",IF(K29=0,IF(S29=0,0,IF(Objective!$C$7="lower",-1,1)),IF(Objective!$C$7="lower",(K29-S29)/ABS(K29),(S29-K29)/ABS(K29))))</f>
        <v/>
      </c>
      <c r="AH29" s="13">
        <f>IF(OR($A29="",Objective!$A$8=""),"",IF(L29=0,IF(T29=0,0,IF(Objective!$C$8="lower",-1,1)),IF(Objective!$C$8="lower",(L29-T29)/ABS(L29),(T29-L29)/ABS(L29))))</f>
        <v/>
      </c>
      <c r="AI29" s="13">
        <f>IF(OR($A29="",Objective!$A$9=""),"",IF(M29=0,IF(U29=0,0,IF(Objective!$C$9="lower",-1,1)),IF(Objective!$C$9="lower",(M29-U29)/ABS(M29),(U29-M29)/ABS(M29))))</f>
        <v/>
      </c>
      <c r="AJ29" s="13">
        <f>IF(OR($A29="",Objective!$A$10=""),"",IF(N29=0,IF(V29=0,0,IF(Objective!$C$10="lower",-1,1)),IF(Objective!$C$10="lower",(N29-V29)/ABS(N29),(V29-N29)/ABS(N29))))</f>
        <v/>
      </c>
      <c r="AK29" s="13">
        <f>IF(OR($A29="",Objective!$A$11=""),"",IF(O29=0,IF(W29=0,0,IF(Objective!$C$11="lower",-1,1)),IF(Objective!$C$11="lower",(O29-W29)/ABS(O29),(W29-O29)/ABS(O29))))</f>
        <v/>
      </c>
      <c r="AL29" s="13">
        <f>IF(OR($A29="",Objective!$A$12=""),"",IF(P29=0,IF(X29=0,0,IF(Objective!$C$12="lower",-1,1)),IF(Objective!$C$12="lower",(P29-X29)/ABS(P29),(X29-P29)/ABS(P29))))</f>
        <v/>
      </c>
      <c r="AM29" s="13">
        <f>IF(AE29="","",MAX(-1,MIN(1,AE29)))</f>
        <v/>
      </c>
      <c r="AN29" s="13">
        <f>IF(AF29="","",MAX(-1,MIN(1,AF29)))</f>
        <v/>
      </c>
      <c r="AO29" s="13">
        <f>IF(AG29="","",MAX(-1,MIN(1,AG29)))</f>
        <v/>
      </c>
      <c r="AP29" s="13">
        <f>IF(AH29="","",MAX(-1,MIN(1,AH29)))</f>
        <v/>
      </c>
      <c r="AQ29" s="13">
        <f>IF(AI29="","",MAX(-1,MIN(1,AI29)))</f>
        <v/>
      </c>
      <c r="AR29" s="13">
        <f>IF(AJ29="","",MAX(-1,MIN(1,AJ29)))</f>
        <v/>
      </c>
      <c r="AS29" s="13">
        <f>IF(AK29="","",MAX(-1,MIN(1,AK29)))</f>
        <v/>
      </c>
      <c r="AT29" s="13">
        <f>IF(AL29="","",MAX(-1,MIN(1,AL29)))</f>
        <v/>
      </c>
      <c r="AU29" s="13">
        <f>IF($A29="","",IF(AM29="",0,Objective!$B$5/Objective!$B$25*AM29)+IF(AN29="",0,Objective!$B$6/Objective!$B$25*AN29)+IF(AO29="",0,Objective!$B$7/Objective!$B$25*AO29)+IF(AP29="",0,Objective!$B$8/Objective!$B$25*AP29)+IF(AQ29="",0,Objective!$B$9/Objective!$B$25*AQ29)+IF(AR29="",0,Objective!$B$10/Objective!$B$25*AR29)+IF(AS29="",0,Objective!$B$11/Objective!$B$25*AS29)+IF(AT29="",0,Objective!$B$12/Objective!$B$25*AT29))</f>
        <v/>
      </c>
      <c r="AV29" s="13">
        <f>IF($A29="","",Objective!$B$23*MAX(0,N($H29)-N($G29)))</f>
        <v/>
      </c>
      <c r="AW29" s="13">
        <f>IF($A29="","",AU29-AV29)</f>
        <v/>
      </c>
      <c r="AX29" s="6">
        <f>IF($A29="","",AND(OR(Objective!$A$15="",LOWER(Y29)="pass"),OR(Objective!$A$16="",LOWER(Z29)="pass"),OR(Objective!$A$17="",LOWER(AA29)="pass"),OR(Objective!$A$18="",LOWER(AB29)="pass"),OR(Objective!$A$19="",LOWER(AC29)="pass"),OR(Objective!$A$20="",LOWER(AD29)="pass")))</f>
        <v/>
      </c>
      <c r="AY29" s="6">
        <f>IF($A29="","",AND(OR(AE29="",Objective!$B$24="",AE29&gt;=-Objective!$B$24),OR(AF29="",Objective!$B$24="",AF29&gt;=-Objective!$B$24),OR(AG29="",Objective!$B$24="",AG29&gt;=-Objective!$B$24),OR(AH29="",Objective!$B$24="",AH29&gt;=-Objective!$B$24),OR(AI29="",Objective!$B$24="",AI29&gt;=-Objective!$B$24),OR(AJ29="",Objective!$B$24="",AJ29&gt;=-Objective!$B$24),OR(AK29="",Objective!$B$24="",AK29&gt;=-Objective!$B$24),OR(AL29="",Objective!$B$24="",AL29&gt;=-Objective!$B$24)))</f>
        <v/>
      </c>
      <c r="AZ29" s="6">
        <f>IF($A29="","",AND(AX29,AY29,AW29&gt;=Objective!$B$22))</f>
        <v/>
      </c>
      <c r="BA29" s="6">
        <f>IF($A29="","",IF(OR(LOWER($C29)="generated",LOWER($C29)="evaluated",LOWER($C29)="discarded"),TRUE,IF(OR(LOWER($C29)="proposed",LOWER($C29)="promoted"),AZ29,FALSE)))</f>
        <v/>
      </c>
      <c r="BB29" s="6">
        <f>IF($A29="","",IF(AZ29,"proposed (eligible - present to human)","discarded (keep the record and the reason)"))</f>
        <v/>
      </c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8" t="n"/>
      <c r="Z30" s="8" t="n"/>
      <c r="AA30" s="8" t="n"/>
      <c r="AB30" s="8" t="n"/>
      <c r="AC30" s="8" t="n"/>
      <c r="AD30" s="8" t="n"/>
      <c r="AE30" s="13">
        <f>IF(OR($A30="",Objective!$A$5=""),"",IF(I30=0,IF(Q30=0,0,IF(Objective!$C$5="lower",-1,1)),IF(Objective!$C$5="lower",(I30-Q30)/ABS(I30),(Q30-I30)/ABS(I30))))</f>
        <v/>
      </c>
      <c r="AF30" s="13">
        <f>IF(OR($A30="",Objective!$A$6=""),"",IF(J30=0,IF(R30=0,0,IF(Objective!$C$6="lower",-1,1)),IF(Objective!$C$6="lower",(J30-R30)/ABS(J30),(R30-J30)/ABS(J30))))</f>
        <v/>
      </c>
      <c r="AG30" s="13">
        <f>IF(OR($A30="",Objective!$A$7=""),"",IF(K30=0,IF(S30=0,0,IF(Objective!$C$7="lower",-1,1)),IF(Objective!$C$7="lower",(K30-S30)/ABS(K30),(S30-K30)/ABS(K30))))</f>
        <v/>
      </c>
      <c r="AH30" s="13">
        <f>IF(OR($A30="",Objective!$A$8=""),"",IF(L30=0,IF(T30=0,0,IF(Objective!$C$8="lower",-1,1)),IF(Objective!$C$8="lower",(L30-T30)/ABS(L30),(T30-L30)/ABS(L30))))</f>
        <v/>
      </c>
      <c r="AI30" s="13">
        <f>IF(OR($A30="",Objective!$A$9=""),"",IF(M30=0,IF(U30=0,0,IF(Objective!$C$9="lower",-1,1)),IF(Objective!$C$9="lower",(M30-U30)/ABS(M30),(U30-M30)/ABS(M30))))</f>
        <v/>
      </c>
      <c r="AJ30" s="13">
        <f>IF(OR($A30="",Objective!$A$10=""),"",IF(N30=0,IF(V30=0,0,IF(Objective!$C$10="lower",-1,1)),IF(Objective!$C$10="lower",(N30-V30)/ABS(N30),(V30-N30)/ABS(N30))))</f>
        <v/>
      </c>
      <c r="AK30" s="13">
        <f>IF(OR($A30="",Objective!$A$11=""),"",IF(O30=0,IF(W30=0,0,IF(Objective!$C$11="lower",-1,1)),IF(Objective!$C$11="lower",(O30-W30)/ABS(O30),(W30-O30)/ABS(O30))))</f>
        <v/>
      </c>
      <c r="AL30" s="13">
        <f>IF(OR($A30="",Objective!$A$12=""),"",IF(P30=0,IF(X30=0,0,IF(Objective!$C$12="lower",-1,1)),IF(Objective!$C$12="lower",(P30-X30)/ABS(P30),(X30-P30)/ABS(P30))))</f>
        <v/>
      </c>
      <c r="AM30" s="13">
        <f>IF(AE30="","",MAX(-1,MIN(1,AE30)))</f>
        <v/>
      </c>
      <c r="AN30" s="13">
        <f>IF(AF30="","",MAX(-1,MIN(1,AF30)))</f>
        <v/>
      </c>
      <c r="AO30" s="13">
        <f>IF(AG30="","",MAX(-1,MIN(1,AG30)))</f>
        <v/>
      </c>
      <c r="AP30" s="13">
        <f>IF(AH30="","",MAX(-1,MIN(1,AH30)))</f>
        <v/>
      </c>
      <c r="AQ30" s="13">
        <f>IF(AI30="","",MAX(-1,MIN(1,AI30)))</f>
        <v/>
      </c>
      <c r="AR30" s="13">
        <f>IF(AJ30="","",MAX(-1,MIN(1,AJ30)))</f>
        <v/>
      </c>
      <c r="AS30" s="13">
        <f>IF(AK30="","",MAX(-1,MIN(1,AK30)))</f>
        <v/>
      </c>
      <c r="AT30" s="13">
        <f>IF(AL30="","",MAX(-1,MIN(1,AL30)))</f>
        <v/>
      </c>
      <c r="AU30" s="13">
        <f>IF($A30="","",IF(AM30="",0,Objective!$B$5/Objective!$B$25*AM30)+IF(AN30="",0,Objective!$B$6/Objective!$B$25*AN30)+IF(AO30="",0,Objective!$B$7/Objective!$B$25*AO30)+IF(AP30="",0,Objective!$B$8/Objective!$B$25*AP30)+IF(AQ30="",0,Objective!$B$9/Objective!$B$25*AQ30)+IF(AR30="",0,Objective!$B$10/Objective!$B$25*AR30)+IF(AS30="",0,Objective!$B$11/Objective!$B$25*AS30)+IF(AT30="",0,Objective!$B$12/Objective!$B$25*AT30))</f>
        <v/>
      </c>
      <c r="AV30" s="13">
        <f>IF($A30="","",Objective!$B$23*MAX(0,N($H30)-N($G30)))</f>
        <v/>
      </c>
      <c r="AW30" s="13">
        <f>IF($A30="","",AU30-AV30)</f>
        <v/>
      </c>
      <c r="AX30" s="6">
        <f>IF($A30="","",AND(OR(Objective!$A$15="",LOWER(Y30)="pass"),OR(Objective!$A$16="",LOWER(Z30)="pass"),OR(Objective!$A$17="",LOWER(AA30)="pass"),OR(Objective!$A$18="",LOWER(AB30)="pass"),OR(Objective!$A$19="",LOWER(AC30)="pass"),OR(Objective!$A$20="",LOWER(AD30)="pass")))</f>
        <v/>
      </c>
      <c r="AY30" s="6">
        <f>IF($A30="","",AND(OR(AE30="",Objective!$B$24="",AE30&gt;=-Objective!$B$24),OR(AF30="",Objective!$B$24="",AF30&gt;=-Objective!$B$24),OR(AG30="",Objective!$B$24="",AG30&gt;=-Objective!$B$24),OR(AH30="",Objective!$B$24="",AH30&gt;=-Objective!$B$24),OR(AI30="",Objective!$B$24="",AI30&gt;=-Objective!$B$24),OR(AJ30="",Objective!$B$24="",AJ30&gt;=-Objective!$B$24),OR(AK30="",Objective!$B$24="",AK30&gt;=-Objective!$B$24),OR(AL30="",Objective!$B$24="",AL30&gt;=-Objective!$B$24)))</f>
        <v/>
      </c>
      <c r="AZ30" s="6">
        <f>IF($A30="","",AND(AX30,AY30,AW30&gt;=Objective!$B$22))</f>
        <v/>
      </c>
      <c r="BA30" s="6">
        <f>IF($A30="","",IF(OR(LOWER($C30)="generated",LOWER($C30)="evaluated",LOWER($C30)="discarded"),TRUE,IF(OR(LOWER($C30)="proposed",LOWER($C30)="promoted"),AZ30,FALSE)))</f>
        <v/>
      </c>
      <c r="BB30" s="6">
        <f>IF($A30="","",IF(AZ30,"proposed (eligible - present to human)","discarded (keep the record and the reason)"))</f>
        <v/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8" t="n"/>
      <c r="Z31" s="8" t="n"/>
      <c r="AA31" s="8" t="n"/>
      <c r="AB31" s="8" t="n"/>
      <c r="AC31" s="8" t="n"/>
      <c r="AD31" s="8" t="n"/>
      <c r="AE31" s="13">
        <f>IF(OR($A31="",Objective!$A$5=""),"",IF(I31=0,IF(Q31=0,0,IF(Objective!$C$5="lower",-1,1)),IF(Objective!$C$5="lower",(I31-Q31)/ABS(I31),(Q31-I31)/ABS(I31))))</f>
        <v/>
      </c>
      <c r="AF31" s="13">
        <f>IF(OR($A31="",Objective!$A$6=""),"",IF(J31=0,IF(R31=0,0,IF(Objective!$C$6="lower",-1,1)),IF(Objective!$C$6="lower",(J31-R31)/ABS(J31),(R31-J31)/ABS(J31))))</f>
        <v/>
      </c>
      <c r="AG31" s="13">
        <f>IF(OR($A31="",Objective!$A$7=""),"",IF(K31=0,IF(S31=0,0,IF(Objective!$C$7="lower",-1,1)),IF(Objective!$C$7="lower",(K31-S31)/ABS(K31),(S31-K31)/ABS(K31))))</f>
        <v/>
      </c>
      <c r="AH31" s="13">
        <f>IF(OR($A31="",Objective!$A$8=""),"",IF(L31=0,IF(T31=0,0,IF(Objective!$C$8="lower",-1,1)),IF(Objective!$C$8="lower",(L31-T31)/ABS(L31),(T31-L31)/ABS(L31))))</f>
        <v/>
      </c>
      <c r="AI31" s="13">
        <f>IF(OR($A31="",Objective!$A$9=""),"",IF(M31=0,IF(U31=0,0,IF(Objective!$C$9="lower",-1,1)),IF(Objective!$C$9="lower",(M31-U31)/ABS(M31),(U31-M31)/ABS(M31))))</f>
        <v/>
      </c>
      <c r="AJ31" s="13">
        <f>IF(OR($A31="",Objective!$A$10=""),"",IF(N31=0,IF(V31=0,0,IF(Objective!$C$10="lower",-1,1)),IF(Objective!$C$10="lower",(N31-V31)/ABS(N31),(V31-N31)/ABS(N31))))</f>
        <v/>
      </c>
      <c r="AK31" s="13">
        <f>IF(OR($A31="",Objective!$A$11=""),"",IF(O31=0,IF(W31=0,0,IF(Objective!$C$11="lower",-1,1)),IF(Objective!$C$11="lower",(O31-W31)/ABS(O31),(W31-O31)/ABS(O31))))</f>
        <v/>
      </c>
      <c r="AL31" s="13">
        <f>IF(OR($A31="",Objective!$A$12=""),"",IF(P31=0,IF(X31=0,0,IF(Objective!$C$12="lower",-1,1)),IF(Objective!$C$12="lower",(P31-X31)/ABS(P31),(X31-P31)/ABS(P31))))</f>
        <v/>
      </c>
      <c r="AM31" s="13">
        <f>IF(AE31="","",MAX(-1,MIN(1,AE31)))</f>
        <v/>
      </c>
      <c r="AN31" s="13">
        <f>IF(AF31="","",MAX(-1,MIN(1,AF31)))</f>
        <v/>
      </c>
      <c r="AO31" s="13">
        <f>IF(AG31="","",MAX(-1,MIN(1,AG31)))</f>
        <v/>
      </c>
      <c r="AP31" s="13">
        <f>IF(AH31="","",MAX(-1,MIN(1,AH31)))</f>
        <v/>
      </c>
      <c r="AQ31" s="13">
        <f>IF(AI31="","",MAX(-1,MIN(1,AI31)))</f>
        <v/>
      </c>
      <c r="AR31" s="13">
        <f>IF(AJ31="","",MAX(-1,MIN(1,AJ31)))</f>
        <v/>
      </c>
      <c r="AS31" s="13">
        <f>IF(AK31="","",MAX(-1,MIN(1,AK31)))</f>
        <v/>
      </c>
      <c r="AT31" s="13">
        <f>IF(AL31="","",MAX(-1,MIN(1,AL31)))</f>
        <v/>
      </c>
      <c r="AU31" s="13">
        <f>IF($A31="","",IF(AM31="",0,Objective!$B$5/Objective!$B$25*AM31)+IF(AN31="",0,Objective!$B$6/Objective!$B$25*AN31)+IF(AO31="",0,Objective!$B$7/Objective!$B$25*AO31)+IF(AP31="",0,Objective!$B$8/Objective!$B$25*AP31)+IF(AQ31="",0,Objective!$B$9/Objective!$B$25*AQ31)+IF(AR31="",0,Objective!$B$10/Objective!$B$25*AR31)+IF(AS31="",0,Objective!$B$11/Objective!$B$25*AS31)+IF(AT31="",0,Objective!$B$12/Objective!$B$25*AT31))</f>
        <v/>
      </c>
      <c r="AV31" s="13">
        <f>IF($A31="","",Objective!$B$23*MAX(0,N($H31)-N($G31)))</f>
        <v/>
      </c>
      <c r="AW31" s="13">
        <f>IF($A31="","",AU31-AV31)</f>
        <v/>
      </c>
      <c r="AX31" s="6">
        <f>IF($A31="","",AND(OR(Objective!$A$15="",LOWER(Y31)="pass"),OR(Objective!$A$16="",LOWER(Z31)="pass"),OR(Objective!$A$17="",LOWER(AA31)="pass"),OR(Objective!$A$18="",LOWER(AB31)="pass"),OR(Objective!$A$19="",LOWER(AC31)="pass"),OR(Objective!$A$20="",LOWER(AD31)="pass")))</f>
        <v/>
      </c>
      <c r="AY31" s="6">
        <f>IF($A31="","",AND(OR(AE31="",Objective!$B$24="",AE31&gt;=-Objective!$B$24),OR(AF31="",Objective!$B$24="",AF31&gt;=-Objective!$B$24),OR(AG31="",Objective!$B$24="",AG31&gt;=-Objective!$B$24),OR(AH31="",Objective!$B$24="",AH31&gt;=-Objective!$B$24),OR(AI31="",Objective!$B$24="",AI31&gt;=-Objective!$B$24),OR(AJ31="",Objective!$B$24="",AJ31&gt;=-Objective!$B$24),OR(AK31="",Objective!$B$24="",AK31&gt;=-Objective!$B$24),OR(AL31="",Objective!$B$24="",AL31&gt;=-Objective!$B$24)))</f>
        <v/>
      </c>
      <c r="AZ31" s="6">
        <f>IF($A31="","",AND(AX31,AY31,AW31&gt;=Objective!$B$22))</f>
        <v/>
      </c>
      <c r="BA31" s="6">
        <f>IF($A31="","",IF(OR(LOWER($C31)="generated",LOWER($C31)="evaluated",LOWER($C31)="discarded"),TRUE,IF(OR(LOWER($C31)="proposed",LOWER($C31)="promoted"),AZ31,FALSE)))</f>
        <v/>
      </c>
      <c r="BB31" s="6">
        <f>IF($A31="","",IF(AZ31,"proposed (eligible - present to human)","discarded (keep the record and the reason)"))</f>
        <v/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8" t="n"/>
      <c r="Z32" s="8" t="n"/>
      <c r="AA32" s="8" t="n"/>
      <c r="AB32" s="8" t="n"/>
      <c r="AC32" s="8" t="n"/>
      <c r="AD32" s="8" t="n"/>
      <c r="AE32" s="13">
        <f>IF(OR($A32="",Objective!$A$5=""),"",IF(I32=0,IF(Q32=0,0,IF(Objective!$C$5="lower",-1,1)),IF(Objective!$C$5="lower",(I32-Q32)/ABS(I32),(Q32-I32)/ABS(I32))))</f>
        <v/>
      </c>
      <c r="AF32" s="13">
        <f>IF(OR($A32="",Objective!$A$6=""),"",IF(J32=0,IF(R32=0,0,IF(Objective!$C$6="lower",-1,1)),IF(Objective!$C$6="lower",(J32-R32)/ABS(J32),(R32-J32)/ABS(J32))))</f>
        <v/>
      </c>
      <c r="AG32" s="13">
        <f>IF(OR($A32="",Objective!$A$7=""),"",IF(K32=0,IF(S32=0,0,IF(Objective!$C$7="lower",-1,1)),IF(Objective!$C$7="lower",(K32-S32)/ABS(K32),(S32-K32)/ABS(K32))))</f>
        <v/>
      </c>
      <c r="AH32" s="13">
        <f>IF(OR($A32="",Objective!$A$8=""),"",IF(L32=0,IF(T32=0,0,IF(Objective!$C$8="lower",-1,1)),IF(Objective!$C$8="lower",(L32-T32)/ABS(L32),(T32-L32)/ABS(L32))))</f>
        <v/>
      </c>
      <c r="AI32" s="13">
        <f>IF(OR($A32="",Objective!$A$9=""),"",IF(M32=0,IF(U32=0,0,IF(Objective!$C$9="lower",-1,1)),IF(Objective!$C$9="lower",(M32-U32)/ABS(M32),(U32-M32)/ABS(M32))))</f>
        <v/>
      </c>
      <c r="AJ32" s="13">
        <f>IF(OR($A32="",Objective!$A$10=""),"",IF(N32=0,IF(V32=0,0,IF(Objective!$C$10="lower",-1,1)),IF(Objective!$C$10="lower",(N32-V32)/ABS(N32),(V32-N32)/ABS(N32))))</f>
        <v/>
      </c>
      <c r="AK32" s="13">
        <f>IF(OR($A32="",Objective!$A$11=""),"",IF(O32=0,IF(W32=0,0,IF(Objective!$C$11="lower",-1,1)),IF(Objective!$C$11="lower",(O32-W32)/ABS(O32),(W32-O32)/ABS(O32))))</f>
        <v/>
      </c>
      <c r="AL32" s="13">
        <f>IF(OR($A32="",Objective!$A$12=""),"",IF(P32=0,IF(X32=0,0,IF(Objective!$C$12="lower",-1,1)),IF(Objective!$C$12="lower",(P32-X32)/ABS(P32),(X32-P32)/ABS(P32))))</f>
        <v/>
      </c>
      <c r="AM32" s="13">
        <f>IF(AE32="","",MAX(-1,MIN(1,AE32)))</f>
        <v/>
      </c>
      <c r="AN32" s="13">
        <f>IF(AF32="","",MAX(-1,MIN(1,AF32)))</f>
        <v/>
      </c>
      <c r="AO32" s="13">
        <f>IF(AG32="","",MAX(-1,MIN(1,AG32)))</f>
        <v/>
      </c>
      <c r="AP32" s="13">
        <f>IF(AH32="","",MAX(-1,MIN(1,AH32)))</f>
        <v/>
      </c>
      <c r="AQ32" s="13">
        <f>IF(AI32="","",MAX(-1,MIN(1,AI32)))</f>
        <v/>
      </c>
      <c r="AR32" s="13">
        <f>IF(AJ32="","",MAX(-1,MIN(1,AJ32)))</f>
        <v/>
      </c>
      <c r="AS32" s="13">
        <f>IF(AK32="","",MAX(-1,MIN(1,AK32)))</f>
        <v/>
      </c>
      <c r="AT32" s="13">
        <f>IF(AL32="","",MAX(-1,MIN(1,AL32)))</f>
        <v/>
      </c>
      <c r="AU32" s="13">
        <f>IF($A32="","",IF(AM32="",0,Objective!$B$5/Objective!$B$25*AM32)+IF(AN32="",0,Objective!$B$6/Objective!$B$25*AN32)+IF(AO32="",0,Objective!$B$7/Objective!$B$25*AO32)+IF(AP32="",0,Objective!$B$8/Objective!$B$25*AP32)+IF(AQ32="",0,Objective!$B$9/Objective!$B$25*AQ32)+IF(AR32="",0,Objective!$B$10/Objective!$B$25*AR32)+IF(AS32="",0,Objective!$B$11/Objective!$B$25*AS32)+IF(AT32="",0,Objective!$B$12/Objective!$B$25*AT32))</f>
        <v/>
      </c>
      <c r="AV32" s="13">
        <f>IF($A32="","",Objective!$B$23*MAX(0,N($H32)-N($G32)))</f>
        <v/>
      </c>
      <c r="AW32" s="13">
        <f>IF($A32="","",AU32-AV32)</f>
        <v/>
      </c>
      <c r="AX32" s="6">
        <f>IF($A32="","",AND(OR(Objective!$A$15="",LOWER(Y32)="pass"),OR(Objective!$A$16="",LOWER(Z32)="pass"),OR(Objective!$A$17="",LOWER(AA32)="pass"),OR(Objective!$A$18="",LOWER(AB32)="pass"),OR(Objective!$A$19="",LOWER(AC32)="pass"),OR(Objective!$A$20="",LOWER(AD32)="pass")))</f>
        <v/>
      </c>
      <c r="AY32" s="6">
        <f>IF($A32="","",AND(OR(AE32="",Objective!$B$24="",AE32&gt;=-Objective!$B$24),OR(AF32="",Objective!$B$24="",AF32&gt;=-Objective!$B$24),OR(AG32="",Objective!$B$24="",AG32&gt;=-Objective!$B$24),OR(AH32="",Objective!$B$24="",AH32&gt;=-Objective!$B$24),OR(AI32="",Objective!$B$24="",AI32&gt;=-Objective!$B$24),OR(AJ32="",Objective!$B$24="",AJ32&gt;=-Objective!$B$24),OR(AK32="",Objective!$B$24="",AK32&gt;=-Objective!$B$24),OR(AL32="",Objective!$B$24="",AL32&gt;=-Objective!$B$24)))</f>
        <v/>
      </c>
      <c r="AZ32" s="6">
        <f>IF($A32="","",AND(AX32,AY32,AW32&gt;=Objective!$B$22))</f>
        <v/>
      </c>
      <c r="BA32" s="6">
        <f>IF($A32="","",IF(OR(LOWER($C32)="generated",LOWER($C32)="evaluated",LOWER($C32)="discarded"),TRUE,IF(OR(LOWER($C32)="proposed",LOWER($C32)="promoted"),AZ32,FALSE)))</f>
        <v/>
      </c>
      <c r="BB32" s="6">
        <f>IF($A32="","",IF(AZ32,"proposed (eligible - present to human)","discarded (keep the record and the reason)"))</f>
        <v/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8" t="n"/>
      <c r="Z33" s="8" t="n"/>
      <c r="AA33" s="8" t="n"/>
      <c r="AB33" s="8" t="n"/>
      <c r="AC33" s="8" t="n"/>
      <c r="AD33" s="8" t="n"/>
      <c r="AE33" s="13">
        <f>IF(OR($A33="",Objective!$A$5=""),"",IF(I33=0,IF(Q33=0,0,IF(Objective!$C$5="lower",-1,1)),IF(Objective!$C$5="lower",(I33-Q33)/ABS(I33),(Q33-I33)/ABS(I33))))</f>
        <v/>
      </c>
      <c r="AF33" s="13">
        <f>IF(OR($A33="",Objective!$A$6=""),"",IF(J33=0,IF(R33=0,0,IF(Objective!$C$6="lower",-1,1)),IF(Objective!$C$6="lower",(J33-R33)/ABS(J33),(R33-J33)/ABS(J33))))</f>
        <v/>
      </c>
      <c r="AG33" s="13">
        <f>IF(OR($A33="",Objective!$A$7=""),"",IF(K33=0,IF(S33=0,0,IF(Objective!$C$7="lower",-1,1)),IF(Objective!$C$7="lower",(K33-S33)/ABS(K33),(S33-K33)/ABS(K33))))</f>
        <v/>
      </c>
      <c r="AH33" s="13">
        <f>IF(OR($A33="",Objective!$A$8=""),"",IF(L33=0,IF(T33=0,0,IF(Objective!$C$8="lower",-1,1)),IF(Objective!$C$8="lower",(L33-T33)/ABS(L33),(T33-L33)/ABS(L33))))</f>
        <v/>
      </c>
      <c r="AI33" s="13">
        <f>IF(OR($A33="",Objective!$A$9=""),"",IF(M33=0,IF(U33=0,0,IF(Objective!$C$9="lower",-1,1)),IF(Objective!$C$9="lower",(M33-U33)/ABS(M33),(U33-M33)/ABS(M33))))</f>
        <v/>
      </c>
      <c r="AJ33" s="13">
        <f>IF(OR($A33="",Objective!$A$10=""),"",IF(N33=0,IF(V33=0,0,IF(Objective!$C$10="lower",-1,1)),IF(Objective!$C$10="lower",(N33-V33)/ABS(N33),(V33-N33)/ABS(N33))))</f>
        <v/>
      </c>
      <c r="AK33" s="13">
        <f>IF(OR($A33="",Objective!$A$11=""),"",IF(O33=0,IF(W33=0,0,IF(Objective!$C$11="lower",-1,1)),IF(Objective!$C$11="lower",(O33-W33)/ABS(O33),(W33-O33)/ABS(O33))))</f>
        <v/>
      </c>
      <c r="AL33" s="13">
        <f>IF(OR($A33="",Objective!$A$12=""),"",IF(P33=0,IF(X33=0,0,IF(Objective!$C$12="lower",-1,1)),IF(Objective!$C$12="lower",(P33-X33)/ABS(P33),(X33-P33)/ABS(P33))))</f>
        <v/>
      </c>
      <c r="AM33" s="13">
        <f>IF(AE33="","",MAX(-1,MIN(1,AE33)))</f>
        <v/>
      </c>
      <c r="AN33" s="13">
        <f>IF(AF33="","",MAX(-1,MIN(1,AF33)))</f>
        <v/>
      </c>
      <c r="AO33" s="13">
        <f>IF(AG33="","",MAX(-1,MIN(1,AG33)))</f>
        <v/>
      </c>
      <c r="AP33" s="13">
        <f>IF(AH33="","",MAX(-1,MIN(1,AH33)))</f>
        <v/>
      </c>
      <c r="AQ33" s="13">
        <f>IF(AI33="","",MAX(-1,MIN(1,AI33)))</f>
        <v/>
      </c>
      <c r="AR33" s="13">
        <f>IF(AJ33="","",MAX(-1,MIN(1,AJ33)))</f>
        <v/>
      </c>
      <c r="AS33" s="13">
        <f>IF(AK33="","",MAX(-1,MIN(1,AK33)))</f>
        <v/>
      </c>
      <c r="AT33" s="13">
        <f>IF(AL33="","",MAX(-1,MIN(1,AL33)))</f>
        <v/>
      </c>
      <c r="AU33" s="13">
        <f>IF($A33="","",IF(AM33="",0,Objective!$B$5/Objective!$B$25*AM33)+IF(AN33="",0,Objective!$B$6/Objective!$B$25*AN33)+IF(AO33="",0,Objective!$B$7/Objective!$B$25*AO33)+IF(AP33="",0,Objective!$B$8/Objective!$B$25*AP33)+IF(AQ33="",0,Objective!$B$9/Objective!$B$25*AQ33)+IF(AR33="",0,Objective!$B$10/Objective!$B$25*AR33)+IF(AS33="",0,Objective!$B$11/Objective!$B$25*AS33)+IF(AT33="",0,Objective!$B$12/Objective!$B$25*AT33))</f>
        <v/>
      </c>
      <c r="AV33" s="13">
        <f>IF($A33="","",Objective!$B$23*MAX(0,N($H33)-N($G33)))</f>
        <v/>
      </c>
      <c r="AW33" s="13">
        <f>IF($A33="","",AU33-AV33)</f>
        <v/>
      </c>
      <c r="AX33" s="6">
        <f>IF($A33="","",AND(OR(Objective!$A$15="",LOWER(Y33)="pass"),OR(Objective!$A$16="",LOWER(Z33)="pass"),OR(Objective!$A$17="",LOWER(AA33)="pass"),OR(Objective!$A$18="",LOWER(AB33)="pass"),OR(Objective!$A$19="",LOWER(AC33)="pass"),OR(Objective!$A$20="",LOWER(AD33)="pass")))</f>
        <v/>
      </c>
      <c r="AY33" s="6">
        <f>IF($A33="","",AND(OR(AE33="",Objective!$B$24="",AE33&gt;=-Objective!$B$24),OR(AF33="",Objective!$B$24="",AF33&gt;=-Objective!$B$24),OR(AG33="",Objective!$B$24="",AG33&gt;=-Objective!$B$24),OR(AH33="",Objective!$B$24="",AH33&gt;=-Objective!$B$24),OR(AI33="",Objective!$B$24="",AI33&gt;=-Objective!$B$24),OR(AJ33="",Objective!$B$24="",AJ33&gt;=-Objective!$B$24),OR(AK33="",Objective!$B$24="",AK33&gt;=-Objective!$B$24),OR(AL33="",Objective!$B$24="",AL33&gt;=-Objective!$B$24)))</f>
        <v/>
      </c>
      <c r="AZ33" s="6">
        <f>IF($A33="","",AND(AX33,AY33,AW33&gt;=Objective!$B$22))</f>
        <v/>
      </c>
      <c r="BA33" s="6">
        <f>IF($A33="","",IF(OR(LOWER($C33)="generated",LOWER($C33)="evaluated",LOWER($C33)="discarded"),TRUE,IF(OR(LOWER($C33)="proposed",LOWER($C33)="promoted"),AZ33,FALSE)))</f>
        <v/>
      </c>
      <c r="BB33" s="6">
        <f>IF($A33="","",IF(AZ33,"proposed (eligible - present to human)","discarded (keep the record and the reason)"))</f>
        <v/>
      </c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8" t="n"/>
      <c r="Z34" s="8" t="n"/>
      <c r="AA34" s="8" t="n"/>
      <c r="AB34" s="8" t="n"/>
      <c r="AC34" s="8" t="n"/>
      <c r="AD34" s="8" t="n"/>
      <c r="AE34" s="13">
        <f>IF(OR($A34="",Objective!$A$5=""),"",IF(I34=0,IF(Q34=0,0,IF(Objective!$C$5="lower",-1,1)),IF(Objective!$C$5="lower",(I34-Q34)/ABS(I34),(Q34-I34)/ABS(I34))))</f>
        <v/>
      </c>
      <c r="AF34" s="13">
        <f>IF(OR($A34="",Objective!$A$6=""),"",IF(J34=0,IF(R34=0,0,IF(Objective!$C$6="lower",-1,1)),IF(Objective!$C$6="lower",(J34-R34)/ABS(J34),(R34-J34)/ABS(J34))))</f>
        <v/>
      </c>
      <c r="AG34" s="13">
        <f>IF(OR($A34="",Objective!$A$7=""),"",IF(K34=0,IF(S34=0,0,IF(Objective!$C$7="lower",-1,1)),IF(Objective!$C$7="lower",(K34-S34)/ABS(K34),(S34-K34)/ABS(K34))))</f>
        <v/>
      </c>
      <c r="AH34" s="13">
        <f>IF(OR($A34="",Objective!$A$8=""),"",IF(L34=0,IF(T34=0,0,IF(Objective!$C$8="lower",-1,1)),IF(Objective!$C$8="lower",(L34-T34)/ABS(L34),(T34-L34)/ABS(L34))))</f>
        <v/>
      </c>
      <c r="AI34" s="13">
        <f>IF(OR($A34="",Objective!$A$9=""),"",IF(M34=0,IF(U34=0,0,IF(Objective!$C$9="lower",-1,1)),IF(Objective!$C$9="lower",(M34-U34)/ABS(M34),(U34-M34)/ABS(M34))))</f>
        <v/>
      </c>
      <c r="AJ34" s="13">
        <f>IF(OR($A34="",Objective!$A$10=""),"",IF(N34=0,IF(V34=0,0,IF(Objective!$C$10="lower",-1,1)),IF(Objective!$C$10="lower",(N34-V34)/ABS(N34),(V34-N34)/ABS(N34))))</f>
        <v/>
      </c>
      <c r="AK34" s="13">
        <f>IF(OR($A34="",Objective!$A$11=""),"",IF(O34=0,IF(W34=0,0,IF(Objective!$C$11="lower",-1,1)),IF(Objective!$C$11="lower",(O34-W34)/ABS(O34),(W34-O34)/ABS(O34))))</f>
        <v/>
      </c>
      <c r="AL34" s="13">
        <f>IF(OR($A34="",Objective!$A$12=""),"",IF(P34=0,IF(X34=0,0,IF(Objective!$C$12="lower",-1,1)),IF(Objective!$C$12="lower",(P34-X34)/ABS(P34),(X34-P34)/ABS(P34))))</f>
        <v/>
      </c>
      <c r="AM34" s="13">
        <f>IF(AE34="","",MAX(-1,MIN(1,AE34)))</f>
        <v/>
      </c>
      <c r="AN34" s="13">
        <f>IF(AF34="","",MAX(-1,MIN(1,AF34)))</f>
        <v/>
      </c>
      <c r="AO34" s="13">
        <f>IF(AG34="","",MAX(-1,MIN(1,AG34)))</f>
        <v/>
      </c>
      <c r="AP34" s="13">
        <f>IF(AH34="","",MAX(-1,MIN(1,AH34)))</f>
        <v/>
      </c>
      <c r="AQ34" s="13">
        <f>IF(AI34="","",MAX(-1,MIN(1,AI34)))</f>
        <v/>
      </c>
      <c r="AR34" s="13">
        <f>IF(AJ34="","",MAX(-1,MIN(1,AJ34)))</f>
        <v/>
      </c>
      <c r="AS34" s="13">
        <f>IF(AK34="","",MAX(-1,MIN(1,AK34)))</f>
        <v/>
      </c>
      <c r="AT34" s="13">
        <f>IF(AL34="","",MAX(-1,MIN(1,AL34)))</f>
        <v/>
      </c>
      <c r="AU34" s="13">
        <f>IF($A34="","",IF(AM34="",0,Objective!$B$5/Objective!$B$25*AM34)+IF(AN34="",0,Objective!$B$6/Objective!$B$25*AN34)+IF(AO34="",0,Objective!$B$7/Objective!$B$25*AO34)+IF(AP34="",0,Objective!$B$8/Objective!$B$25*AP34)+IF(AQ34="",0,Objective!$B$9/Objective!$B$25*AQ34)+IF(AR34="",0,Objective!$B$10/Objective!$B$25*AR34)+IF(AS34="",0,Objective!$B$11/Objective!$B$25*AS34)+IF(AT34="",0,Objective!$B$12/Objective!$B$25*AT34))</f>
        <v/>
      </c>
      <c r="AV34" s="13">
        <f>IF($A34="","",Objective!$B$23*MAX(0,N($H34)-N($G34)))</f>
        <v/>
      </c>
      <c r="AW34" s="13">
        <f>IF($A34="","",AU34-AV34)</f>
        <v/>
      </c>
      <c r="AX34" s="6">
        <f>IF($A34="","",AND(OR(Objective!$A$15="",LOWER(Y34)="pass"),OR(Objective!$A$16="",LOWER(Z34)="pass"),OR(Objective!$A$17="",LOWER(AA34)="pass"),OR(Objective!$A$18="",LOWER(AB34)="pass"),OR(Objective!$A$19="",LOWER(AC34)="pass"),OR(Objective!$A$20="",LOWER(AD34)="pass")))</f>
        <v/>
      </c>
      <c r="AY34" s="6">
        <f>IF($A34="","",AND(OR(AE34="",Objective!$B$24="",AE34&gt;=-Objective!$B$24),OR(AF34="",Objective!$B$24="",AF34&gt;=-Objective!$B$24),OR(AG34="",Objective!$B$24="",AG34&gt;=-Objective!$B$24),OR(AH34="",Objective!$B$24="",AH34&gt;=-Objective!$B$24),OR(AI34="",Objective!$B$24="",AI34&gt;=-Objective!$B$24),OR(AJ34="",Objective!$B$24="",AJ34&gt;=-Objective!$B$24),OR(AK34="",Objective!$B$24="",AK34&gt;=-Objective!$B$24),OR(AL34="",Objective!$B$24="",AL34&gt;=-Objective!$B$24)))</f>
        <v/>
      </c>
      <c r="AZ34" s="6">
        <f>IF($A34="","",AND(AX34,AY34,AW34&gt;=Objective!$B$22))</f>
        <v/>
      </c>
      <c r="BA34" s="6">
        <f>IF($A34="","",IF(OR(LOWER($C34)="generated",LOWER($C34)="evaluated",LOWER($C34)="discarded"),TRUE,IF(OR(LOWER($C34)="proposed",LOWER($C34)="promoted"),AZ34,FALSE)))</f>
        <v/>
      </c>
      <c r="BB34" s="6">
        <f>IF($A34="","",IF(AZ34,"proposed (eligible - present to human)","discarded (keep the record and the reason)"))</f>
        <v/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8" t="n"/>
      <c r="Z35" s="8" t="n"/>
      <c r="AA35" s="8" t="n"/>
      <c r="AB35" s="8" t="n"/>
      <c r="AC35" s="8" t="n"/>
      <c r="AD35" s="8" t="n"/>
      <c r="AE35" s="13">
        <f>IF(OR($A35="",Objective!$A$5=""),"",IF(I35=0,IF(Q35=0,0,IF(Objective!$C$5="lower",-1,1)),IF(Objective!$C$5="lower",(I35-Q35)/ABS(I35),(Q35-I35)/ABS(I35))))</f>
        <v/>
      </c>
      <c r="AF35" s="13">
        <f>IF(OR($A35="",Objective!$A$6=""),"",IF(J35=0,IF(R35=0,0,IF(Objective!$C$6="lower",-1,1)),IF(Objective!$C$6="lower",(J35-R35)/ABS(J35),(R35-J35)/ABS(J35))))</f>
        <v/>
      </c>
      <c r="AG35" s="13">
        <f>IF(OR($A35="",Objective!$A$7=""),"",IF(K35=0,IF(S35=0,0,IF(Objective!$C$7="lower",-1,1)),IF(Objective!$C$7="lower",(K35-S35)/ABS(K35),(S35-K35)/ABS(K35))))</f>
        <v/>
      </c>
      <c r="AH35" s="13">
        <f>IF(OR($A35="",Objective!$A$8=""),"",IF(L35=0,IF(T35=0,0,IF(Objective!$C$8="lower",-1,1)),IF(Objective!$C$8="lower",(L35-T35)/ABS(L35),(T35-L35)/ABS(L35))))</f>
        <v/>
      </c>
      <c r="AI35" s="13">
        <f>IF(OR($A35="",Objective!$A$9=""),"",IF(M35=0,IF(U35=0,0,IF(Objective!$C$9="lower",-1,1)),IF(Objective!$C$9="lower",(M35-U35)/ABS(M35),(U35-M35)/ABS(M35))))</f>
        <v/>
      </c>
      <c r="AJ35" s="13">
        <f>IF(OR($A35="",Objective!$A$10=""),"",IF(N35=0,IF(V35=0,0,IF(Objective!$C$10="lower",-1,1)),IF(Objective!$C$10="lower",(N35-V35)/ABS(N35),(V35-N35)/ABS(N35))))</f>
        <v/>
      </c>
      <c r="AK35" s="13">
        <f>IF(OR($A35="",Objective!$A$11=""),"",IF(O35=0,IF(W35=0,0,IF(Objective!$C$11="lower",-1,1)),IF(Objective!$C$11="lower",(O35-W35)/ABS(O35),(W35-O35)/ABS(O35))))</f>
        <v/>
      </c>
      <c r="AL35" s="13">
        <f>IF(OR($A35="",Objective!$A$12=""),"",IF(P35=0,IF(X35=0,0,IF(Objective!$C$12="lower",-1,1)),IF(Objective!$C$12="lower",(P35-X35)/ABS(P35),(X35-P35)/ABS(P35))))</f>
        <v/>
      </c>
      <c r="AM35" s="13">
        <f>IF(AE35="","",MAX(-1,MIN(1,AE35)))</f>
        <v/>
      </c>
      <c r="AN35" s="13">
        <f>IF(AF35="","",MAX(-1,MIN(1,AF35)))</f>
        <v/>
      </c>
      <c r="AO35" s="13">
        <f>IF(AG35="","",MAX(-1,MIN(1,AG35)))</f>
        <v/>
      </c>
      <c r="AP35" s="13">
        <f>IF(AH35="","",MAX(-1,MIN(1,AH35)))</f>
        <v/>
      </c>
      <c r="AQ35" s="13">
        <f>IF(AI35="","",MAX(-1,MIN(1,AI35)))</f>
        <v/>
      </c>
      <c r="AR35" s="13">
        <f>IF(AJ35="","",MAX(-1,MIN(1,AJ35)))</f>
        <v/>
      </c>
      <c r="AS35" s="13">
        <f>IF(AK35="","",MAX(-1,MIN(1,AK35)))</f>
        <v/>
      </c>
      <c r="AT35" s="13">
        <f>IF(AL35="","",MAX(-1,MIN(1,AL35)))</f>
        <v/>
      </c>
      <c r="AU35" s="13">
        <f>IF($A35="","",IF(AM35="",0,Objective!$B$5/Objective!$B$25*AM35)+IF(AN35="",0,Objective!$B$6/Objective!$B$25*AN35)+IF(AO35="",0,Objective!$B$7/Objective!$B$25*AO35)+IF(AP35="",0,Objective!$B$8/Objective!$B$25*AP35)+IF(AQ35="",0,Objective!$B$9/Objective!$B$25*AQ35)+IF(AR35="",0,Objective!$B$10/Objective!$B$25*AR35)+IF(AS35="",0,Objective!$B$11/Objective!$B$25*AS35)+IF(AT35="",0,Objective!$B$12/Objective!$B$25*AT35))</f>
        <v/>
      </c>
      <c r="AV35" s="13">
        <f>IF($A35="","",Objective!$B$23*MAX(0,N($H35)-N($G35)))</f>
        <v/>
      </c>
      <c r="AW35" s="13">
        <f>IF($A35="","",AU35-AV35)</f>
        <v/>
      </c>
      <c r="AX35" s="6">
        <f>IF($A35="","",AND(OR(Objective!$A$15="",LOWER(Y35)="pass"),OR(Objective!$A$16="",LOWER(Z35)="pass"),OR(Objective!$A$17="",LOWER(AA35)="pass"),OR(Objective!$A$18="",LOWER(AB35)="pass"),OR(Objective!$A$19="",LOWER(AC35)="pass"),OR(Objective!$A$20="",LOWER(AD35)="pass")))</f>
        <v/>
      </c>
      <c r="AY35" s="6">
        <f>IF($A35="","",AND(OR(AE35="",Objective!$B$24="",AE35&gt;=-Objective!$B$24),OR(AF35="",Objective!$B$24="",AF35&gt;=-Objective!$B$24),OR(AG35="",Objective!$B$24="",AG35&gt;=-Objective!$B$24),OR(AH35="",Objective!$B$24="",AH35&gt;=-Objective!$B$24),OR(AI35="",Objective!$B$24="",AI35&gt;=-Objective!$B$24),OR(AJ35="",Objective!$B$24="",AJ35&gt;=-Objective!$B$24),OR(AK35="",Objective!$B$24="",AK35&gt;=-Objective!$B$24),OR(AL35="",Objective!$B$24="",AL35&gt;=-Objective!$B$24)))</f>
        <v/>
      </c>
      <c r="AZ35" s="6">
        <f>IF($A35="","",AND(AX35,AY35,AW35&gt;=Objective!$B$22))</f>
        <v/>
      </c>
      <c r="BA35" s="6">
        <f>IF($A35="","",IF(OR(LOWER($C35)="generated",LOWER($C35)="evaluated",LOWER($C35)="discarded"),TRUE,IF(OR(LOWER($C35)="proposed",LOWER($C35)="promoted"),AZ35,FALSE)))</f>
        <v/>
      </c>
      <c r="BB35" s="6">
        <f>IF($A35="","",IF(AZ35,"proposed (eligible - present to human)","discarded (keep the record and the reason)"))</f>
        <v/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8" t="n"/>
      <c r="Z36" s="8" t="n"/>
      <c r="AA36" s="8" t="n"/>
      <c r="AB36" s="8" t="n"/>
      <c r="AC36" s="8" t="n"/>
      <c r="AD36" s="8" t="n"/>
      <c r="AE36" s="13">
        <f>IF(OR($A36="",Objective!$A$5=""),"",IF(I36=0,IF(Q36=0,0,IF(Objective!$C$5="lower",-1,1)),IF(Objective!$C$5="lower",(I36-Q36)/ABS(I36),(Q36-I36)/ABS(I36))))</f>
        <v/>
      </c>
      <c r="AF36" s="13">
        <f>IF(OR($A36="",Objective!$A$6=""),"",IF(J36=0,IF(R36=0,0,IF(Objective!$C$6="lower",-1,1)),IF(Objective!$C$6="lower",(J36-R36)/ABS(J36),(R36-J36)/ABS(J36))))</f>
        <v/>
      </c>
      <c r="AG36" s="13">
        <f>IF(OR($A36="",Objective!$A$7=""),"",IF(K36=0,IF(S36=0,0,IF(Objective!$C$7="lower",-1,1)),IF(Objective!$C$7="lower",(K36-S36)/ABS(K36),(S36-K36)/ABS(K36))))</f>
        <v/>
      </c>
      <c r="AH36" s="13">
        <f>IF(OR($A36="",Objective!$A$8=""),"",IF(L36=0,IF(T36=0,0,IF(Objective!$C$8="lower",-1,1)),IF(Objective!$C$8="lower",(L36-T36)/ABS(L36),(T36-L36)/ABS(L36))))</f>
        <v/>
      </c>
      <c r="AI36" s="13">
        <f>IF(OR($A36="",Objective!$A$9=""),"",IF(M36=0,IF(U36=0,0,IF(Objective!$C$9="lower",-1,1)),IF(Objective!$C$9="lower",(M36-U36)/ABS(M36),(U36-M36)/ABS(M36))))</f>
        <v/>
      </c>
      <c r="AJ36" s="13">
        <f>IF(OR($A36="",Objective!$A$10=""),"",IF(N36=0,IF(V36=0,0,IF(Objective!$C$10="lower",-1,1)),IF(Objective!$C$10="lower",(N36-V36)/ABS(N36),(V36-N36)/ABS(N36))))</f>
        <v/>
      </c>
      <c r="AK36" s="13">
        <f>IF(OR($A36="",Objective!$A$11=""),"",IF(O36=0,IF(W36=0,0,IF(Objective!$C$11="lower",-1,1)),IF(Objective!$C$11="lower",(O36-W36)/ABS(O36),(W36-O36)/ABS(O36))))</f>
        <v/>
      </c>
      <c r="AL36" s="13">
        <f>IF(OR($A36="",Objective!$A$12=""),"",IF(P36=0,IF(X36=0,0,IF(Objective!$C$12="lower",-1,1)),IF(Objective!$C$12="lower",(P36-X36)/ABS(P36),(X36-P36)/ABS(P36))))</f>
        <v/>
      </c>
      <c r="AM36" s="13">
        <f>IF(AE36="","",MAX(-1,MIN(1,AE36)))</f>
        <v/>
      </c>
      <c r="AN36" s="13">
        <f>IF(AF36="","",MAX(-1,MIN(1,AF36)))</f>
        <v/>
      </c>
      <c r="AO36" s="13">
        <f>IF(AG36="","",MAX(-1,MIN(1,AG36)))</f>
        <v/>
      </c>
      <c r="AP36" s="13">
        <f>IF(AH36="","",MAX(-1,MIN(1,AH36)))</f>
        <v/>
      </c>
      <c r="AQ36" s="13">
        <f>IF(AI36="","",MAX(-1,MIN(1,AI36)))</f>
        <v/>
      </c>
      <c r="AR36" s="13">
        <f>IF(AJ36="","",MAX(-1,MIN(1,AJ36)))</f>
        <v/>
      </c>
      <c r="AS36" s="13">
        <f>IF(AK36="","",MAX(-1,MIN(1,AK36)))</f>
        <v/>
      </c>
      <c r="AT36" s="13">
        <f>IF(AL36="","",MAX(-1,MIN(1,AL36)))</f>
        <v/>
      </c>
      <c r="AU36" s="13">
        <f>IF($A36="","",IF(AM36="",0,Objective!$B$5/Objective!$B$25*AM36)+IF(AN36="",0,Objective!$B$6/Objective!$B$25*AN36)+IF(AO36="",0,Objective!$B$7/Objective!$B$25*AO36)+IF(AP36="",0,Objective!$B$8/Objective!$B$25*AP36)+IF(AQ36="",0,Objective!$B$9/Objective!$B$25*AQ36)+IF(AR36="",0,Objective!$B$10/Objective!$B$25*AR36)+IF(AS36="",0,Objective!$B$11/Objective!$B$25*AS36)+IF(AT36="",0,Objective!$B$12/Objective!$B$25*AT36))</f>
        <v/>
      </c>
      <c r="AV36" s="13">
        <f>IF($A36="","",Objective!$B$23*MAX(0,N($H36)-N($G36)))</f>
        <v/>
      </c>
      <c r="AW36" s="13">
        <f>IF($A36="","",AU36-AV36)</f>
        <v/>
      </c>
      <c r="AX36" s="6">
        <f>IF($A36="","",AND(OR(Objective!$A$15="",LOWER(Y36)="pass"),OR(Objective!$A$16="",LOWER(Z36)="pass"),OR(Objective!$A$17="",LOWER(AA36)="pass"),OR(Objective!$A$18="",LOWER(AB36)="pass"),OR(Objective!$A$19="",LOWER(AC36)="pass"),OR(Objective!$A$20="",LOWER(AD36)="pass")))</f>
        <v/>
      </c>
      <c r="AY36" s="6">
        <f>IF($A36="","",AND(OR(AE36="",Objective!$B$24="",AE36&gt;=-Objective!$B$24),OR(AF36="",Objective!$B$24="",AF36&gt;=-Objective!$B$24),OR(AG36="",Objective!$B$24="",AG36&gt;=-Objective!$B$24),OR(AH36="",Objective!$B$24="",AH36&gt;=-Objective!$B$24),OR(AI36="",Objective!$B$24="",AI36&gt;=-Objective!$B$24),OR(AJ36="",Objective!$B$24="",AJ36&gt;=-Objective!$B$24),OR(AK36="",Objective!$B$24="",AK36&gt;=-Objective!$B$24),OR(AL36="",Objective!$B$24="",AL36&gt;=-Objective!$B$24)))</f>
        <v/>
      </c>
      <c r="AZ36" s="6">
        <f>IF($A36="","",AND(AX36,AY36,AW36&gt;=Objective!$B$22))</f>
        <v/>
      </c>
      <c r="BA36" s="6">
        <f>IF($A36="","",IF(OR(LOWER($C36)="generated",LOWER($C36)="evaluated",LOWER($C36)="discarded"),TRUE,IF(OR(LOWER($C36)="proposed",LOWER($C36)="promoted"),AZ36,FALSE)))</f>
        <v/>
      </c>
      <c r="BB36" s="6">
        <f>IF($A36="","",IF(AZ36,"proposed (eligible - present to human)","discarded (keep the record and the reason)"))</f>
        <v/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8" t="n"/>
      <c r="Z37" s="8" t="n"/>
      <c r="AA37" s="8" t="n"/>
      <c r="AB37" s="8" t="n"/>
      <c r="AC37" s="8" t="n"/>
      <c r="AD37" s="8" t="n"/>
      <c r="AE37" s="13">
        <f>IF(OR($A37="",Objective!$A$5=""),"",IF(I37=0,IF(Q37=0,0,IF(Objective!$C$5="lower",-1,1)),IF(Objective!$C$5="lower",(I37-Q37)/ABS(I37),(Q37-I37)/ABS(I37))))</f>
        <v/>
      </c>
      <c r="AF37" s="13">
        <f>IF(OR($A37="",Objective!$A$6=""),"",IF(J37=0,IF(R37=0,0,IF(Objective!$C$6="lower",-1,1)),IF(Objective!$C$6="lower",(J37-R37)/ABS(J37),(R37-J37)/ABS(J37))))</f>
        <v/>
      </c>
      <c r="AG37" s="13">
        <f>IF(OR($A37="",Objective!$A$7=""),"",IF(K37=0,IF(S37=0,0,IF(Objective!$C$7="lower",-1,1)),IF(Objective!$C$7="lower",(K37-S37)/ABS(K37),(S37-K37)/ABS(K37))))</f>
        <v/>
      </c>
      <c r="AH37" s="13">
        <f>IF(OR($A37="",Objective!$A$8=""),"",IF(L37=0,IF(T37=0,0,IF(Objective!$C$8="lower",-1,1)),IF(Objective!$C$8="lower",(L37-T37)/ABS(L37),(T37-L37)/ABS(L37))))</f>
        <v/>
      </c>
      <c r="AI37" s="13">
        <f>IF(OR($A37="",Objective!$A$9=""),"",IF(M37=0,IF(U37=0,0,IF(Objective!$C$9="lower",-1,1)),IF(Objective!$C$9="lower",(M37-U37)/ABS(M37),(U37-M37)/ABS(M37))))</f>
        <v/>
      </c>
      <c r="AJ37" s="13">
        <f>IF(OR($A37="",Objective!$A$10=""),"",IF(N37=0,IF(V37=0,0,IF(Objective!$C$10="lower",-1,1)),IF(Objective!$C$10="lower",(N37-V37)/ABS(N37),(V37-N37)/ABS(N37))))</f>
        <v/>
      </c>
      <c r="AK37" s="13">
        <f>IF(OR($A37="",Objective!$A$11=""),"",IF(O37=0,IF(W37=0,0,IF(Objective!$C$11="lower",-1,1)),IF(Objective!$C$11="lower",(O37-W37)/ABS(O37),(W37-O37)/ABS(O37))))</f>
        <v/>
      </c>
      <c r="AL37" s="13">
        <f>IF(OR($A37="",Objective!$A$12=""),"",IF(P37=0,IF(X37=0,0,IF(Objective!$C$12="lower",-1,1)),IF(Objective!$C$12="lower",(P37-X37)/ABS(P37),(X37-P37)/ABS(P37))))</f>
        <v/>
      </c>
      <c r="AM37" s="13">
        <f>IF(AE37="","",MAX(-1,MIN(1,AE37)))</f>
        <v/>
      </c>
      <c r="AN37" s="13">
        <f>IF(AF37="","",MAX(-1,MIN(1,AF37)))</f>
        <v/>
      </c>
      <c r="AO37" s="13">
        <f>IF(AG37="","",MAX(-1,MIN(1,AG37)))</f>
        <v/>
      </c>
      <c r="AP37" s="13">
        <f>IF(AH37="","",MAX(-1,MIN(1,AH37)))</f>
        <v/>
      </c>
      <c r="AQ37" s="13">
        <f>IF(AI37="","",MAX(-1,MIN(1,AI37)))</f>
        <v/>
      </c>
      <c r="AR37" s="13">
        <f>IF(AJ37="","",MAX(-1,MIN(1,AJ37)))</f>
        <v/>
      </c>
      <c r="AS37" s="13">
        <f>IF(AK37="","",MAX(-1,MIN(1,AK37)))</f>
        <v/>
      </c>
      <c r="AT37" s="13">
        <f>IF(AL37="","",MAX(-1,MIN(1,AL37)))</f>
        <v/>
      </c>
      <c r="AU37" s="13">
        <f>IF($A37="","",IF(AM37="",0,Objective!$B$5/Objective!$B$25*AM37)+IF(AN37="",0,Objective!$B$6/Objective!$B$25*AN37)+IF(AO37="",0,Objective!$B$7/Objective!$B$25*AO37)+IF(AP37="",0,Objective!$B$8/Objective!$B$25*AP37)+IF(AQ37="",0,Objective!$B$9/Objective!$B$25*AQ37)+IF(AR37="",0,Objective!$B$10/Objective!$B$25*AR37)+IF(AS37="",0,Objective!$B$11/Objective!$B$25*AS37)+IF(AT37="",0,Objective!$B$12/Objective!$B$25*AT37))</f>
        <v/>
      </c>
      <c r="AV37" s="13">
        <f>IF($A37="","",Objective!$B$23*MAX(0,N($H37)-N($G37)))</f>
        <v/>
      </c>
      <c r="AW37" s="13">
        <f>IF($A37="","",AU37-AV37)</f>
        <v/>
      </c>
      <c r="AX37" s="6">
        <f>IF($A37="","",AND(OR(Objective!$A$15="",LOWER(Y37)="pass"),OR(Objective!$A$16="",LOWER(Z37)="pass"),OR(Objective!$A$17="",LOWER(AA37)="pass"),OR(Objective!$A$18="",LOWER(AB37)="pass"),OR(Objective!$A$19="",LOWER(AC37)="pass"),OR(Objective!$A$20="",LOWER(AD37)="pass")))</f>
        <v/>
      </c>
      <c r="AY37" s="6">
        <f>IF($A37="","",AND(OR(AE37="",Objective!$B$24="",AE37&gt;=-Objective!$B$24),OR(AF37="",Objective!$B$24="",AF37&gt;=-Objective!$B$24),OR(AG37="",Objective!$B$24="",AG37&gt;=-Objective!$B$24),OR(AH37="",Objective!$B$24="",AH37&gt;=-Objective!$B$24),OR(AI37="",Objective!$B$24="",AI37&gt;=-Objective!$B$24),OR(AJ37="",Objective!$B$24="",AJ37&gt;=-Objective!$B$24),OR(AK37="",Objective!$B$24="",AK37&gt;=-Objective!$B$24),OR(AL37="",Objective!$B$24="",AL37&gt;=-Objective!$B$24)))</f>
        <v/>
      </c>
      <c r="AZ37" s="6">
        <f>IF($A37="","",AND(AX37,AY37,AW37&gt;=Objective!$B$22))</f>
        <v/>
      </c>
      <c r="BA37" s="6">
        <f>IF($A37="","",IF(OR(LOWER($C37)="generated",LOWER($C37)="evaluated",LOWER($C37)="discarded"),TRUE,IF(OR(LOWER($C37)="proposed",LOWER($C37)="promoted"),AZ37,FALSE)))</f>
        <v/>
      </c>
      <c r="BB37" s="6">
        <f>IF($A37="","",IF(AZ37,"proposed (eligible - present to human)","discarded (keep the record and the reason)"))</f>
        <v/>
      </c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8" t="n"/>
      <c r="Z38" s="8" t="n"/>
      <c r="AA38" s="8" t="n"/>
      <c r="AB38" s="8" t="n"/>
      <c r="AC38" s="8" t="n"/>
      <c r="AD38" s="8" t="n"/>
      <c r="AE38" s="13">
        <f>IF(OR($A38="",Objective!$A$5=""),"",IF(I38=0,IF(Q38=0,0,IF(Objective!$C$5="lower",-1,1)),IF(Objective!$C$5="lower",(I38-Q38)/ABS(I38),(Q38-I38)/ABS(I38))))</f>
        <v/>
      </c>
      <c r="AF38" s="13">
        <f>IF(OR($A38="",Objective!$A$6=""),"",IF(J38=0,IF(R38=0,0,IF(Objective!$C$6="lower",-1,1)),IF(Objective!$C$6="lower",(J38-R38)/ABS(J38),(R38-J38)/ABS(J38))))</f>
        <v/>
      </c>
      <c r="AG38" s="13">
        <f>IF(OR($A38="",Objective!$A$7=""),"",IF(K38=0,IF(S38=0,0,IF(Objective!$C$7="lower",-1,1)),IF(Objective!$C$7="lower",(K38-S38)/ABS(K38),(S38-K38)/ABS(K38))))</f>
        <v/>
      </c>
      <c r="AH38" s="13">
        <f>IF(OR($A38="",Objective!$A$8=""),"",IF(L38=0,IF(T38=0,0,IF(Objective!$C$8="lower",-1,1)),IF(Objective!$C$8="lower",(L38-T38)/ABS(L38),(T38-L38)/ABS(L38))))</f>
        <v/>
      </c>
      <c r="AI38" s="13">
        <f>IF(OR($A38="",Objective!$A$9=""),"",IF(M38=0,IF(U38=0,0,IF(Objective!$C$9="lower",-1,1)),IF(Objective!$C$9="lower",(M38-U38)/ABS(M38),(U38-M38)/ABS(M38))))</f>
        <v/>
      </c>
      <c r="AJ38" s="13">
        <f>IF(OR($A38="",Objective!$A$10=""),"",IF(N38=0,IF(V38=0,0,IF(Objective!$C$10="lower",-1,1)),IF(Objective!$C$10="lower",(N38-V38)/ABS(N38),(V38-N38)/ABS(N38))))</f>
        <v/>
      </c>
      <c r="AK38" s="13">
        <f>IF(OR($A38="",Objective!$A$11=""),"",IF(O38=0,IF(W38=0,0,IF(Objective!$C$11="lower",-1,1)),IF(Objective!$C$11="lower",(O38-W38)/ABS(O38),(W38-O38)/ABS(O38))))</f>
        <v/>
      </c>
      <c r="AL38" s="13">
        <f>IF(OR($A38="",Objective!$A$12=""),"",IF(P38=0,IF(X38=0,0,IF(Objective!$C$12="lower",-1,1)),IF(Objective!$C$12="lower",(P38-X38)/ABS(P38),(X38-P38)/ABS(P38))))</f>
        <v/>
      </c>
      <c r="AM38" s="13">
        <f>IF(AE38="","",MAX(-1,MIN(1,AE38)))</f>
        <v/>
      </c>
      <c r="AN38" s="13">
        <f>IF(AF38="","",MAX(-1,MIN(1,AF38)))</f>
        <v/>
      </c>
      <c r="AO38" s="13">
        <f>IF(AG38="","",MAX(-1,MIN(1,AG38)))</f>
        <v/>
      </c>
      <c r="AP38" s="13">
        <f>IF(AH38="","",MAX(-1,MIN(1,AH38)))</f>
        <v/>
      </c>
      <c r="AQ38" s="13">
        <f>IF(AI38="","",MAX(-1,MIN(1,AI38)))</f>
        <v/>
      </c>
      <c r="AR38" s="13">
        <f>IF(AJ38="","",MAX(-1,MIN(1,AJ38)))</f>
        <v/>
      </c>
      <c r="AS38" s="13">
        <f>IF(AK38="","",MAX(-1,MIN(1,AK38)))</f>
        <v/>
      </c>
      <c r="AT38" s="13">
        <f>IF(AL38="","",MAX(-1,MIN(1,AL38)))</f>
        <v/>
      </c>
      <c r="AU38" s="13">
        <f>IF($A38="","",IF(AM38="",0,Objective!$B$5/Objective!$B$25*AM38)+IF(AN38="",0,Objective!$B$6/Objective!$B$25*AN38)+IF(AO38="",0,Objective!$B$7/Objective!$B$25*AO38)+IF(AP38="",0,Objective!$B$8/Objective!$B$25*AP38)+IF(AQ38="",0,Objective!$B$9/Objective!$B$25*AQ38)+IF(AR38="",0,Objective!$B$10/Objective!$B$25*AR38)+IF(AS38="",0,Objective!$B$11/Objective!$B$25*AS38)+IF(AT38="",0,Objective!$B$12/Objective!$B$25*AT38))</f>
        <v/>
      </c>
      <c r="AV38" s="13">
        <f>IF($A38="","",Objective!$B$23*MAX(0,N($H38)-N($G38)))</f>
        <v/>
      </c>
      <c r="AW38" s="13">
        <f>IF($A38="","",AU38-AV38)</f>
        <v/>
      </c>
      <c r="AX38" s="6">
        <f>IF($A38="","",AND(OR(Objective!$A$15="",LOWER(Y38)="pass"),OR(Objective!$A$16="",LOWER(Z38)="pass"),OR(Objective!$A$17="",LOWER(AA38)="pass"),OR(Objective!$A$18="",LOWER(AB38)="pass"),OR(Objective!$A$19="",LOWER(AC38)="pass"),OR(Objective!$A$20="",LOWER(AD38)="pass")))</f>
        <v/>
      </c>
      <c r="AY38" s="6">
        <f>IF($A38="","",AND(OR(AE38="",Objective!$B$24="",AE38&gt;=-Objective!$B$24),OR(AF38="",Objective!$B$24="",AF38&gt;=-Objective!$B$24),OR(AG38="",Objective!$B$24="",AG38&gt;=-Objective!$B$24),OR(AH38="",Objective!$B$24="",AH38&gt;=-Objective!$B$24),OR(AI38="",Objective!$B$24="",AI38&gt;=-Objective!$B$24),OR(AJ38="",Objective!$B$24="",AJ38&gt;=-Objective!$B$24),OR(AK38="",Objective!$B$24="",AK38&gt;=-Objective!$B$24),OR(AL38="",Objective!$B$24="",AL38&gt;=-Objective!$B$24)))</f>
        <v/>
      </c>
      <c r="AZ38" s="6">
        <f>IF($A38="","",AND(AX38,AY38,AW38&gt;=Objective!$B$22))</f>
        <v/>
      </c>
      <c r="BA38" s="6">
        <f>IF($A38="","",IF(OR(LOWER($C38)="generated",LOWER($C38)="evaluated",LOWER($C38)="discarded"),TRUE,IF(OR(LOWER($C38)="proposed",LOWER($C38)="promoted"),AZ38,FALSE)))</f>
        <v/>
      </c>
      <c r="BB38" s="6">
        <f>IF($A38="","",IF(AZ38,"proposed (eligible - present to human)","discarded (keep the record and the reason)"))</f>
        <v/>
      </c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8" t="n"/>
      <c r="Z39" s="8" t="n"/>
      <c r="AA39" s="8" t="n"/>
      <c r="AB39" s="8" t="n"/>
      <c r="AC39" s="8" t="n"/>
      <c r="AD39" s="8" t="n"/>
      <c r="AE39" s="13">
        <f>IF(OR($A39="",Objective!$A$5=""),"",IF(I39=0,IF(Q39=0,0,IF(Objective!$C$5="lower",-1,1)),IF(Objective!$C$5="lower",(I39-Q39)/ABS(I39),(Q39-I39)/ABS(I39))))</f>
        <v/>
      </c>
      <c r="AF39" s="13">
        <f>IF(OR($A39="",Objective!$A$6=""),"",IF(J39=0,IF(R39=0,0,IF(Objective!$C$6="lower",-1,1)),IF(Objective!$C$6="lower",(J39-R39)/ABS(J39),(R39-J39)/ABS(J39))))</f>
        <v/>
      </c>
      <c r="AG39" s="13">
        <f>IF(OR($A39="",Objective!$A$7=""),"",IF(K39=0,IF(S39=0,0,IF(Objective!$C$7="lower",-1,1)),IF(Objective!$C$7="lower",(K39-S39)/ABS(K39),(S39-K39)/ABS(K39))))</f>
        <v/>
      </c>
      <c r="AH39" s="13">
        <f>IF(OR($A39="",Objective!$A$8=""),"",IF(L39=0,IF(T39=0,0,IF(Objective!$C$8="lower",-1,1)),IF(Objective!$C$8="lower",(L39-T39)/ABS(L39),(T39-L39)/ABS(L39))))</f>
        <v/>
      </c>
      <c r="AI39" s="13">
        <f>IF(OR($A39="",Objective!$A$9=""),"",IF(M39=0,IF(U39=0,0,IF(Objective!$C$9="lower",-1,1)),IF(Objective!$C$9="lower",(M39-U39)/ABS(M39),(U39-M39)/ABS(M39))))</f>
        <v/>
      </c>
      <c r="AJ39" s="13">
        <f>IF(OR($A39="",Objective!$A$10=""),"",IF(N39=0,IF(V39=0,0,IF(Objective!$C$10="lower",-1,1)),IF(Objective!$C$10="lower",(N39-V39)/ABS(N39),(V39-N39)/ABS(N39))))</f>
        <v/>
      </c>
      <c r="AK39" s="13">
        <f>IF(OR($A39="",Objective!$A$11=""),"",IF(O39=0,IF(W39=0,0,IF(Objective!$C$11="lower",-1,1)),IF(Objective!$C$11="lower",(O39-W39)/ABS(O39),(W39-O39)/ABS(O39))))</f>
        <v/>
      </c>
      <c r="AL39" s="13">
        <f>IF(OR($A39="",Objective!$A$12=""),"",IF(P39=0,IF(X39=0,0,IF(Objective!$C$12="lower",-1,1)),IF(Objective!$C$12="lower",(P39-X39)/ABS(P39),(X39-P39)/ABS(P39))))</f>
        <v/>
      </c>
      <c r="AM39" s="13">
        <f>IF(AE39="","",MAX(-1,MIN(1,AE39)))</f>
        <v/>
      </c>
      <c r="AN39" s="13">
        <f>IF(AF39="","",MAX(-1,MIN(1,AF39)))</f>
        <v/>
      </c>
      <c r="AO39" s="13">
        <f>IF(AG39="","",MAX(-1,MIN(1,AG39)))</f>
        <v/>
      </c>
      <c r="AP39" s="13">
        <f>IF(AH39="","",MAX(-1,MIN(1,AH39)))</f>
        <v/>
      </c>
      <c r="AQ39" s="13">
        <f>IF(AI39="","",MAX(-1,MIN(1,AI39)))</f>
        <v/>
      </c>
      <c r="AR39" s="13">
        <f>IF(AJ39="","",MAX(-1,MIN(1,AJ39)))</f>
        <v/>
      </c>
      <c r="AS39" s="13">
        <f>IF(AK39="","",MAX(-1,MIN(1,AK39)))</f>
        <v/>
      </c>
      <c r="AT39" s="13">
        <f>IF(AL39="","",MAX(-1,MIN(1,AL39)))</f>
        <v/>
      </c>
      <c r="AU39" s="13">
        <f>IF($A39="","",IF(AM39="",0,Objective!$B$5/Objective!$B$25*AM39)+IF(AN39="",0,Objective!$B$6/Objective!$B$25*AN39)+IF(AO39="",0,Objective!$B$7/Objective!$B$25*AO39)+IF(AP39="",0,Objective!$B$8/Objective!$B$25*AP39)+IF(AQ39="",0,Objective!$B$9/Objective!$B$25*AQ39)+IF(AR39="",0,Objective!$B$10/Objective!$B$25*AR39)+IF(AS39="",0,Objective!$B$11/Objective!$B$25*AS39)+IF(AT39="",0,Objective!$B$12/Objective!$B$25*AT39))</f>
        <v/>
      </c>
      <c r="AV39" s="13">
        <f>IF($A39="","",Objective!$B$23*MAX(0,N($H39)-N($G39)))</f>
        <v/>
      </c>
      <c r="AW39" s="13">
        <f>IF($A39="","",AU39-AV39)</f>
        <v/>
      </c>
      <c r="AX39" s="6">
        <f>IF($A39="","",AND(OR(Objective!$A$15="",LOWER(Y39)="pass"),OR(Objective!$A$16="",LOWER(Z39)="pass"),OR(Objective!$A$17="",LOWER(AA39)="pass"),OR(Objective!$A$18="",LOWER(AB39)="pass"),OR(Objective!$A$19="",LOWER(AC39)="pass"),OR(Objective!$A$20="",LOWER(AD39)="pass")))</f>
        <v/>
      </c>
      <c r="AY39" s="6">
        <f>IF($A39="","",AND(OR(AE39="",Objective!$B$24="",AE39&gt;=-Objective!$B$24),OR(AF39="",Objective!$B$24="",AF39&gt;=-Objective!$B$24),OR(AG39="",Objective!$B$24="",AG39&gt;=-Objective!$B$24),OR(AH39="",Objective!$B$24="",AH39&gt;=-Objective!$B$24),OR(AI39="",Objective!$B$24="",AI39&gt;=-Objective!$B$24),OR(AJ39="",Objective!$B$24="",AJ39&gt;=-Objective!$B$24),OR(AK39="",Objective!$B$24="",AK39&gt;=-Objective!$B$24),OR(AL39="",Objective!$B$24="",AL39&gt;=-Objective!$B$24)))</f>
        <v/>
      </c>
      <c r="AZ39" s="6">
        <f>IF($A39="","",AND(AX39,AY39,AW39&gt;=Objective!$B$22))</f>
        <v/>
      </c>
      <c r="BA39" s="6">
        <f>IF($A39="","",IF(OR(LOWER($C39)="generated",LOWER($C39)="evaluated",LOWER($C39)="discarded"),TRUE,IF(OR(LOWER($C39)="proposed",LOWER($C39)="promoted"),AZ39,FALSE)))</f>
        <v/>
      </c>
      <c r="BB39" s="6">
        <f>IF($A39="","",IF(AZ39,"proposed (eligible - present to human)","discarded (keep the record and the reason)"))</f>
        <v/>
      </c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8" t="n"/>
      <c r="Z40" s="8" t="n"/>
      <c r="AA40" s="8" t="n"/>
      <c r="AB40" s="8" t="n"/>
      <c r="AC40" s="8" t="n"/>
      <c r="AD40" s="8" t="n"/>
      <c r="AE40" s="13">
        <f>IF(OR($A40="",Objective!$A$5=""),"",IF(I40=0,IF(Q40=0,0,IF(Objective!$C$5="lower",-1,1)),IF(Objective!$C$5="lower",(I40-Q40)/ABS(I40),(Q40-I40)/ABS(I40))))</f>
        <v/>
      </c>
      <c r="AF40" s="13">
        <f>IF(OR($A40="",Objective!$A$6=""),"",IF(J40=0,IF(R40=0,0,IF(Objective!$C$6="lower",-1,1)),IF(Objective!$C$6="lower",(J40-R40)/ABS(J40),(R40-J40)/ABS(J40))))</f>
        <v/>
      </c>
      <c r="AG40" s="13">
        <f>IF(OR($A40="",Objective!$A$7=""),"",IF(K40=0,IF(S40=0,0,IF(Objective!$C$7="lower",-1,1)),IF(Objective!$C$7="lower",(K40-S40)/ABS(K40),(S40-K40)/ABS(K40))))</f>
        <v/>
      </c>
      <c r="AH40" s="13">
        <f>IF(OR($A40="",Objective!$A$8=""),"",IF(L40=0,IF(T40=0,0,IF(Objective!$C$8="lower",-1,1)),IF(Objective!$C$8="lower",(L40-T40)/ABS(L40),(T40-L40)/ABS(L40))))</f>
        <v/>
      </c>
      <c r="AI40" s="13">
        <f>IF(OR($A40="",Objective!$A$9=""),"",IF(M40=0,IF(U40=0,0,IF(Objective!$C$9="lower",-1,1)),IF(Objective!$C$9="lower",(M40-U40)/ABS(M40),(U40-M40)/ABS(M40))))</f>
        <v/>
      </c>
      <c r="AJ40" s="13">
        <f>IF(OR($A40="",Objective!$A$10=""),"",IF(N40=0,IF(V40=0,0,IF(Objective!$C$10="lower",-1,1)),IF(Objective!$C$10="lower",(N40-V40)/ABS(N40),(V40-N40)/ABS(N40))))</f>
        <v/>
      </c>
      <c r="AK40" s="13">
        <f>IF(OR($A40="",Objective!$A$11=""),"",IF(O40=0,IF(W40=0,0,IF(Objective!$C$11="lower",-1,1)),IF(Objective!$C$11="lower",(O40-W40)/ABS(O40),(W40-O40)/ABS(O40))))</f>
        <v/>
      </c>
      <c r="AL40" s="13">
        <f>IF(OR($A40="",Objective!$A$12=""),"",IF(P40=0,IF(X40=0,0,IF(Objective!$C$12="lower",-1,1)),IF(Objective!$C$12="lower",(P40-X40)/ABS(P40),(X40-P40)/ABS(P40))))</f>
        <v/>
      </c>
      <c r="AM40" s="13">
        <f>IF(AE40="","",MAX(-1,MIN(1,AE40)))</f>
        <v/>
      </c>
      <c r="AN40" s="13">
        <f>IF(AF40="","",MAX(-1,MIN(1,AF40)))</f>
        <v/>
      </c>
      <c r="AO40" s="13">
        <f>IF(AG40="","",MAX(-1,MIN(1,AG40)))</f>
        <v/>
      </c>
      <c r="AP40" s="13">
        <f>IF(AH40="","",MAX(-1,MIN(1,AH40)))</f>
        <v/>
      </c>
      <c r="AQ40" s="13">
        <f>IF(AI40="","",MAX(-1,MIN(1,AI40)))</f>
        <v/>
      </c>
      <c r="AR40" s="13">
        <f>IF(AJ40="","",MAX(-1,MIN(1,AJ40)))</f>
        <v/>
      </c>
      <c r="AS40" s="13">
        <f>IF(AK40="","",MAX(-1,MIN(1,AK40)))</f>
        <v/>
      </c>
      <c r="AT40" s="13">
        <f>IF(AL40="","",MAX(-1,MIN(1,AL40)))</f>
        <v/>
      </c>
      <c r="AU40" s="13">
        <f>IF($A40="","",IF(AM40="",0,Objective!$B$5/Objective!$B$25*AM40)+IF(AN40="",0,Objective!$B$6/Objective!$B$25*AN40)+IF(AO40="",0,Objective!$B$7/Objective!$B$25*AO40)+IF(AP40="",0,Objective!$B$8/Objective!$B$25*AP40)+IF(AQ40="",0,Objective!$B$9/Objective!$B$25*AQ40)+IF(AR40="",0,Objective!$B$10/Objective!$B$25*AR40)+IF(AS40="",0,Objective!$B$11/Objective!$B$25*AS40)+IF(AT40="",0,Objective!$B$12/Objective!$B$25*AT40))</f>
        <v/>
      </c>
      <c r="AV40" s="13">
        <f>IF($A40="","",Objective!$B$23*MAX(0,N($H40)-N($G40)))</f>
        <v/>
      </c>
      <c r="AW40" s="13">
        <f>IF($A40="","",AU40-AV40)</f>
        <v/>
      </c>
      <c r="AX40" s="6">
        <f>IF($A40="","",AND(OR(Objective!$A$15="",LOWER(Y40)="pass"),OR(Objective!$A$16="",LOWER(Z40)="pass"),OR(Objective!$A$17="",LOWER(AA40)="pass"),OR(Objective!$A$18="",LOWER(AB40)="pass"),OR(Objective!$A$19="",LOWER(AC40)="pass"),OR(Objective!$A$20="",LOWER(AD40)="pass")))</f>
        <v/>
      </c>
      <c r="AY40" s="6">
        <f>IF($A40="","",AND(OR(AE40="",Objective!$B$24="",AE40&gt;=-Objective!$B$24),OR(AF40="",Objective!$B$24="",AF40&gt;=-Objective!$B$24),OR(AG40="",Objective!$B$24="",AG40&gt;=-Objective!$B$24),OR(AH40="",Objective!$B$24="",AH40&gt;=-Objective!$B$24),OR(AI40="",Objective!$B$24="",AI40&gt;=-Objective!$B$24),OR(AJ40="",Objective!$B$24="",AJ40&gt;=-Objective!$B$24),OR(AK40="",Objective!$B$24="",AK40&gt;=-Objective!$B$24),OR(AL40="",Objective!$B$24="",AL40&gt;=-Objective!$B$24)))</f>
        <v/>
      </c>
      <c r="AZ40" s="6">
        <f>IF($A40="","",AND(AX40,AY40,AW40&gt;=Objective!$B$22))</f>
        <v/>
      </c>
      <c r="BA40" s="6">
        <f>IF($A40="","",IF(OR(LOWER($C40)="generated",LOWER($C40)="evaluated",LOWER($C40)="discarded"),TRUE,IF(OR(LOWER($C40)="proposed",LOWER($C40)="promoted"),AZ40,FALSE)))</f>
        <v/>
      </c>
      <c r="BB40" s="6">
        <f>IF($A40="","",IF(AZ40,"proposed (eligible - present to human)","discarded (keep the record and the reason)"))</f>
        <v/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8" t="n"/>
      <c r="Z41" s="8" t="n"/>
      <c r="AA41" s="8" t="n"/>
      <c r="AB41" s="8" t="n"/>
      <c r="AC41" s="8" t="n"/>
      <c r="AD41" s="8" t="n"/>
      <c r="AE41" s="13">
        <f>IF(OR($A41="",Objective!$A$5=""),"",IF(I41=0,IF(Q41=0,0,IF(Objective!$C$5="lower",-1,1)),IF(Objective!$C$5="lower",(I41-Q41)/ABS(I41),(Q41-I41)/ABS(I41))))</f>
        <v/>
      </c>
      <c r="AF41" s="13">
        <f>IF(OR($A41="",Objective!$A$6=""),"",IF(J41=0,IF(R41=0,0,IF(Objective!$C$6="lower",-1,1)),IF(Objective!$C$6="lower",(J41-R41)/ABS(J41),(R41-J41)/ABS(J41))))</f>
        <v/>
      </c>
      <c r="AG41" s="13">
        <f>IF(OR($A41="",Objective!$A$7=""),"",IF(K41=0,IF(S41=0,0,IF(Objective!$C$7="lower",-1,1)),IF(Objective!$C$7="lower",(K41-S41)/ABS(K41),(S41-K41)/ABS(K41))))</f>
        <v/>
      </c>
      <c r="AH41" s="13">
        <f>IF(OR($A41="",Objective!$A$8=""),"",IF(L41=0,IF(T41=0,0,IF(Objective!$C$8="lower",-1,1)),IF(Objective!$C$8="lower",(L41-T41)/ABS(L41),(T41-L41)/ABS(L41))))</f>
        <v/>
      </c>
      <c r="AI41" s="13">
        <f>IF(OR($A41="",Objective!$A$9=""),"",IF(M41=0,IF(U41=0,0,IF(Objective!$C$9="lower",-1,1)),IF(Objective!$C$9="lower",(M41-U41)/ABS(M41),(U41-M41)/ABS(M41))))</f>
        <v/>
      </c>
      <c r="AJ41" s="13">
        <f>IF(OR($A41="",Objective!$A$10=""),"",IF(N41=0,IF(V41=0,0,IF(Objective!$C$10="lower",-1,1)),IF(Objective!$C$10="lower",(N41-V41)/ABS(N41),(V41-N41)/ABS(N41))))</f>
        <v/>
      </c>
      <c r="AK41" s="13">
        <f>IF(OR($A41="",Objective!$A$11=""),"",IF(O41=0,IF(W41=0,0,IF(Objective!$C$11="lower",-1,1)),IF(Objective!$C$11="lower",(O41-W41)/ABS(O41),(W41-O41)/ABS(O41))))</f>
        <v/>
      </c>
      <c r="AL41" s="13">
        <f>IF(OR($A41="",Objective!$A$12=""),"",IF(P41=0,IF(X41=0,0,IF(Objective!$C$12="lower",-1,1)),IF(Objective!$C$12="lower",(P41-X41)/ABS(P41),(X41-P41)/ABS(P41))))</f>
        <v/>
      </c>
      <c r="AM41" s="13">
        <f>IF(AE41="","",MAX(-1,MIN(1,AE41)))</f>
        <v/>
      </c>
      <c r="AN41" s="13">
        <f>IF(AF41="","",MAX(-1,MIN(1,AF41)))</f>
        <v/>
      </c>
      <c r="AO41" s="13">
        <f>IF(AG41="","",MAX(-1,MIN(1,AG41)))</f>
        <v/>
      </c>
      <c r="AP41" s="13">
        <f>IF(AH41="","",MAX(-1,MIN(1,AH41)))</f>
        <v/>
      </c>
      <c r="AQ41" s="13">
        <f>IF(AI41="","",MAX(-1,MIN(1,AI41)))</f>
        <v/>
      </c>
      <c r="AR41" s="13">
        <f>IF(AJ41="","",MAX(-1,MIN(1,AJ41)))</f>
        <v/>
      </c>
      <c r="AS41" s="13">
        <f>IF(AK41="","",MAX(-1,MIN(1,AK41)))</f>
        <v/>
      </c>
      <c r="AT41" s="13">
        <f>IF(AL41="","",MAX(-1,MIN(1,AL41)))</f>
        <v/>
      </c>
      <c r="AU41" s="13">
        <f>IF($A41="","",IF(AM41="",0,Objective!$B$5/Objective!$B$25*AM41)+IF(AN41="",0,Objective!$B$6/Objective!$B$25*AN41)+IF(AO41="",0,Objective!$B$7/Objective!$B$25*AO41)+IF(AP41="",0,Objective!$B$8/Objective!$B$25*AP41)+IF(AQ41="",0,Objective!$B$9/Objective!$B$25*AQ41)+IF(AR41="",0,Objective!$B$10/Objective!$B$25*AR41)+IF(AS41="",0,Objective!$B$11/Objective!$B$25*AS41)+IF(AT41="",0,Objective!$B$12/Objective!$B$25*AT41))</f>
        <v/>
      </c>
      <c r="AV41" s="13">
        <f>IF($A41="","",Objective!$B$23*MAX(0,N($H41)-N($G41)))</f>
        <v/>
      </c>
      <c r="AW41" s="13">
        <f>IF($A41="","",AU41-AV41)</f>
        <v/>
      </c>
      <c r="AX41" s="6">
        <f>IF($A41="","",AND(OR(Objective!$A$15="",LOWER(Y41)="pass"),OR(Objective!$A$16="",LOWER(Z41)="pass"),OR(Objective!$A$17="",LOWER(AA41)="pass"),OR(Objective!$A$18="",LOWER(AB41)="pass"),OR(Objective!$A$19="",LOWER(AC41)="pass"),OR(Objective!$A$20="",LOWER(AD41)="pass")))</f>
        <v/>
      </c>
      <c r="AY41" s="6">
        <f>IF($A41="","",AND(OR(AE41="",Objective!$B$24="",AE41&gt;=-Objective!$B$24),OR(AF41="",Objective!$B$24="",AF41&gt;=-Objective!$B$24),OR(AG41="",Objective!$B$24="",AG41&gt;=-Objective!$B$24),OR(AH41="",Objective!$B$24="",AH41&gt;=-Objective!$B$24),OR(AI41="",Objective!$B$24="",AI41&gt;=-Objective!$B$24),OR(AJ41="",Objective!$B$24="",AJ41&gt;=-Objective!$B$24),OR(AK41="",Objective!$B$24="",AK41&gt;=-Objective!$B$24),OR(AL41="",Objective!$B$24="",AL41&gt;=-Objective!$B$24)))</f>
        <v/>
      </c>
      <c r="AZ41" s="6">
        <f>IF($A41="","",AND(AX41,AY41,AW41&gt;=Objective!$B$22))</f>
        <v/>
      </c>
      <c r="BA41" s="6">
        <f>IF($A41="","",IF(OR(LOWER($C41)="generated",LOWER($C41)="evaluated",LOWER($C41)="discarded"),TRUE,IF(OR(LOWER($C41)="proposed",LOWER($C41)="promoted"),AZ41,FALSE)))</f>
        <v/>
      </c>
      <c r="BB41" s="6">
        <f>IF($A41="","",IF(AZ41,"proposed (eligible - present to human)","discarded (keep the record and the reason)"))</f>
        <v/>
      </c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8" t="n"/>
      <c r="Z42" s="8" t="n"/>
      <c r="AA42" s="8" t="n"/>
      <c r="AB42" s="8" t="n"/>
      <c r="AC42" s="8" t="n"/>
      <c r="AD42" s="8" t="n"/>
      <c r="AE42" s="13">
        <f>IF(OR($A42="",Objective!$A$5=""),"",IF(I42=0,IF(Q42=0,0,IF(Objective!$C$5="lower",-1,1)),IF(Objective!$C$5="lower",(I42-Q42)/ABS(I42),(Q42-I42)/ABS(I42))))</f>
        <v/>
      </c>
      <c r="AF42" s="13">
        <f>IF(OR($A42="",Objective!$A$6=""),"",IF(J42=0,IF(R42=0,0,IF(Objective!$C$6="lower",-1,1)),IF(Objective!$C$6="lower",(J42-R42)/ABS(J42),(R42-J42)/ABS(J42))))</f>
        <v/>
      </c>
      <c r="AG42" s="13">
        <f>IF(OR($A42="",Objective!$A$7=""),"",IF(K42=0,IF(S42=0,0,IF(Objective!$C$7="lower",-1,1)),IF(Objective!$C$7="lower",(K42-S42)/ABS(K42),(S42-K42)/ABS(K42))))</f>
        <v/>
      </c>
      <c r="AH42" s="13">
        <f>IF(OR($A42="",Objective!$A$8=""),"",IF(L42=0,IF(T42=0,0,IF(Objective!$C$8="lower",-1,1)),IF(Objective!$C$8="lower",(L42-T42)/ABS(L42),(T42-L42)/ABS(L42))))</f>
        <v/>
      </c>
      <c r="AI42" s="13">
        <f>IF(OR($A42="",Objective!$A$9=""),"",IF(M42=0,IF(U42=0,0,IF(Objective!$C$9="lower",-1,1)),IF(Objective!$C$9="lower",(M42-U42)/ABS(M42),(U42-M42)/ABS(M42))))</f>
        <v/>
      </c>
      <c r="AJ42" s="13">
        <f>IF(OR($A42="",Objective!$A$10=""),"",IF(N42=0,IF(V42=0,0,IF(Objective!$C$10="lower",-1,1)),IF(Objective!$C$10="lower",(N42-V42)/ABS(N42),(V42-N42)/ABS(N42))))</f>
        <v/>
      </c>
      <c r="AK42" s="13">
        <f>IF(OR($A42="",Objective!$A$11=""),"",IF(O42=0,IF(W42=0,0,IF(Objective!$C$11="lower",-1,1)),IF(Objective!$C$11="lower",(O42-W42)/ABS(O42),(W42-O42)/ABS(O42))))</f>
        <v/>
      </c>
      <c r="AL42" s="13">
        <f>IF(OR($A42="",Objective!$A$12=""),"",IF(P42=0,IF(X42=0,0,IF(Objective!$C$12="lower",-1,1)),IF(Objective!$C$12="lower",(P42-X42)/ABS(P42),(X42-P42)/ABS(P42))))</f>
        <v/>
      </c>
      <c r="AM42" s="13">
        <f>IF(AE42="","",MAX(-1,MIN(1,AE42)))</f>
        <v/>
      </c>
      <c r="AN42" s="13">
        <f>IF(AF42="","",MAX(-1,MIN(1,AF42)))</f>
        <v/>
      </c>
      <c r="AO42" s="13">
        <f>IF(AG42="","",MAX(-1,MIN(1,AG42)))</f>
        <v/>
      </c>
      <c r="AP42" s="13">
        <f>IF(AH42="","",MAX(-1,MIN(1,AH42)))</f>
        <v/>
      </c>
      <c r="AQ42" s="13">
        <f>IF(AI42="","",MAX(-1,MIN(1,AI42)))</f>
        <v/>
      </c>
      <c r="AR42" s="13">
        <f>IF(AJ42="","",MAX(-1,MIN(1,AJ42)))</f>
        <v/>
      </c>
      <c r="AS42" s="13">
        <f>IF(AK42="","",MAX(-1,MIN(1,AK42)))</f>
        <v/>
      </c>
      <c r="AT42" s="13">
        <f>IF(AL42="","",MAX(-1,MIN(1,AL42)))</f>
        <v/>
      </c>
      <c r="AU42" s="13">
        <f>IF($A42="","",IF(AM42="",0,Objective!$B$5/Objective!$B$25*AM42)+IF(AN42="",0,Objective!$B$6/Objective!$B$25*AN42)+IF(AO42="",0,Objective!$B$7/Objective!$B$25*AO42)+IF(AP42="",0,Objective!$B$8/Objective!$B$25*AP42)+IF(AQ42="",0,Objective!$B$9/Objective!$B$25*AQ42)+IF(AR42="",0,Objective!$B$10/Objective!$B$25*AR42)+IF(AS42="",0,Objective!$B$11/Objective!$B$25*AS42)+IF(AT42="",0,Objective!$B$12/Objective!$B$25*AT42))</f>
        <v/>
      </c>
      <c r="AV42" s="13">
        <f>IF($A42="","",Objective!$B$23*MAX(0,N($H42)-N($G42)))</f>
        <v/>
      </c>
      <c r="AW42" s="13">
        <f>IF($A42="","",AU42-AV42)</f>
        <v/>
      </c>
      <c r="AX42" s="6">
        <f>IF($A42="","",AND(OR(Objective!$A$15="",LOWER(Y42)="pass"),OR(Objective!$A$16="",LOWER(Z42)="pass"),OR(Objective!$A$17="",LOWER(AA42)="pass"),OR(Objective!$A$18="",LOWER(AB42)="pass"),OR(Objective!$A$19="",LOWER(AC42)="pass"),OR(Objective!$A$20="",LOWER(AD42)="pass")))</f>
        <v/>
      </c>
      <c r="AY42" s="6">
        <f>IF($A42="","",AND(OR(AE42="",Objective!$B$24="",AE42&gt;=-Objective!$B$24),OR(AF42="",Objective!$B$24="",AF42&gt;=-Objective!$B$24),OR(AG42="",Objective!$B$24="",AG42&gt;=-Objective!$B$24),OR(AH42="",Objective!$B$24="",AH42&gt;=-Objective!$B$24),OR(AI42="",Objective!$B$24="",AI42&gt;=-Objective!$B$24),OR(AJ42="",Objective!$B$24="",AJ42&gt;=-Objective!$B$24),OR(AK42="",Objective!$B$24="",AK42&gt;=-Objective!$B$24),OR(AL42="",Objective!$B$24="",AL42&gt;=-Objective!$B$24)))</f>
        <v/>
      </c>
      <c r="AZ42" s="6">
        <f>IF($A42="","",AND(AX42,AY42,AW42&gt;=Objective!$B$22))</f>
        <v/>
      </c>
      <c r="BA42" s="6">
        <f>IF($A42="","",IF(OR(LOWER($C42)="generated",LOWER($C42)="evaluated",LOWER($C42)="discarded"),TRUE,IF(OR(LOWER($C42)="proposed",LOWER($C42)="promoted"),AZ42,FALSE)))</f>
        <v/>
      </c>
      <c r="BB42" s="6">
        <f>IF($A42="","",IF(AZ42,"proposed (eligible - present to human)","discarded (keep the record and the reason)"))</f>
        <v/>
      </c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8" t="n"/>
      <c r="Z43" s="8" t="n"/>
      <c r="AA43" s="8" t="n"/>
      <c r="AB43" s="8" t="n"/>
      <c r="AC43" s="8" t="n"/>
      <c r="AD43" s="8" t="n"/>
      <c r="AE43" s="13">
        <f>IF(OR($A43="",Objective!$A$5=""),"",IF(I43=0,IF(Q43=0,0,IF(Objective!$C$5="lower",-1,1)),IF(Objective!$C$5="lower",(I43-Q43)/ABS(I43),(Q43-I43)/ABS(I43))))</f>
        <v/>
      </c>
      <c r="AF43" s="13">
        <f>IF(OR($A43="",Objective!$A$6=""),"",IF(J43=0,IF(R43=0,0,IF(Objective!$C$6="lower",-1,1)),IF(Objective!$C$6="lower",(J43-R43)/ABS(J43),(R43-J43)/ABS(J43))))</f>
        <v/>
      </c>
      <c r="AG43" s="13">
        <f>IF(OR($A43="",Objective!$A$7=""),"",IF(K43=0,IF(S43=0,0,IF(Objective!$C$7="lower",-1,1)),IF(Objective!$C$7="lower",(K43-S43)/ABS(K43),(S43-K43)/ABS(K43))))</f>
        <v/>
      </c>
      <c r="AH43" s="13">
        <f>IF(OR($A43="",Objective!$A$8=""),"",IF(L43=0,IF(T43=0,0,IF(Objective!$C$8="lower",-1,1)),IF(Objective!$C$8="lower",(L43-T43)/ABS(L43),(T43-L43)/ABS(L43))))</f>
        <v/>
      </c>
      <c r="AI43" s="13">
        <f>IF(OR($A43="",Objective!$A$9=""),"",IF(M43=0,IF(U43=0,0,IF(Objective!$C$9="lower",-1,1)),IF(Objective!$C$9="lower",(M43-U43)/ABS(M43),(U43-M43)/ABS(M43))))</f>
        <v/>
      </c>
      <c r="AJ43" s="13">
        <f>IF(OR($A43="",Objective!$A$10=""),"",IF(N43=0,IF(V43=0,0,IF(Objective!$C$10="lower",-1,1)),IF(Objective!$C$10="lower",(N43-V43)/ABS(N43),(V43-N43)/ABS(N43))))</f>
        <v/>
      </c>
      <c r="AK43" s="13">
        <f>IF(OR($A43="",Objective!$A$11=""),"",IF(O43=0,IF(W43=0,0,IF(Objective!$C$11="lower",-1,1)),IF(Objective!$C$11="lower",(O43-W43)/ABS(O43),(W43-O43)/ABS(O43))))</f>
        <v/>
      </c>
      <c r="AL43" s="13">
        <f>IF(OR($A43="",Objective!$A$12=""),"",IF(P43=0,IF(X43=0,0,IF(Objective!$C$12="lower",-1,1)),IF(Objective!$C$12="lower",(P43-X43)/ABS(P43),(X43-P43)/ABS(P43))))</f>
        <v/>
      </c>
      <c r="AM43" s="13">
        <f>IF(AE43="","",MAX(-1,MIN(1,AE43)))</f>
        <v/>
      </c>
      <c r="AN43" s="13">
        <f>IF(AF43="","",MAX(-1,MIN(1,AF43)))</f>
        <v/>
      </c>
      <c r="AO43" s="13">
        <f>IF(AG43="","",MAX(-1,MIN(1,AG43)))</f>
        <v/>
      </c>
      <c r="AP43" s="13">
        <f>IF(AH43="","",MAX(-1,MIN(1,AH43)))</f>
        <v/>
      </c>
      <c r="AQ43" s="13">
        <f>IF(AI43="","",MAX(-1,MIN(1,AI43)))</f>
        <v/>
      </c>
      <c r="AR43" s="13">
        <f>IF(AJ43="","",MAX(-1,MIN(1,AJ43)))</f>
        <v/>
      </c>
      <c r="AS43" s="13">
        <f>IF(AK43="","",MAX(-1,MIN(1,AK43)))</f>
        <v/>
      </c>
      <c r="AT43" s="13">
        <f>IF(AL43="","",MAX(-1,MIN(1,AL43)))</f>
        <v/>
      </c>
      <c r="AU43" s="13">
        <f>IF($A43="","",IF(AM43="",0,Objective!$B$5/Objective!$B$25*AM43)+IF(AN43="",0,Objective!$B$6/Objective!$B$25*AN43)+IF(AO43="",0,Objective!$B$7/Objective!$B$25*AO43)+IF(AP43="",0,Objective!$B$8/Objective!$B$25*AP43)+IF(AQ43="",0,Objective!$B$9/Objective!$B$25*AQ43)+IF(AR43="",0,Objective!$B$10/Objective!$B$25*AR43)+IF(AS43="",0,Objective!$B$11/Objective!$B$25*AS43)+IF(AT43="",0,Objective!$B$12/Objective!$B$25*AT43))</f>
        <v/>
      </c>
      <c r="AV43" s="13">
        <f>IF($A43="","",Objective!$B$23*MAX(0,N($H43)-N($G43)))</f>
        <v/>
      </c>
      <c r="AW43" s="13">
        <f>IF($A43="","",AU43-AV43)</f>
        <v/>
      </c>
      <c r="AX43" s="6">
        <f>IF($A43="","",AND(OR(Objective!$A$15="",LOWER(Y43)="pass"),OR(Objective!$A$16="",LOWER(Z43)="pass"),OR(Objective!$A$17="",LOWER(AA43)="pass"),OR(Objective!$A$18="",LOWER(AB43)="pass"),OR(Objective!$A$19="",LOWER(AC43)="pass"),OR(Objective!$A$20="",LOWER(AD43)="pass")))</f>
        <v/>
      </c>
      <c r="AY43" s="6">
        <f>IF($A43="","",AND(OR(AE43="",Objective!$B$24="",AE43&gt;=-Objective!$B$24),OR(AF43="",Objective!$B$24="",AF43&gt;=-Objective!$B$24),OR(AG43="",Objective!$B$24="",AG43&gt;=-Objective!$B$24),OR(AH43="",Objective!$B$24="",AH43&gt;=-Objective!$B$24),OR(AI43="",Objective!$B$24="",AI43&gt;=-Objective!$B$24),OR(AJ43="",Objective!$B$24="",AJ43&gt;=-Objective!$B$24),OR(AK43="",Objective!$B$24="",AK43&gt;=-Objective!$B$24),OR(AL43="",Objective!$B$24="",AL43&gt;=-Objective!$B$24)))</f>
        <v/>
      </c>
      <c r="AZ43" s="6">
        <f>IF($A43="","",AND(AX43,AY43,AW43&gt;=Objective!$B$22))</f>
        <v/>
      </c>
      <c r="BA43" s="6">
        <f>IF($A43="","",IF(OR(LOWER($C43)="generated",LOWER($C43)="evaluated",LOWER($C43)="discarded"),TRUE,IF(OR(LOWER($C43)="proposed",LOWER($C43)="promoted"),AZ43,FALSE)))</f>
        <v/>
      </c>
      <c r="BB43" s="6">
        <f>IF($A43="","",IF(AZ43,"proposed (eligible - present to human)","discarded (keep the record and the reason)"))</f>
        <v/>
      </c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8" t="n"/>
      <c r="Z44" s="8" t="n"/>
      <c r="AA44" s="8" t="n"/>
      <c r="AB44" s="8" t="n"/>
      <c r="AC44" s="8" t="n"/>
      <c r="AD44" s="8" t="n"/>
      <c r="AE44" s="13">
        <f>IF(OR($A44="",Objective!$A$5=""),"",IF(I44=0,IF(Q44=0,0,IF(Objective!$C$5="lower",-1,1)),IF(Objective!$C$5="lower",(I44-Q44)/ABS(I44),(Q44-I44)/ABS(I44))))</f>
        <v/>
      </c>
      <c r="AF44" s="13">
        <f>IF(OR($A44="",Objective!$A$6=""),"",IF(J44=0,IF(R44=0,0,IF(Objective!$C$6="lower",-1,1)),IF(Objective!$C$6="lower",(J44-R44)/ABS(J44),(R44-J44)/ABS(J44))))</f>
        <v/>
      </c>
      <c r="AG44" s="13">
        <f>IF(OR($A44="",Objective!$A$7=""),"",IF(K44=0,IF(S44=0,0,IF(Objective!$C$7="lower",-1,1)),IF(Objective!$C$7="lower",(K44-S44)/ABS(K44),(S44-K44)/ABS(K44))))</f>
        <v/>
      </c>
      <c r="AH44" s="13">
        <f>IF(OR($A44="",Objective!$A$8=""),"",IF(L44=0,IF(T44=0,0,IF(Objective!$C$8="lower",-1,1)),IF(Objective!$C$8="lower",(L44-T44)/ABS(L44),(T44-L44)/ABS(L44))))</f>
        <v/>
      </c>
      <c r="AI44" s="13">
        <f>IF(OR($A44="",Objective!$A$9=""),"",IF(M44=0,IF(U44=0,0,IF(Objective!$C$9="lower",-1,1)),IF(Objective!$C$9="lower",(M44-U44)/ABS(M44),(U44-M44)/ABS(M44))))</f>
        <v/>
      </c>
      <c r="AJ44" s="13">
        <f>IF(OR($A44="",Objective!$A$10=""),"",IF(N44=0,IF(V44=0,0,IF(Objective!$C$10="lower",-1,1)),IF(Objective!$C$10="lower",(N44-V44)/ABS(N44),(V44-N44)/ABS(N44))))</f>
        <v/>
      </c>
      <c r="AK44" s="13">
        <f>IF(OR($A44="",Objective!$A$11=""),"",IF(O44=0,IF(W44=0,0,IF(Objective!$C$11="lower",-1,1)),IF(Objective!$C$11="lower",(O44-W44)/ABS(O44),(W44-O44)/ABS(O44))))</f>
        <v/>
      </c>
      <c r="AL44" s="13">
        <f>IF(OR($A44="",Objective!$A$12=""),"",IF(P44=0,IF(X44=0,0,IF(Objective!$C$12="lower",-1,1)),IF(Objective!$C$12="lower",(P44-X44)/ABS(P44),(X44-P44)/ABS(P44))))</f>
        <v/>
      </c>
      <c r="AM44" s="13">
        <f>IF(AE44="","",MAX(-1,MIN(1,AE44)))</f>
        <v/>
      </c>
      <c r="AN44" s="13">
        <f>IF(AF44="","",MAX(-1,MIN(1,AF44)))</f>
        <v/>
      </c>
      <c r="AO44" s="13">
        <f>IF(AG44="","",MAX(-1,MIN(1,AG44)))</f>
        <v/>
      </c>
      <c r="AP44" s="13">
        <f>IF(AH44="","",MAX(-1,MIN(1,AH44)))</f>
        <v/>
      </c>
      <c r="AQ44" s="13">
        <f>IF(AI44="","",MAX(-1,MIN(1,AI44)))</f>
        <v/>
      </c>
      <c r="AR44" s="13">
        <f>IF(AJ44="","",MAX(-1,MIN(1,AJ44)))</f>
        <v/>
      </c>
      <c r="AS44" s="13">
        <f>IF(AK44="","",MAX(-1,MIN(1,AK44)))</f>
        <v/>
      </c>
      <c r="AT44" s="13">
        <f>IF(AL44="","",MAX(-1,MIN(1,AL44)))</f>
        <v/>
      </c>
      <c r="AU44" s="13">
        <f>IF($A44="","",IF(AM44="",0,Objective!$B$5/Objective!$B$25*AM44)+IF(AN44="",0,Objective!$B$6/Objective!$B$25*AN44)+IF(AO44="",0,Objective!$B$7/Objective!$B$25*AO44)+IF(AP44="",0,Objective!$B$8/Objective!$B$25*AP44)+IF(AQ44="",0,Objective!$B$9/Objective!$B$25*AQ44)+IF(AR44="",0,Objective!$B$10/Objective!$B$25*AR44)+IF(AS44="",0,Objective!$B$11/Objective!$B$25*AS44)+IF(AT44="",0,Objective!$B$12/Objective!$B$25*AT44))</f>
        <v/>
      </c>
      <c r="AV44" s="13">
        <f>IF($A44="","",Objective!$B$23*MAX(0,N($H44)-N($G44)))</f>
        <v/>
      </c>
      <c r="AW44" s="13">
        <f>IF($A44="","",AU44-AV44)</f>
        <v/>
      </c>
      <c r="AX44" s="6">
        <f>IF($A44="","",AND(OR(Objective!$A$15="",LOWER(Y44)="pass"),OR(Objective!$A$16="",LOWER(Z44)="pass"),OR(Objective!$A$17="",LOWER(AA44)="pass"),OR(Objective!$A$18="",LOWER(AB44)="pass"),OR(Objective!$A$19="",LOWER(AC44)="pass"),OR(Objective!$A$20="",LOWER(AD44)="pass")))</f>
        <v/>
      </c>
      <c r="AY44" s="6">
        <f>IF($A44="","",AND(OR(AE44="",Objective!$B$24="",AE44&gt;=-Objective!$B$24),OR(AF44="",Objective!$B$24="",AF44&gt;=-Objective!$B$24),OR(AG44="",Objective!$B$24="",AG44&gt;=-Objective!$B$24),OR(AH44="",Objective!$B$24="",AH44&gt;=-Objective!$B$24),OR(AI44="",Objective!$B$24="",AI44&gt;=-Objective!$B$24),OR(AJ44="",Objective!$B$24="",AJ44&gt;=-Objective!$B$24),OR(AK44="",Objective!$B$24="",AK44&gt;=-Objective!$B$24),OR(AL44="",Objective!$B$24="",AL44&gt;=-Objective!$B$24)))</f>
        <v/>
      </c>
      <c r="AZ44" s="6">
        <f>IF($A44="","",AND(AX44,AY44,AW44&gt;=Objective!$B$22))</f>
        <v/>
      </c>
      <c r="BA44" s="6">
        <f>IF($A44="","",IF(OR(LOWER($C44)="generated",LOWER($C44)="evaluated",LOWER($C44)="discarded"),TRUE,IF(OR(LOWER($C44)="proposed",LOWER($C44)="promoted"),AZ44,FALSE)))</f>
        <v/>
      </c>
      <c r="BB44" s="6">
        <f>IF($A44="","",IF(AZ44,"proposed (eligible - present to human)","discarded (keep the record and the reason)"))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</cols>
  <sheetData>
    <row r="1">
      <c r="A1" s="1" t="inlineStr">
        <is>
          <t>Promotion gate (promote_challenger) - the ONLY step that needs human approval</t>
        </is>
      </c>
    </row>
    <row r="2"/>
    <row r="3"/>
    <row r="4">
      <c r="A4" t="inlineStr">
        <is>
          <t>epoch row number on Epochs sheet (5..44)</t>
        </is>
      </c>
      <c r="B4" s="8" t="n"/>
    </row>
    <row r="5">
      <c r="A5" t="inlineStr">
        <is>
          <t>registry challenger model_id</t>
        </is>
      </c>
      <c r="B5" s="8" t="n"/>
    </row>
    <row r="6">
      <c r="A6" t="inlineStr">
        <is>
          <t>registry challenger source_epoch</t>
        </is>
      </c>
      <c r="B6" s="8" t="n"/>
    </row>
    <row r="7">
      <c r="A7" t="inlineStr">
        <is>
          <t>current champion model_id (blank if none)</t>
        </is>
      </c>
      <c r="B7" s="8" t="n"/>
    </row>
    <row r="8">
      <c r="A8" t="inlineStr">
        <is>
          <t>approved_by (human name)</t>
        </is>
      </c>
      <c r="B8" s="8" t="n"/>
    </row>
    <row r="9">
      <c r="A9" t="inlineStr">
        <is>
          <t>approved_at (YYYY-MM-DD)</t>
        </is>
      </c>
      <c r="B9" s="8" t="n"/>
    </row>
    <row r="10"/>
    <row r="11">
      <c r="A11" t="inlineStr">
        <is>
          <t>epoch status is proposed</t>
        </is>
      </c>
      <c r="B11" s="6">
        <f>IF(B4="",FALSE,LOWER(INDEX(Epochs!C1:C44,B4))="proposed")</f>
        <v/>
      </c>
    </row>
    <row r="12">
      <c r="A12" t="inlineStr">
        <is>
          <t>recomputed promotion_eligible</t>
        </is>
      </c>
      <c r="B12" s="6">
        <f>IF(B4="",FALSE,INDEX(Epochs!AZ1:AZ44,B4)=TRUE)</f>
        <v/>
      </c>
    </row>
    <row r="13">
      <c r="A13" t="inlineStr">
        <is>
          <t>epoch challenger_id = registry challenger</t>
        </is>
      </c>
      <c r="B13" s="6">
        <f>IF(B4="",FALSE,INDEX(Epochs!F1:F44,B4)=B5)</f>
        <v/>
      </c>
    </row>
    <row r="14">
      <c r="A14" t="inlineStr">
        <is>
          <t>challenger source_epoch = epoch_id</t>
        </is>
      </c>
      <c r="B14" s="6">
        <f>IF(B4="",FALSE,INDEX(Epochs!A1:A44,B4)=B6)</f>
        <v/>
      </c>
    </row>
    <row r="15">
      <c r="A15" t="inlineStr">
        <is>
          <t>approved_by present</t>
        </is>
      </c>
      <c r="B15" s="6">
        <f>TRIM(B8&amp;"")&lt;&gt;""</f>
        <v/>
      </c>
    </row>
    <row r="16"/>
    <row r="17">
      <c r="A17" s="4" t="inlineStr">
        <is>
          <t>PROMOTE?</t>
        </is>
      </c>
      <c r="B17" s="5">
        <f>IF(AND(B11,B12,B13,B14,B15),"PROMOTE","DO NOT PROMOTE")</f>
        <v/>
      </c>
    </row>
    <row r="18"/>
    <row r="19">
      <c r="A19" s="4" t="inlineStr">
        <is>
          <t>registry edits on PROMOTE (memory/models/model-versions.csv and promotions.csv):</t>
        </is>
      </c>
    </row>
    <row r="20">
      <c r="A20" s="6">
        <f>IF(B17&lt;&gt;"PROMOTE","","1. set role of "&amp;B5&amp;" to champion")</f>
        <v/>
      </c>
    </row>
    <row r="21">
      <c r="A21" s="6">
        <f>IF(OR(B17&lt;&gt;"PROMOTE",B7=""),"","2. set role of "&amp;B7&amp;" to retired")</f>
        <v/>
      </c>
    </row>
    <row r="22">
      <c r="A22" s="6">
        <f>IF(B17&lt;&gt;"PROMOTE","","3. append promotions row: from_model="&amp;B7&amp;", to_model="&amp;B5&amp;", epoch_id="&amp;B6&amp;", approved_by="&amp;B8&amp;", approved_at="&amp;B9)</f>
        <v/>
      </c>
    </row>
    <row r="23">
      <c r="A23" s="6">
        <f>IF(B17&lt;&gt;"PROMOTE","","4. set epoch "&amp;B6&amp;" status to promoted (explicit overwrite)")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2026-10-18T16:53:06Z</dcterms:created>
  <dcterms:modified xmlns:dcterms="http://purl.org/dc/terms/" xmlns:xsi="http://www.w3.org/2001/XMLSchema-instance" xsi:type="dcterms:W3CDTF">2026-10-18T16:53:06Z</dcterms:modified>
</cp:coreProperties>
</file>