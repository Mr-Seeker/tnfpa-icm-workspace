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C</t>
        </is>
      </c>
    </row>
    <row r="26">
      <c r="A26" s="2" t="inlineStr">
        <is>
          <t>FY2026 segment-level forecast (growth and margin per segment, blended COGS, D&amp;A, capex, 22% normalised tax, term loan at 8% amortising $25M/yr). FY2027 opens from FY2026 modelled closing balances.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IF(COUNTIF(C5:C38,"PASS")=COUNT(A5:A38),"PASS","FAIL")</f>
        <v/>
      </c>
      <c r="D3" s="6">
        <f>COUNTIF(C5:C38,"PASS")&amp;" pass / "&amp;COUNTIF(C5:C38,"FAIL")&amp;" fail / "&amp;(COUNT(A5:A38)-COUNTIF(C5:C38,"PASS")-COUNTIF(C5:C38,"FAIL"))&amp;"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net sales ($M, published forecast-briefing.md, ±0.05M rounding) = 1,520,500,000.00 (tolerance 50,000.0)</t>
        </is>
      </c>
      <c r="C33" s="6">
        <f>IF(ABS((Summary!B5)-(1520500000.0))&lt;=50000.0,"PASS","FAIL")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 profit ($M) = 459,400,000.00 (tolerance 50,000.0)</t>
        </is>
      </c>
      <c r="C34" s="6">
        <f>IF(ABS((Summary!B7)-(459400000.0))&lt;=50000.0,"PASS","FAIL")</f>
        <v/>
      </c>
      <c r="D34" s="6">
        <f>ROUND(Summary!B7,2)</f>
        <v/>
      </c>
    </row>
    <row r="35">
      <c r="A35" t="n">
        <v>31</v>
      </c>
      <c r="B35" t="inlineStr">
        <is>
          <t>GOLDEN parity: Adjusted EBITDA ($M) = 236,700,000.00 (tolerance 50,000.0)</t>
        </is>
      </c>
      <c r="C35" s="6">
        <f>IF(ABS((Summary!B9)-(236700000.0))&lt;=50000.0,"PASS","FAIL")</f>
        <v/>
      </c>
      <c r="D35" s="6">
        <f>ROUND(Summary!B9,2)</f>
        <v/>
      </c>
    </row>
    <row r="36">
      <c r="A36" t="n">
        <v>32</v>
      </c>
      <c r="B36" t="inlineStr">
        <is>
          <t>GOLDEN parity: net income ($M) = 84,100,000.00 (tolerance 50,000.0)</t>
        </is>
      </c>
      <c r="C36" s="6">
        <f>IF(ABS((Summary!B14)-(84100000.0))&lt;=50000.0,"PASS","FAIL")</f>
        <v/>
      </c>
      <c r="D36" s="6">
        <f>ROUND(Summary!B14,2)</f>
        <v/>
      </c>
    </row>
    <row r="37">
      <c r="A37" t="n">
        <v>33</v>
      </c>
      <c r="B37" t="inlineStr">
        <is>
          <t>GOLDEN parity: operating cash flow ($M) = 156,200,000.00 (tolerance 50,000.0)</t>
        </is>
      </c>
      <c r="C37" s="6">
        <f>IF(ABS((Summary!B16)-(156200000.0))&lt;=50000.0,"PASS","FAIL")</f>
        <v/>
      </c>
      <c r="D37" s="6">
        <f>ROUND(Summary!B16,2)</f>
        <v/>
      </c>
    </row>
    <row r="38">
      <c r="A38" t="n">
        <v>34</v>
      </c>
      <c r="B38" t="inlineStr">
        <is>
          <t>GOLDEN parity: free cash flow ($M) = 114,200,000.00 (tolerance 50,000.0)</t>
        </is>
      </c>
      <c r="C38" s="6">
        <f>IF(ABS((Summary!B19)-(114200000.0))&lt;=50000.0,"PASS","FAIL")</f>
        <v/>
      </c>
      <c r="D38" s="6">
        <f>ROUND(Summary!B19,2)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FY2026 (forecast)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46023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0.22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7333333.333333333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3500000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46.77994794595048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49.69961155150897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136.6196192853251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58008000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190670000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141378000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388635000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507668720</v>
      </c>
      <c r="D26" s="15" t="n">
        <v>0</v>
      </c>
      <c r="E26" s="15" t="n">
        <v>0.6979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493513650</v>
      </c>
      <c r="D27" s="15" t="n">
        <v>0</v>
      </c>
      <c r="E27" s="15" t="n">
        <v>0.6979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519348300</v>
      </c>
      <c r="D28" s="15" t="n">
        <v>0</v>
      </c>
      <c r="E28" s="15" t="n">
        <v>0.6979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18550252.71308334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523538000</v>
      </c>
      <c r="E53" s="12" t="n">
        <v>0.08</v>
      </c>
      <c r="F53" s="13" t="n">
        <v>2083333.333333333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2026-10-18T16:53:06Z</dcterms:created>
  <dcterms:modified xmlns:dcterms="http://purl.org/dc/terms/" xmlns:xsi="http://www.w3.org/2001/XMLSchema-instance" xsi:type="dcterms:W3CDTF">2026-10-18T16:53:07Z</dcterms:modified>
</cp:coreProperties>
</file>