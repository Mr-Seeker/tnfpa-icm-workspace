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hecks" sheetId="2" state="visible" r:id="rId2"/>
    <sheet xmlns:r="http://schemas.openxmlformats.org/officeDocument/2006/relationships" name="Candidates" sheetId="3" state="visible" r:id="rId3"/>
    <sheet xmlns:r="http://schemas.openxmlformats.org/officeDocument/2006/relationships" name="Actua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-#,##0"/>
    <numFmt numFmtId="165" formatCode="0.000000"/>
  </numFmts>
  <fonts count="5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FFFFFF"/>
    </font>
    <font>
      <color rgb="001F4E9E"/>
    </font>
    <font>
      <b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4" fillId="0" borderId="1" pivotButton="0" quotePrefix="0" xfId="0"/>
    <xf numFmtId="0" fontId="2" fillId="2" borderId="1" applyAlignment="1" pivotButton="0" quotePrefix="0" xfId="0">
      <alignment vertical="center" wrapText="1"/>
    </xf>
    <xf numFmtId="0" fontId="0" fillId="0" borderId="1" pivotButton="0" quotePrefix="0" xfId="0"/>
    <xf numFmtId="0" fontId="3" fillId="3" borderId="1" pivotButton="0" quotePrefix="0" xfId="0"/>
    <xf numFmtId="164" fontId="3" fillId="3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Fox Factory Phase B — holdout metrics (no-code)</t>
        </is>
      </c>
    </row>
    <row r="2"/>
    <row r="3">
      <c r="A3" s="2" t="inlineStr">
        <is>
          <t>Paste each candidate's FY2025 predictions from its K01 copy (Summary: revenue B5, gross_profit B7; month-12 AR/AP/inventory from Summary stock rows; Adjusted EBITDA = segment roll-up).</t>
        </is>
      </c>
    </row>
    <row r="4">
      <c r="A4" s="2" t="inlineStr">
        <is>
          <t>Actual FY2025 values come from data/raw/*.csv. Errors are |predicted/actual - 1|; working-capital error is the mean of the three balance errors (openfpa holdout_metrics).</t>
        </is>
      </c>
    </row>
    <row r="5">
      <c r="A5" s="2" t="inlineStr">
        <is>
          <t>Copy the four metrics per candidate into phaseB_K05_epochs.xlsx (champion = flat FY2024).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5" customWidth="1" min="1" max="1"/>
    <col width="90" customWidth="1" min="2" max="2"/>
    <col width="10" customWidth="1" min="3" max="3"/>
  </cols>
  <sheetData>
    <row r="1">
      <c r="A1" s="1" t="inlineStr">
        <is>
          <t>Checks - OVERALL must be PASS before this domain feeds the kernel</t>
        </is>
      </c>
    </row>
    <row r="2"/>
    <row r="3">
      <c r="B3" s="3" t="inlineStr">
        <is>
          <t>OVERALL</t>
        </is>
      </c>
      <c r="C3" s="4">
        <f>IF(COUNTIF(C5:C6,"PASS")=COUNT(A5:A6),"PASS","FAIL")</f>
        <v/>
      </c>
    </row>
    <row r="4">
      <c r="A4" s="5" t="inlineStr">
        <is>
          <t>#</t>
        </is>
      </c>
      <c r="B4" s="5" t="inlineStr">
        <is>
          <t>check</t>
        </is>
      </c>
      <c r="C4" s="5" t="inlineStr">
        <is>
          <t>result</t>
        </is>
      </c>
    </row>
    <row r="5">
      <c r="A5" t="n">
        <v>1</v>
      </c>
      <c r="B5" t="inlineStr">
        <is>
          <t>champion revenue error reproduces openfpa epoch (0.050023)</t>
        </is>
      </c>
      <c r="C5" s="6">
        <f>IF(ABS(Candidates!H5-0.0500231374)&lt;1E-6,"PASS","FAIL")</f>
        <v/>
      </c>
    </row>
    <row r="6">
      <c r="A6" t="n">
        <v>2</v>
      </c>
      <c r="B6" t="inlineStr">
        <is>
          <t>challenger 2 Adjusted-EBITDA error reproduces openfpa epoch (0.001396)</t>
        </is>
      </c>
      <c r="C6" s="6">
        <f>IF(ABS(Candidates!J7-0.0013964803)&lt;1E-6,"PASS","FAIL")</f>
        <v/>
      </c>
    </row>
  </sheetData>
  <conditionalFormatting sqref="C3:C6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0">
      <formula>TRUE</formula>
    </cfRule>
    <cfRule type="cellIs" priority="4" operator="equal" dxfId="1">
      <formula>FALSE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16" customWidth="1" min="3" max="3"/>
    <col width="30" customWidth="1" min="4" max="4"/>
    <col width="15" customWidth="1" min="5" max="5"/>
    <col width="15" customWidth="1" min="6" max="6"/>
    <col width="22" customWidth="1" min="7" max="7"/>
    <col width="17" customWidth="1" min="8" max="8"/>
    <col width="22" customWidth="1" min="9" max="9"/>
    <col width="25" customWidth="1" min="10" max="10"/>
    <col width="33" customWidth="1" min="11" max="11"/>
  </cols>
  <sheetData>
    <row r="1">
      <c r="A1" s="1" t="inlineStr">
        <is>
          <t>Candidate predictions (FY2025)</t>
        </is>
      </c>
    </row>
    <row r="2"/>
    <row r="3"/>
    <row r="4">
      <c r="A4" s="5" t="inlineStr">
        <is>
          <t>candidate</t>
        </is>
      </c>
      <c r="B4" s="5" t="inlineStr">
        <is>
          <t>revenue</t>
        </is>
      </c>
      <c r="C4" s="5" t="inlineStr">
        <is>
          <t>gross_profit</t>
        </is>
      </c>
      <c r="D4" s="5" t="inlineStr">
        <is>
          <t>adjusted_ebitda (segments)</t>
        </is>
      </c>
      <c r="E4" s="5" t="inlineStr">
        <is>
          <t>AR month 12</t>
        </is>
      </c>
      <c r="F4" s="5" t="inlineStr">
        <is>
          <t>AP month 12</t>
        </is>
      </c>
      <c r="G4" s="5" t="inlineStr">
        <is>
          <t>inventory month 12</t>
        </is>
      </c>
      <c r="H4" s="5" t="inlineStr">
        <is>
          <t>revenue_error</t>
        </is>
      </c>
      <c r="I4" s="5" t="inlineStr">
        <is>
          <t>gross_profit_error</t>
        </is>
      </c>
      <c r="J4" s="5" t="inlineStr">
        <is>
          <t>adjusted_ebitda_error</t>
        </is>
      </c>
      <c r="K4" s="5" t="inlineStr">
        <is>
          <t>working_capital_balance_error</t>
        </is>
      </c>
    </row>
    <row r="5">
      <c r="A5" s="7" t="inlineStr">
        <is>
          <t>champion-flat-fy2024</t>
        </is>
      </c>
      <c r="B5" s="8" t="n">
        <v>1393921000</v>
      </c>
      <c r="C5" s="8" t="n">
        <v>423576000</v>
      </c>
      <c r="D5" s="8" t="n">
        <v>223375000</v>
      </c>
      <c r="E5" s="8" t="n">
        <v>165827000</v>
      </c>
      <c r="F5" s="8" t="n">
        <v>135802000</v>
      </c>
      <c r="G5" s="8" t="n">
        <v>404736000</v>
      </c>
      <c r="H5" s="9">
        <f>IF(A5="","",ABS(B5/Actuals!$B$4-1))</f>
        <v/>
      </c>
      <c r="I5" s="9">
        <f>IF(A5="","",ABS(C5/Actuals!$B$5-1))</f>
        <v/>
      </c>
      <c r="J5" s="9">
        <f>IF(A5="","",ABS(D5/Actuals!$B$6-1))</f>
        <v/>
      </c>
      <c r="K5" s="9">
        <f>IF(A5="","",(ABS(E5/Actuals!$B$7-1)+ABS(F5/Actuals!$B$8-1)+ABS(G5/Actuals!$B$9-1))/3)</f>
        <v/>
      </c>
    </row>
    <row r="6">
      <c r="A6" s="7" t="inlineStr">
        <is>
          <t>ch1-broad-mean-reversion</t>
        </is>
      </c>
      <c r="B6" s="8" t="n">
        <v>1429049500</v>
      </c>
      <c r="C6" s="8" t="n">
        <v>443955439.040517</v>
      </c>
      <c r="D6" s="8" t="n">
        <v>271722838.3055454</v>
      </c>
      <c r="E6" s="8" t="n">
        <v>170006041.5450374</v>
      </c>
      <c r="F6" s="8" t="n">
        <v>137866164.7830614</v>
      </c>
      <c r="G6" s="8" t="n">
        <v>410887910.8528382</v>
      </c>
      <c r="H6" s="9">
        <f>IF(A6="","",ABS(B6/Actuals!$B$4-1))</f>
        <v/>
      </c>
      <c r="I6" s="9">
        <f>IF(A6="","",ABS(C6/Actuals!$B$5-1))</f>
        <v/>
      </c>
      <c r="J6" s="9">
        <f>IF(A6="","",ABS(D6/Actuals!$B$6-1))</f>
        <v/>
      </c>
      <c r="K6" s="9">
        <f>IF(A6="","",(ABS(E6/Actuals!$B$7-1)+ABS(F6/Actuals!$B$8-1)+ABS(G6/Actuals!$B$9-1))/3)</f>
        <v/>
      </c>
    </row>
    <row r="7">
      <c r="A7" s="7" t="inlineStr">
        <is>
          <t>ch2-slow-margin-recovery</t>
        </is>
      </c>
      <c r="B7" s="8" t="n">
        <v>1429049500</v>
      </c>
      <c r="C7" s="8" t="n">
        <v>443955439.040517</v>
      </c>
      <c r="D7" s="8" t="n">
        <v>226009177.2291538</v>
      </c>
      <c r="E7" s="8" t="n">
        <v>170006041.5450374</v>
      </c>
      <c r="F7" s="8" t="n">
        <v>137866164.7830614</v>
      </c>
      <c r="G7" s="8" t="n">
        <v>410887910.8528382</v>
      </c>
      <c r="H7" s="9">
        <f>IF(A7="","",ABS(B7/Actuals!$B$4-1))</f>
        <v/>
      </c>
      <c r="I7" s="9">
        <f>IF(A7="","",ABS(C7/Actuals!$B$5-1))</f>
        <v/>
      </c>
      <c r="J7" s="9">
        <f>IF(A7="","",ABS(D7/Actuals!$B$6-1))</f>
        <v/>
      </c>
      <c r="K7" s="9">
        <f>IF(A7="","",(ABS(E7/Actuals!$B$7-1)+ABS(F7/Actuals!$B$8-1)+ABS(G7/Actuals!$B$9-1))/3)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60" customWidth="1" min="1" max="1"/>
    <col width="22" customWidth="1" min="2" max="2"/>
  </cols>
  <sheetData>
    <row r="1">
      <c r="A1" s="1" t="inlineStr">
        <is>
          <t>FY2025 reported actuals (held out)</t>
        </is>
      </c>
    </row>
    <row r="2"/>
    <row r="3"/>
    <row r="4">
      <c r="A4" t="inlineStr">
        <is>
          <t>net_sales FY2025</t>
        </is>
      </c>
      <c r="B4" s="8" t="n">
        <v>1467321000</v>
      </c>
    </row>
    <row r="5">
      <c r="A5" t="inlineStr">
        <is>
          <t>gross_profit FY2025</t>
        </is>
      </c>
      <c r="B5" s="8" t="n">
        <v>443247000</v>
      </c>
    </row>
    <row r="6">
      <c r="A6" t="inlineStr">
        <is>
          <t>total segment Adjusted EBITDA FY2025</t>
        </is>
      </c>
      <c r="B6" s="8" t="n">
        <v>225694000</v>
      </c>
    </row>
    <row r="7">
      <c r="A7" t="inlineStr">
        <is>
          <t>accounts_receivable FY2025</t>
        </is>
      </c>
      <c r="B7" s="8" t="n">
        <v>190670000</v>
      </c>
    </row>
    <row r="8">
      <c r="A8" t="inlineStr">
        <is>
          <t>accounts_payable FY2025</t>
        </is>
      </c>
      <c r="B8" s="8" t="n">
        <v>141378000</v>
      </c>
    </row>
    <row r="9">
      <c r="A9" t="inlineStr">
        <is>
          <t>inventory FY2025</t>
        </is>
      </c>
      <c r="B9" s="8" t="n">
        <v>388635000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2026-10-18T16:53:06Z</dcterms:created>
  <dcterms:modified xmlns:dcterms="http://purl.org/dc/terms/" xmlns:xsi="http://www.w3.org/2001/XMLSchema-instance" xsi:type="dcterms:W3CDTF">2026-10-18T16:53:06Z</dcterms:modified>
</cp:coreProperties>
</file>