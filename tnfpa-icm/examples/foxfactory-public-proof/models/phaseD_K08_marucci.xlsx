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S0" sheetId="5" state="visible" r:id="rId5"/>
    <sheet xmlns:r="http://schemas.openxmlformats.org/officeDocument/2006/relationships" name="S1" sheetId="6" state="visible" r:id="rId6"/>
    <sheet xmlns:r="http://schemas.openxmlformats.org/officeDocument/2006/relationships" name="S2" sheetId="7" state="visible" r:id="rId7"/>
    <sheet xmlns:r="http://schemas.openxmlformats.org/officeDocument/2006/relationships" name="S3" sheetId="8" state="visible" r:id="rId8"/>
    <sheet xmlns:r="http://schemas.openxmlformats.org/officeDocument/2006/relationships" name="S4" sheetId="9" state="visible" r:id="rId9"/>
    <sheet xmlns:r="http://schemas.openxmlformats.org/officeDocument/2006/relationships" name="S5" sheetId="10" state="visible" r:id="rId10"/>
    <sheet xmlns:r="http://schemas.openxmlformats.org/officeDocument/2006/relationships" name="S6" sheetId="11" state="visible" r:id="rId11"/>
    <sheet xmlns:r="http://schemas.openxmlformats.org/officeDocument/2006/relationships" name="S7" sheetId="12" state="visible" r:id="rId12"/>
    <sheet xmlns:r="http://schemas.openxmlformats.org/officeDocument/2006/relationships" name="S8" sheetId="13" state="visible" r:id="rId13"/>
    <sheet xmlns:r="http://schemas.openxmlformats.org/officeDocument/2006/relationships" name="S9" sheetId="14" state="visible" r:id="rId14"/>
    <sheet xmlns:r="http://schemas.openxmlformats.org/officeDocument/2006/relationships" name="S10" sheetId="15" state="visible" r:id="rId15"/>
    <sheet xmlns:r="http://schemas.openxmlformats.org/officeDocument/2006/relationships" name="Grid" sheetId="16" state="visible" r:id="rId16"/>
  </sheets>
  <definedNames>
    <definedName name="cv_rev">'Setup'!$B$4</definedName>
    <definedName name="cv_gp">'Setup'!$B$5</definedName>
    <definedName name="cv_opex">'Setup'!$B$6</definedName>
    <definedName name="cv_da">'Setup'!$B$7</definedName>
    <definedName name="cv_capex">'Setup'!$B$8</definedName>
    <definedName name="dv_rate">'Setup'!$B$9</definedName>
    <definedName name="dv_tax">'Setup'!$B$10</definedName>
    <definedName name="dv_debt">'Setup'!$B$11</definedName>
    <definedName name="dv_cash">'Setup'!$B$12</definedName>
    <definedName name="dv_n">'Setup'!$B$13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center" wrapText="1"/>
    </xf>
    <xf numFmtId="164" fontId="2" fillId="2" borderId="1" pivotButton="0" quotePrefix="0" xfId="0"/>
    <xf numFmtId="10" fontId="2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2" fillId="2" borderId="1" pivotButton="0" quotePrefix="0" xfId="0"/>
    <xf numFmtId="1" fontId="2" fillId="2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K08 · Divestiture / Carve-out &amp; Leverage Sensitivity (no-code kernel)</t>
        </is>
      </c>
    </row>
    <row r="2"/>
    <row r="3">
      <c r="A3" s="2" t="inlineStr">
        <is>
          <t>Replaces openfpa: pyfpa.analysis.divestiture (Carveout, divest, net_debt_to_ebitda) and the Fox Factory Marucci sensitivity grid.</t>
        </is>
      </c>
    </row>
    <row r="4">
      <c r="A4" s="2" t="inlineStr">
        <is>
          <t>1. Paste K01 'Export_Rows' VALUES (not formulas) into 'Forecast' (one row per month).</t>
        </is>
      </c>
    </row>
    <row r="5">
      <c r="A5" s="2" t="inlineStr">
        <is>
          <t>2. Enter the unit's MONTHLY contribution on 'Setup' (revenue, gross profit, opex, D&amp;A, capex - positive numbers), interest rate on retired debt, tax rate, debt balance and cash for leverage.</t>
        </is>
      </c>
    </row>
    <row r="6">
      <c r="A6" s="2" t="inlineStr">
        <is>
          <t>3. Define up to 10 scenarios (label, sale_month = months RETAINED before the sale closes, proceeds). Slot 0 is always 'Hold'.</t>
        </is>
      </c>
    </row>
    <row r="7">
      <c r="A7" s="2" t="inlineStr">
        <is>
          <t>Rules: from month sale_month+1 onward the carve-out is removed; interest falls by proceeds x rate / 12; tax = max(0, pre-tax) x tax rate (no loss carryforward); WC impact and principal held constant; one-time proceeds are EXCLUDED from FCF; ending cash is rebuilt from cumulative change in cash. The input forecast is never altered.</t>
        </is>
      </c>
    </row>
    <row r="8">
      <c r="A8" s="2" t="inlineStr">
        <is>
          <t>Leverage = (debt - proceeds - cash) / EBITDA of the FINAL 12 months (run-rate). Negative = 'net cash'. Zero EBITDA = 'inf'.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IF(COUNTIF(C5:C8,"PASS")=COUNT(A5:A8),"PASS","FAIL")</f>
        <v/>
      </c>
      <c r="D3" s="5">
        <f>COUNTIF(C5:C8,"PASS")&amp;" pass / "&amp;COUNTIF(C5:C8,"FAIL")&amp;" fail / "&amp;(COUNT(A5:A8)-COUNTIF(C5:C8,"PASS")-COUNTIF(C5:C8,"FAIL"))&amp;"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forecast rows supplied</t>
        </is>
      </c>
      <c r="C5" s="5">
        <f>IF(Setup!$B$13&gt;0,"PASS","FAIL")</f>
        <v/>
      </c>
      <c r="D5" s="5">
        <f>Setup!$B$13</f>
        <v/>
      </c>
    </row>
    <row r="6">
      <c r="A6" t="n">
        <v>2</v>
      </c>
      <c r="B6" t="inlineStr">
        <is>
          <t>carve-out inputs &gt;= 0</t>
        </is>
      </c>
      <c r="C6" s="5">
        <f>IF(AND(Setup!$B$4&gt;=0,Setup!$B$5&gt;=0,Setup!$B$6&gt;=0,Setup!$B$7&gt;=0,Setup!$B$8&gt;=0),"PASS","FAIL")</f>
        <v/>
      </c>
    </row>
    <row r="7">
      <c r="A7" t="n">
        <v>3</v>
      </c>
      <c r="B7" t="inlineStr">
        <is>
          <t>Hold scenario reproduces input FCF</t>
        </is>
      </c>
      <c r="C7" s="5">
        <f>IF(ABS(Grid!E5-SUM(Forecast!O5:O124))&lt;0.005,"PASS","FAIL")</f>
        <v/>
      </c>
    </row>
    <row r="8">
      <c r="A8" t="n">
        <v>4</v>
      </c>
      <c r="B8" t="inlineStr">
        <is>
          <t>every scenario's sale_month is a whole number &gt;= 0</t>
        </is>
      </c>
      <c r="C8" s="5">
        <f>IF(SUMPRODUCT((Setup!B18:B27&lt;&gt;"")*((Setup!C18:C27&lt;0)+(INT(N(Setup!C18:C27))&lt;&gt;N(Setup!C18:C27))))=0,"PASS","FAIL")</f>
        <v/>
      </c>
    </row>
  </sheetData>
  <conditionalFormatting sqref="C3:C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8" customWidth="1" min="4" max="4"/>
  </cols>
  <sheetData>
    <row r="1">
      <c r="A1" s="1" t="inlineStr">
        <is>
          <t>Setup</t>
        </is>
      </c>
    </row>
    <row r="2"/>
    <row r="3"/>
    <row r="4">
      <c r="A4" t="inlineStr">
        <is>
          <t>carve-out monthly revenue</t>
        </is>
      </c>
      <c r="B4" s="7" t="n">
        <v>25000000</v>
      </c>
    </row>
    <row r="5">
      <c r="A5" t="inlineStr">
        <is>
          <t>carve-out monthly gross_profit</t>
        </is>
      </c>
      <c r="B5" s="7" t="n">
        <v>12500000</v>
      </c>
    </row>
    <row r="6">
      <c r="A6" t="inlineStr">
        <is>
          <t>carve-out monthly opex</t>
        </is>
      </c>
      <c r="B6" s="7" t="n">
        <v>6250000</v>
      </c>
    </row>
    <row r="7">
      <c r="A7" t="inlineStr">
        <is>
          <t>carve-out monthly D&amp;A</t>
        </is>
      </c>
      <c r="B7" s="7" t="n">
        <v>1833333.333333333</v>
      </c>
    </row>
    <row r="8">
      <c r="A8" t="inlineStr">
        <is>
          <t>carve-out monthly capex</t>
        </is>
      </c>
      <c r="B8" s="7" t="n">
        <v>416666.6666666667</v>
      </c>
    </row>
    <row r="9">
      <c r="A9" t="inlineStr">
        <is>
          <t>annual rate on debt retired by proceeds</t>
        </is>
      </c>
      <c r="B9" s="8" t="n">
        <v>0.08</v>
      </c>
    </row>
    <row r="10">
      <c r="A10" t="inlineStr">
        <is>
          <t>tax rate for post-sale months</t>
        </is>
      </c>
      <c r="B10" s="8" t="n">
        <v>0.22</v>
      </c>
    </row>
    <row r="11">
      <c r="A11" t="inlineStr">
        <is>
          <t>debt balance for leverage</t>
        </is>
      </c>
      <c r="B11" s="7" t="n">
        <v>523538000</v>
      </c>
    </row>
    <row r="12">
      <c r="A12" t="inlineStr">
        <is>
          <t>cash for leverage (0 = gross of cash)</t>
        </is>
      </c>
      <c r="B12" s="7" t="n">
        <v>0</v>
      </c>
    </row>
    <row r="13">
      <c r="A13" t="inlineStr">
        <is>
          <t>months in forecast</t>
        </is>
      </c>
      <c r="B13" s="9">
        <f>SUMPRODUCT((Forecast!A5:A124&lt;&gt;"")*1)</f>
        <v/>
      </c>
    </row>
    <row r="14"/>
    <row r="15"/>
    <row r="16">
      <c r="A16" s="6" t="inlineStr">
        <is>
          <t>slot</t>
        </is>
      </c>
      <c r="B16" s="6" t="inlineStr">
        <is>
          <t>scenario label</t>
        </is>
      </c>
      <c r="C16" s="6" t="inlineStr">
        <is>
          <t>sale_month (months retained)</t>
        </is>
      </c>
      <c r="D16" s="6" t="inlineStr">
        <is>
          <t>proceeds</t>
        </is>
      </c>
    </row>
    <row r="17">
      <c r="A17" t="n">
        <v>0</v>
      </c>
      <c r="B17" s="5" t="inlineStr">
        <is>
          <t>Hold</t>
        </is>
      </c>
      <c r="C17" s="9">
        <f>9999</f>
        <v/>
      </c>
      <c r="D17" s="10" t="n">
        <v>0</v>
      </c>
    </row>
    <row r="18">
      <c r="A18" t="n">
        <v>1</v>
      </c>
      <c r="B18" s="11" t="inlineStr">
        <is>
          <t>Sell at 6mo</t>
        </is>
      </c>
      <c r="C18" s="12" t="n">
        <v>6</v>
      </c>
      <c r="D18" s="7" t="n">
        <v>300000000</v>
      </c>
    </row>
    <row r="19">
      <c r="A19" t="n">
        <v>2</v>
      </c>
      <c r="B19" s="11" t="inlineStr">
        <is>
          <t>Sell at 12mo</t>
        </is>
      </c>
      <c r="C19" s="12" t="n">
        <v>12</v>
      </c>
      <c r="D19" s="7" t="n">
        <v>300000000</v>
      </c>
    </row>
    <row r="20">
      <c r="A20" t="n">
        <v>3</v>
      </c>
      <c r="B20" s="11" t="inlineStr">
        <is>
          <t>Sell at 18mo</t>
        </is>
      </c>
      <c r="C20" s="12" t="n">
        <v>18</v>
      </c>
      <c r="D20" s="7" t="n">
        <v>300000000</v>
      </c>
    </row>
    <row r="21">
      <c r="A21" t="n">
        <v>4</v>
      </c>
      <c r="B21" s="11" t="inlineStr">
        <is>
          <t>Sell at 24mo</t>
        </is>
      </c>
      <c r="C21" s="12" t="n">
        <v>24</v>
      </c>
      <c r="D21" s="7" t="n">
        <v>300000000</v>
      </c>
    </row>
    <row r="22">
      <c r="A22" t="n">
        <v>5</v>
      </c>
      <c r="B22" s="11" t="inlineStr">
        <is>
          <t>At cost (~$567M paid) @12mo</t>
        </is>
      </c>
      <c r="C22" s="12" t="n">
        <v>12</v>
      </c>
      <c r="D22" s="7" t="n">
        <v>567194000</v>
      </c>
    </row>
    <row r="23">
      <c r="A23" t="n">
        <v>6</v>
      </c>
      <c r="B23" s="11" t="inlineStr">
        <is>
          <t>Default markdown @12mo</t>
        </is>
      </c>
      <c r="C23" s="12" t="n">
        <v>12</v>
      </c>
      <c r="D23" s="7" t="n">
        <v>300000000</v>
      </c>
    </row>
    <row r="24">
      <c r="A24" t="n">
        <v>7</v>
      </c>
      <c r="B24" s="11" t="inlineStr">
        <is>
          <t>8x EBITDA @12mo</t>
        </is>
      </c>
      <c r="C24" s="12" t="n">
        <v>12</v>
      </c>
      <c r="D24" s="7" t="n">
        <v>600000000</v>
      </c>
    </row>
    <row r="25">
      <c r="A25" t="n">
        <v>8</v>
      </c>
      <c r="B25" s="11" t="inlineStr">
        <is>
          <t>12x EBITDA @12mo</t>
        </is>
      </c>
      <c r="C25" s="12" t="n">
        <v>12</v>
      </c>
      <c r="D25" s="7" t="n">
        <v>900000000</v>
      </c>
    </row>
    <row r="26">
      <c r="A26" t="n">
        <v>9</v>
      </c>
      <c r="B26" s="11" t="n"/>
      <c r="C26" s="12" t="n"/>
      <c r="D26" s="7" t="n"/>
    </row>
    <row r="27">
      <c r="A27" t="n">
        <v>10</v>
      </c>
      <c r="B27" s="11" t="n"/>
      <c r="C27" s="12" t="n"/>
      <c r="D2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 - paste K01 Export_Rows values (month rows)</t>
        </is>
      </c>
    </row>
    <row r="2"/>
    <row r="3"/>
    <row r="4">
      <c r="A4" s="6" t="inlineStr">
        <is>
          <t>month_no</t>
        </is>
      </c>
      <c r="B4" s="6" t="inlineStr">
        <is>
          <t>revenue</t>
        </is>
      </c>
      <c r="C4" s="6" t="inlineStr">
        <is>
          <t>gross_profit</t>
        </is>
      </c>
      <c r="D4" s="6" t="inlineStr">
        <is>
          <t>opex</t>
        </is>
      </c>
      <c r="E4" s="6" t="inlineStr">
        <is>
          <t>ebitda</t>
        </is>
      </c>
      <c r="F4" s="6" t="inlineStr">
        <is>
          <t>da</t>
        </is>
      </c>
      <c r="G4" s="6" t="inlineStr">
        <is>
          <t>interest</t>
        </is>
      </c>
      <c r="H4" s="6" t="inlineStr">
        <is>
          <t>pretax_income</t>
        </is>
      </c>
      <c r="I4" s="6" t="inlineStr">
        <is>
          <t>tax</t>
        </is>
      </c>
      <c r="J4" s="6" t="inlineStr">
        <is>
          <t>net_income</t>
        </is>
      </c>
      <c r="K4" s="6" t="inlineStr">
        <is>
          <t>wc_cash_impact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principal</t>
        </is>
      </c>
      <c r="O4" s="6" t="inlineStr">
        <is>
          <t>free_cash_flow</t>
        </is>
      </c>
      <c r="P4" s="6" t="inlineStr">
        <is>
          <t>change_in_cash</t>
        </is>
      </c>
      <c r="Q4" s="6" t="inlineStr">
        <is>
          <t>ending_cash</t>
        </is>
      </c>
    </row>
    <row r="5">
      <c r="A5" s="7" t="n">
        <v>1</v>
      </c>
      <c r="B5" s="7" t="n">
        <v>126710889.1666667</v>
      </c>
      <c r="C5" s="7" t="n">
        <v>38279359.61725</v>
      </c>
      <c r="D5" s="7" t="n">
        <v>18550252.71308334</v>
      </c>
      <c r="E5" s="7" t="n">
        <v>19729106.90416666</v>
      </c>
      <c r="F5" s="7" t="n">
        <v>7333333.333333333</v>
      </c>
      <c r="G5" s="7" t="n">
        <v>3490253.333333333</v>
      </c>
      <c r="H5" s="7" t="n">
        <v>8905520.237499991</v>
      </c>
      <c r="I5" s="7" t="n">
        <v>1959214.452249998</v>
      </c>
      <c r="J5" s="7" t="n">
        <v>6946305.785249993</v>
      </c>
      <c r="K5" s="7" t="n">
        <v>-15872934.39167503</v>
      </c>
      <c r="L5" s="7" t="n">
        <v>-1593295.2730917</v>
      </c>
      <c r="M5" s="7" t="n">
        <v>3500000</v>
      </c>
      <c r="N5" s="7" t="n">
        <v>2083333.333333333</v>
      </c>
      <c r="O5" s="7" t="n">
        <v>-5093295.2730917</v>
      </c>
      <c r="P5" s="7" t="n">
        <v>-7176628.606425033</v>
      </c>
      <c r="Q5" s="7" t="n">
        <v>50831371.39357497</v>
      </c>
    </row>
    <row r="6">
      <c r="A6" s="7" t="n">
        <v>2</v>
      </c>
      <c r="B6" s="7" t="n">
        <v>126710889.1666667</v>
      </c>
      <c r="C6" s="7" t="n">
        <v>38279359.61725</v>
      </c>
      <c r="D6" s="7" t="n">
        <v>18550252.71308334</v>
      </c>
      <c r="E6" s="7" t="n">
        <v>19729106.90416666</v>
      </c>
      <c r="F6" s="7" t="n">
        <v>7333333.333333333</v>
      </c>
      <c r="G6" s="7" t="n">
        <v>3476364.444444444</v>
      </c>
      <c r="H6" s="7" t="n">
        <v>8919409.126388881</v>
      </c>
      <c r="I6" s="7" t="n">
        <v>1962270.007805554</v>
      </c>
      <c r="J6" s="7" t="n">
        <v>6957139.118583327</v>
      </c>
      <c r="K6" s="7" t="n">
        <v>0</v>
      </c>
      <c r="L6" s="7" t="n">
        <v>14290472.45191666</v>
      </c>
      <c r="M6" s="7" t="n">
        <v>3500000</v>
      </c>
      <c r="N6" s="7" t="n">
        <v>2083333.333333333</v>
      </c>
      <c r="O6" s="7" t="n">
        <v>10790472.45191666</v>
      </c>
      <c r="P6" s="7" t="n">
        <v>8707139.118583327</v>
      </c>
      <c r="Q6" s="7" t="n">
        <v>59538510.5121583</v>
      </c>
    </row>
    <row r="7">
      <c r="A7" s="7" t="n">
        <v>3</v>
      </c>
      <c r="B7" s="7" t="n">
        <v>126710889.1666667</v>
      </c>
      <c r="C7" s="7" t="n">
        <v>38279359.61725</v>
      </c>
      <c r="D7" s="7" t="n">
        <v>18550252.71308334</v>
      </c>
      <c r="E7" s="7" t="n">
        <v>19729106.90416666</v>
      </c>
      <c r="F7" s="7" t="n">
        <v>7333333.333333333</v>
      </c>
      <c r="G7" s="7" t="n">
        <v>3462475.555555556</v>
      </c>
      <c r="H7" s="7" t="n">
        <v>8933298.015277769</v>
      </c>
      <c r="I7" s="7" t="n">
        <v>1965325.563361109</v>
      </c>
      <c r="J7" s="7" t="n">
        <v>6967972.45191666</v>
      </c>
      <c r="K7" s="7" t="n">
        <v>0</v>
      </c>
      <c r="L7" s="7" t="n">
        <v>14301305.78524999</v>
      </c>
      <c r="M7" s="7" t="n">
        <v>3500000</v>
      </c>
      <c r="N7" s="7" t="n">
        <v>2083333.333333333</v>
      </c>
      <c r="O7" s="7" t="n">
        <v>10801305.78524999</v>
      </c>
      <c r="P7" s="7" t="n">
        <v>8717972.451916659</v>
      </c>
      <c r="Q7" s="7" t="n">
        <v>68256482.96407495</v>
      </c>
    </row>
    <row r="8">
      <c r="A8" s="7" t="n">
        <v>4</v>
      </c>
      <c r="B8" s="7" t="n">
        <v>126710889.1666667</v>
      </c>
      <c r="C8" s="7" t="n">
        <v>38279359.61725</v>
      </c>
      <c r="D8" s="7" t="n">
        <v>18550252.71308334</v>
      </c>
      <c r="E8" s="7" t="n">
        <v>19729106.90416666</v>
      </c>
      <c r="F8" s="7" t="n">
        <v>7333333.333333333</v>
      </c>
      <c r="G8" s="7" t="n">
        <v>3448586.666666667</v>
      </c>
      <c r="H8" s="7" t="n">
        <v>8947186.904166657</v>
      </c>
      <c r="I8" s="7" t="n">
        <v>1968381.118916665</v>
      </c>
      <c r="J8" s="7" t="n">
        <v>6978805.785249993</v>
      </c>
      <c r="K8" s="7" t="n">
        <v>0</v>
      </c>
      <c r="L8" s="7" t="n">
        <v>14312139.11858333</v>
      </c>
      <c r="M8" s="7" t="n">
        <v>3500000</v>
      </c>
      <c r="N8" s="7" t="n">
        <v>2083333.333333333</v>
      </c>
      <c r="O8" s="7" t="n">
        <v>10812139.11858333</v>
      </c>
      <c r="P8" s="7" t="n">
        <v>8728805.785249991</v>
      </c>
      <c r="Q8" s="7" t="n">
        <v>76985288.74932495</v>
      </c>
    </row>
    <row r="9">
      <c r="A9" s="7" t="n">
        <v>5</v>
      </c>
      <c r="B9" s="7" t="n">
        <v>126710889.1666667</v>
      </c>
      <c r="C9" s="7" t="n">
        <v>38279359.61725</v>
      </c>
      <c r="D9" s="7" t="n">
        <v>18550252.71308334</v>
      </c>
      <c r="E9" s="7" t="n">
        <v>19729106.90416666</v>
      </c>
      <c r="F9" s="7" t="n">
        <v>7333333.333333333</v>
      </c>
      <c r="G9" s="7" t="n">
        <v>3434697.777777778</v>
      </c>
      <c r="H9" s="7" t="n">
        <v>8961075.793055547</v>
      </c>
      <c r="I9" s="7" t="n">
        <v>1971436.67447222</v>
      </c>
      <c r="J9" s="7" t="n">
        <v>6989639.118583327</v>
      </c>
      <c r="K9" s="7" t="n">
        <v>0</v>
      </c>
      <c r="L9" s="7" t="n">
        <v>14322972.45191666</v>
      </c>
      <c r="M9" s="7" t="n">
        <v>3500000</v>
      </c>
      <c r="N9" s="7" t="n">
        <v>2083333.333333333</v>
      </c>
      <c r="O9" s="7" t="n">
        <v>10822972.45191666</v>
      </c>
      <c r="P9" s="7" t="n">
        <v>8739639.118583327</v>
      </c>
      <c r="Q9" s="7" t="n">
        <v>85724927.86790827</v>
      </c>
    </row>
    <row r="10">
      <c r="A10" s="7" t="n">
        <v>6</v>
      </c>
      <c r="B10" s="7" t="n">
        <v>126710889.1666667</v>
      </c>
      <c r="C10" s="7" t="n">
        <v>38279359.61725</v>
      </c>
      <c r="D10" s="7" t="n">
        <v>18550252.71308334</v>
      </c>
      <c r="E10" s="7" t="n">
        <v>19729106.90416666</v>
      </c>
      <c r="F10" s="7" t="n">
        <v>7333333.333333333</v>
      </c>
      <c r="G10" s="7" t="n">
        <v>3420808.88888889</v>
      </c>
      <c r="H10" s="7" t="n">
        <v>8974964.681944435</v>
      </c>
      <c r="I10" s="7" t="n">
        <v>1974492.230027776</v>
      </c>
      <c r="J10" s="7" t="n">
        <v>7000472.451916659</v>
      </c>
      <c r="K10" s="7" t="n">
        <v>0</v>
      </c>
      <c r="L10" s="7" t="n">
        <v>14333805.78524999</v>
      </c>
      <c r="M10" s="7" t="n">
        <v>3500000</v>
      </c>
      <c r="N10" s="7" t="n">
        <v>2083333.333333333</v>
      </c>
      <c r="O10" s="7" t="n">
        <v>10833805.78524999</v>
      </c>
      <c r="P10" s="7" t="n">
        <v>8750472.451916659</v>
      </c>
      <c r="Q10" s="7" t="n">
        <v>94475400.31982493</v>
      </c>
    </row>
    <row r="11">
      <c r="A11" s="7" t="n">
        <v>7</v>
      </c>
      <c r="B11" s="7" t="n">
        <v>126710889.1666667</v>
      </c>
      <c r="C11" s="7" t="n">
        <v>38279359.61725</v>
      </c>
      <c r="D11" s="7" t="n">
        <v>18550252.71308334</v>
      </c>
      <c r="E11" s="7" t="n">
        <v>19729106.90416666</v>
      </c>
      <c r="F11" s="7" t="n">
        <v>7333333.333333333</v>
      </c>
      <c r="G11" s="7" t="n">
        <v>3406920</v>
      </c>
      <c r="H11" s="7" t="n">
        <v>8988853.570833325</v>
      </c>
      <c r="I11" s="7" t="n">
        <v>1977547.785583331</v>
      </c>
      <c r="J11" s="7" t="n">
        <v>7011305.785249994</v>
      </c>
      <c r="K11" s="7" t="n">
        <v>0</v>
      </c>
      <c r="L11" s="7" t="n">
        <v>14344639.11858333</v>
      </c>
      <c r="M11" s="7" t="n">
        <v>3500000</v>
      </c>
      <c r="N11" s="7" t="n">
        <v>2083333.333333333</v>
      </c>
      <c r="O11" s="7" t="n">
        <v>10844639.11858333</v>
      </c>
      <c r="P11" s="7" t="n">
        <v>8761305.785249993</v>
      </c>
      <c r="Q11" s="7" t="n">
        <v>103236706.1050749</v>
      </c>
    </row>
    <row r="12">
      <c r="A12" s="7" t="n">
        <v>8</v>
      </c>
      <c r="B12" s="7" t="n">
        <v>126710889.1666667</v>
      </c>
      <c r="C12" s="7" t="n">
        <v>38279359.61725</v>
      </c>
      <c r="D12" s="7" t="n">
        <v>18550252.71308334</v>
      </c>
      <c r="E12" s="7" t="n">
        <v>19729106.90416666</v>
      </c>
      <c r="F12" s="7" t="n">
        <v>7333333.333333333</v>
      </c>
      <c r="G12" s="7" t="n">
        <v>3393031.111111112</v>
      </c>
      <c r="H12" s="7" t="n">
        <v>9002742.459722213</v>
      </c>
      <c r="I12" s="7" t="n">
        <v>1980603.341138887</v>
      </c>
      <c r="J12" s="7" t="n">
        <v>7022139.118583326</v>
      </c>
      <c r="K12" s="7" t="n">
        <v>0</v>
      </c>
      <c r="L12" s="7" t="n">
        <v>14355472.45191666</v>
      </c>
      <c r="M12" s="7" t="n">
        <v>3500000</v>
      </c>
      <c r="N12" s="7" t="n">
        <v>2083333.333333333</v>
      </c>
      <c r="O12" s="7" t="n">
        <v>10855472.45191666</v>
      </c>
      <c r="P12" s="7" t="n">
        <v>8772139.118583325</v>
      </c>
      <c r="Q12" s="7" t="n">
        <v>112008845.2236582</v>
      </c>
    </row>
    <row r="13">
      <c r="A13" s="7" t="n">
        <v>9</v>
      </c>
      <c r="B13" s="7" t="n">
        <v>126710889.1666667</v>
      </c>
      <c r="C13" s="7" t="n">
        <v>38279359.61725</v>
      </c>
      <c r="D13" s="7" t="n">
        <v>18550252.71308334</v>
      </c>
      <c r="E13" s="7" t="n">
        <v>19729106.90416666</v>
      </c>
      <c r="F13" s="7" t="n">
        <v>7333333.333333333</v>
      </c>
      <c r="G13" s="7" t="n">
        <v>3379142.222222223</v>
      </c>
      <c r="H13" s="7" t="n">
        <v>9016631.348611102</v>
      </c>
      <c r="I13" s="7" t="n">
        <v>1983658.896694442</v>
      </c>
      <c r="J13" s="7" t="n">
        <v>7032972.451916659</v>
      </c>
      <c r="K13" s="7" t="n">
        <v>0</v>
      </c>
      <c r="L13" s="7" t="n">
        <v>14366305.78524999</v>
      </c>
      <c r="M13" s="7" t="n">
        <v>3500000</v>
      </c>
      <c r="N13" s="7" t="n">
        <v>2083333.333333333</v>
      </c>
      <c r="O13" s="7" t="n">
        <v>10866305.78524999</v>
      </c>
      <c r="P13" s="7" t="n">
        <v>8782972.451916659</v>
      </c>
      <c r="Q13" s="7" t="n">
        <v>120791817.6755749</v>
      </c>
    </row>
    <row r="14">
      <c r="A14" s="7" t="n">
        <v>10</v>
      </c>
      <c r="B14" s="7" t="n">
        <v>126710889.1666667</v>
      </c>
      <c r="C14" s="7" t="n">
        <v>38279359.61725</v>
      </c>
      <c r="D14" s="7" t="n">
        <v>18550252.71308334</v>
      </c>
      <c r="E14" s="7" t="n">
        <v>19729106.90416666</v>
      </c>
      <c r="F14" s="7" t="n">
        <v>7333333.333333333</v>
      </c>
      <c r="G14" s="7" t="n">
        <v>3365253.333333334</v>
      </c>
      <c r="H14" s="7" t="n">
        <v>9030520.237499991</v>
      </c>
      <c r="I14" s="7" t="n">
        <v>1986714.452249998</v>
      </c>
      <c r="J14" s="7" t="n">
        <v>7043805.785249993</v>
      </c>
      <c r="K14" s="7" t="n">
        <v>0</v>
      </c>
      <c r="L14" s="7" t="n">
        <v>14377139.11858333</v>
      </c>
      <c r="M14" s="7" t="n">
        <v>3500000</v>
      </c>
      <c r="N14" s="7" t="n">
        <v>2083333.333333333</v>
      </c>
      <c r="O14" s="7" t="n">
        <v>10877139.11858333</v>
      </c>
      <c r="P14" s="7" t="n">
        <v>8793805.785249991</v>
      </c>
      <c r="Q14" s="7" t="n">
        <v>129585623.4608249</v>
      </c>
    </row>
    <row r="15">
      <c r="A15" s="7" t="n">
        <v>11</v>
      </c>
      <c r="B15" s="7" t="n">
        <v>126710889.1666667</v>
      </c>
      <c r="C15" s="7" t="n">
        <v>38279359.61725</v>
      </c>
      <c r="D15" s="7" t="n">
        <v>18550252.71308334</v>
      </c>
      <c r="E15" s="7" t="n">
        <v>19729106.90416666</v>
      </c>
      <c r="F15" s="7" t="n">
        <v>7333333.333333333</v>
      </c>
      <c r="G15" s="7" t="n">
        <v>3351364.444444446</v>
      </c>
      <c r="H15" s="7" t="n">
        <v>9044409.126388879</v>
      </c>
      <c r="I15" s="7" t="n">
        <v>1989770.007805553</v>
      </c>
      <c r="J15" s="7" t="n">
        <v>7054639.118583326</v>
      </c>
      <c r="K15" s="7" t="n">
        <v>0</v>
      </c>
      <c r="L15" s="7" t="n">
        <v>14387972.45191666</v>
      </c>
      <c r="M15" s="7" t="n">
        <v>3500000</v>
      </c>
      <c r="N15" s="7" t="n">
        <v>2083333.333333333</v>
      </c>
      <c r="O15" s="7" t="n">
        <v>10887972.45191666</v>
      </c>
      <c r="P15" s="7" t="n">
        <v>8804639.118583325</v>
      </c>
      <c r="Q15" s="7" t="n">
        <v>138390262.5794082</v>
      </c>
    </row>
    <row r="16">
      <c r="A16" s="7" t="n">
        <v>12</v>
      </c>
      <c r="B16" s="7" t="n">
        <v>126710889.1666667</v>
      </c>
      <c r="C16" s="7" t="n">
        <v>38279359.61725</v>
      </c>
      <c r="D16" s="7" t="n">
        <v>18550252.71308334</v>
      </c>
      <c r="E16" s="7" t="n">
        <v>19729106.90416666</v>
      </c>
      <c r="F16" s="7" t="n">
        <v>7333333.333333333</v>
      </c>
      <c r="G16" s="7" t="n">
        <v>3337475.555555557</v>
      </c>
      <c r="H16" s="7" t="n">
        <v>9058298.015277768</v>
      </c>
      <c r="I16" s="7" t="n">
        <v>1992825.563361109</v>
      </c>
      <c r="J16" s="7" t="n">
        <v>7065472.451916659</v>
      </c>
      <c r="K16" s="7" t="n">
        <v>0</v>
      </c>
      <c r="L16" s="7" t="n">
        <v>14398805.78524999</v>
      </c>
      <c r="M16" s="7" t="n">
        <v>3500000</v>
      </c>
      <c r="N16" s="7" t="n">
        <v>2083333.333333333</v>
      </c>
      <c r="O16" s="7" t="n">
        <v>10898805.78524999</v>
      </c>
      <c r="P16" s="7" t="n">
        <v>8815472.451916659</v>
      </c>
      <c r="Q16" s="7" t="n">
        <v>147205735.0313249</v>
      </c>
    </row>
    <row r="17">
      <c r="A17" s="7" t="n">
        <v>13</v>
      </c>
      <c r="B17" s="7" t="n">
        <v>131346534.4833333</v>
      </c>
      <c r="C17" s="7" t="n">
        <v>40060693.01741667</v>
      </c>
      <c r="D17" s="7" t="n">
        <v>19199462.09591667</v>
      </c>
      <c r="E17" s="7" t="n">
        <v>20861230.9215</v>
      </c>
      <c r="F17" s="7" t="n">
        <v>6833333.333333333</v>
      </c>
      <c r="G17" s="7" t="n">
        <v>3323586.666666667</v>
      </c>
      <c r="H17" s="7" t="n">
        <v>10704310.9215</v>
      </c>
      <c r="I17" s="7" t="n">
        <v>2354948.402730001</v>
      </c>
      <c r="J17" s="7" t="n">
        <v>8349362.518770002</v>
      </c>
      <c r="K17" s="7" t="n">
        <v>-15498402.01554871</v>
      </c>
      <c r="L17" s="7" t="n">
        <v>-315706.1634453721</v>
      </c>
      <c r="M17" s="7" t="n">
        <v>3500000</v>
      </c>
      <c r="N17" s="7" t="n">
        <v>2083333.333333333</v>
      </c>
      <c r="O17" s="7" t="n">
        <v>-3815706.163445372</v>
      </c>
      <c r="P17" s="7" t="n">
        <v>-5899039.496778705</v>
      </c>
      <c r="Q17" s="7" t="n">
        <v>141306695.5345462</v>
      </c>
    </row>
    <row r="18">
      <c r="A18" s="7" t="n">
        <v>14</v>
      </c>
      <c r="B18" s="7" t="n">
        <v>131346534.4833333</v>
      </c>
      <c r="C18" s="7" t="n">
        <v>40060693.01741667</v>
      </c>
      <c r="D18" s="7" t="n">
        <v>19199462.09591667</v>
      </c>
      <c r="E18" s="7" t="n">
        <v>20861230.9215</v>
      </c>
      <c r="F18" s="7" t="n">
        <v>6833333.333333333</v>
      </c>
      <c r="G18" s="7" t="n">
        <v>3309697.777777778</v>
      </c>
      <c r="H18" s="7" t="n">
        <v>10718199.81038889</v>
      </c>
      <c r="I18" s="7" t="n">
        <v>2358003.958285556</v>
      </c>
      <c r="J18" s="7" t="n">
        <v>8360195.852103335</v>
      </c>
      <c r="K18" s="7" t="n">
        <v>0</v>
      </c>
      <c r="L18" s="7" t="n">
        <v>15193529.18543667</v>
      </c>
      <c r="M18" s="7" t="n">
        <v>3500000</v>
      </c>
      <c r="N18" s="7" t="n">
        <v>2083333.333333333</v>
      </c>
      <c r="O18" s="7" t="n">
        <v>11693529.18543667</v>
      </c>
      <c r="P18" s="7" t="n">
        <v>9610195.852103334</v>
      </c>
      <c r="Q18" s="7" t="n">
        <v>150916891.3866495</v>
      </c>
    </row>
    <row r="19">
      <c r="A19" s="7" t="n">
        <v>15</v>
      </c>
      <c r="B19" s="7" t="n">
        <v>131346534.4833333</v>
      </c>
      <c r="C19" s="7" t="n">
        <v>40060693.01741667</v>
      </c>
      <c r="D19" s="7" t="n">
        <v>19199462.09591667</v>
      </c>
      <c r="E19" s="7" t="n">
        <v>20861230.9215</v>
      </c>
      <c r="F19" s="7" t="n">
        <v>6833333.333333333</v>
      </c>
      <c r="G19" s="7" t="n">
        <v>3295808.888888889</v>
      </c>
      <c r="H19" s="7" t="n">
        <v>10732088.69927778</v>
      </c>
      <c r="I19" s="7" t="n">
        <v>2361059.513841111</v>
      </c>
      <c r="J19" s="7" t="n">
        <v>8371029.185436668</v>
      </c>
      <c r="K19" s="7" t="n">
        <v>0</v>
      </c>
      <c r="L19" s="7" t="n">
        <v>15204362.51877</v>
      </c>
      <c r="M19" s="7" t="n">
        <v>3500000</v>
      </c>
      <c r="N19" s="7" t="n">
        <v>2083333.333333333</v>
      </c>
      <c r="O19" s="7" t="n">
        <v>11704362.51877</v>
      </c>
      <c r="P19" s="7" t="n">
        <v>9621029.185436668</v>
      </c>
      <c r="Q19" s="7" t="n">
        <v>160537920.5720862</v>
      </c>
    </row>
    <row r="20">
      <c r="A20" s="7" t="n">
        <v>16</v>
      </c>
      <c r="B20" s="7" t="n">
        <v>131346534.4833333</v>
      </c>
      <c r="C20" s="7" t="n">
        <v>40060693.01741667</v>
      </c>
      <c r="D20" s="7" t="n">
        <v>19199462.09591667</v>
      </c>
      <c r="E20" s="7" t="n">
        <v>20861230.9215</v>
      </c>
      <c r="F20" s="7" t="n">
        <v>6833333.333333333</v>
      </c>
      <c r="G20" s="7" t="n">
        <v>3281920</v>
      </c>
      <c r="H20" s="7" t="n">
        <v>10745977.58816667</v>
      </c>
      <c r="I20" s="7" t="n">
        <v>2364115.069396667</v>
      </c>
      <c r="J20" s="7" t="n">
        <v>8381862.518770002</v>
      </c>
      <c r="K20" s="7" t="n">
        <v>0</v>
      </c>
      <c r="L20" s="7" t="n">
        <v>15215195.85210333</v>
      </c>
      <c r="M20" s="7" t="n">
        <v>3500000</v>
      </c>
      <c r="N20" s="7" t="n">
        <v>2083333.333333333</v>
      </c>
      <c r="O20" s="7" t="n">
        <v>11715195.85210333</v>
      </c>
      <c r="P20" s="7" t="n">
        <v>9631862.51877</v>
      </c>
      <c r="Q20" s="7" t="n">
        <v>170169783.0908562</v>
      </c>
    </row>
    <row r="21">
      <c r="A21" s="7" t="n">
        <v>17</v>
      </c>
      <c r="B21" s="7" t="n">
        <v>131346534.4833333</v>
      </c>
      <c r="C21" s="7" t="n">
        <v>40060693.01741667</v>
      </c>
      <c r="D21" s="7" t="n">
        <v>19199462.09591667</v>
      </c>
      <c r="E21" s="7" t="n">
        <v>20861230.9215</v>
      </c>
      <c r="F21" s="7" t="n">
        <v>6833333.333333333</v>
      </c>
      <c r="G21" s="7" t="n">
        <v>3268031.111111112</v>
      </c>
      <c r="H21" s="7" t="n">
        <v>10759866.47705556</v>
      </c>
      <c r="I21" s="7" t="n">
        <v>2367170.624952223</v>
      </c>
      <c r="J21" s="7" t="n">
        <v>8392695.852103334</v>
      </c>
      <c r="K21" s="7" t="n">
        <v>0</v>
      </c>
      <c r="L21" s="7" t="n">
        <v>15226029.18543667</v>
      </c>
      <c r="M21" s="7" t="n">
        <v>3500000</v>
      </c>
      <c r="N21" s="7" t="n">
        <v>2083333.333333333</v>
      </c>
      <c r="O21" s="7" t="n">
        <v>11726029.18543667</v>
      </c>
      <c r="P21" s="7" t="n">
        <v>9642695.852103332</v>
      </c>
      <c r="Q21" s="7" t="n">
        <v>179812478.9429595</v>
      </c>
    </row>
    <row r="22">
      <c r="A22" s="7" t="n">
        <v>18</v>
      </c>
      <c r="B22" s="7" t="n">
        <v>131346534.4833333</v>
      </c>
      <c r="C22" s="7" t="n">
        <v>40060693.01741667</v>
      </c>
      <c r="D22" s="7" t="n">
        <v>19199462.09591667</v>
      </c>
      <c r="E22" s="7" t="n">
        <v>20861230.9215</v>
      </c>
      <c r="F22" s="7" t="n">
        <v>6833333.333333333</v>
      </c>
      <c r="G22" s="7" t="n">
        <v>3254142.222222223</v>
      </c>
      <c r="H22" s="7" t="n">
        <v>10773755.36594445</v>
      </c>
      <c r="I22" s="7" t="n">
        <v>2370226.180507778</v>
      </c>
      <c r="J22" s="7" t="n">
        <v>8403529.185436668</v>
      </c>
      <c r="K22" s="7" t="n">
        <v>0</v>
      </c>
      <c r="L22" s="7" t="n">
        <v>15236862.51877</v>
      </c>
      <c r="M22" s="7" t="n">
        <v>3500000</v>
      </c>
      <c r="N22" s="7" t="n">
        <v>2083333.333333333</v>
      </c>
      <c r="O22" s="7" t="n">
        <v>11736862.51877</v>
      </c>
      <c r="P22" s="7" t="n">
        <v>9653529.185436668</v>
      </c>
      <c r="Q22" s="7" t="n">
        <v>189466008.1283962</v>
      </c>
    </row>
    <row r="23">
      <c r="A23" s="7" t="n">
        <v>19</v>
      </c>
      <c r="B23" s="7" t="n">
        <v>131346534.4833333</v>
      </c>
      <c r="C23" s="7" t="n">
        <v>40060693.01741667</v>
      </c>
      <c r="D23" s="7" t="n">
        <v>19199462.09591667</v>
      </c>
      <c r="E23" s="7" t="n">
        <v>20861230.9215</v>
      </c>
      <c r="F23" s="7" t="n">
        <v>6833333.333333333</v>
      </c>
      <c r="G23" s="7" t="n">
        <v>3240253.333333334</v>
      </c>
      <c r="H23" s="7" t="n">
        <v>10787644.25483334</v>
      </c>
      <c r="I23" s="7" t="n">
        <v>2373281.736063334</v>
      </c>
      <c r="J23" s="7" t="n">
        <v>8414362.518770002</v>
      </c>
      <c r="K23" s="7" t="n">
        <v>0</v>
      </c>
      <c r="L23" s="7" t="n">
        <v>15247695.85210333</v>
      </c>
      <c r="M23" s="7" t="n">
        <v>3500000</v>
      </c>
      <c r="N23" s="7" t="n">
        <v>2083333.333333333</v>
      </c>
      <c r="O23" s="7" t="n">
        <v>11747695.85210333</v>
      </c>
      <c r="P23" s="7" t="n">
        <v>9664362.51877</v>
      </c>
      <c r="Q23" s="7" t="n">
        <v>199130370.6471662</v>
      </c>
    </row>
    <row r="24">
      <c r="A24" s="7" t="n">
        <v>20</v>
      </c>
      <c r="B24" s="7" t="n">
        <v>131346534.4833333</v>
      </c>
      <c r="C24" s="7" t="n">
        <v>40060693.01741667</v>
      </c>
      <c r="D24" s="7" t="n">
        <v>19199462.09591667</v>
      </c>
      <c r="E24" s="7" t="n">
        <v>20861230.9215</v>
      </c>
      <c r="F24" s="7" t="n">
        <v>6833333.333333333</v>
      </c>
      <c r="G24" s="7" t="n">
        <v>3226364.444444445</v>
      </c>
      <c r="H24" s="7" t="n">
        <v>10801533.14372222</v>
      </c>
      <c r="I24" s="7" t="n">
        <v>2376337.291618889</v>
      </c>
      <c r="J24" s="7" t="n">
        <v>8425195.852103334</v>
      </c>
      <c r="K24" s="7" t="n">
        <v>0</v>
      </c>
      <c r="L24" s="7" t="n">
        <v>15258529.18543667</v>
      </c>
      <c r="M24" s="7" t="n">
        <v>3500000</v>
      </c>
      <c r="N24" s="7" t="n">
        <v>2083333.333333333</v>
      </c>
      <c r="O24" s="7" t="n">
        <v>11758529.18543667</v>
      </c>
      <c r="P24" s="7" t="n">
        <v>9675195.852103332</v>
      </c>
      <c r="Q24" s="7" t="n">
        <v>208805566.4992695</v>
      </c>
    </row>
    <row r="25">
      <c r="A25" s="7" t="n">
        <v>21</v>
      </c>
      <c r="B25" s="7" t="n">
        <v>131346534.4833333</v>
      </c>
      <c r="C25" s="7" t="n">
        <v>40060693.01741667</v>
      </c>
      <c r="D25" s="7" t="n">
        <v>19199462.09591667</v>
      </c>
      <c r="E25" s="7" t="n">
        <v>20861230.9215</v>
      </c>
      <c r="F25" s="7" t="n">
        <v>6833333.333333333</v>
      </c>
      <c r="G25" s="7" t="n">
        <v>3212475.555555556</v>
      </c>
      <c r="H25" s="7" t="n">
        <v>10815422.03261111</v>
      </c>
      <c r="I25" s="7" t="n">
        <v>2379392.847174445</v>
      </c>
      <c r="J25" s="7" t="n">
        <v>8436029.185436668</v>
      </c>
      <c r="K25" s="7" t="n">
        <v>0</v>
      </c>
      <c r="L25" s="7" t="n">
        <v>15269362.51877</v>
      </c>
      <c r="M25" s="7" t="n">
        <v>3500000</v>
      </c>
      <c r="N25" s="7" t="n">
        <v>2083333.333333333</v>
      </c>
      <c r="O25" s="7" t="n">
        <v>11769362.51877</v>
      </c>
      <c r="P25" s="7" t="n">
        <v>9686029.185436668</v>
      </c>
      <c r="Q25" s="7" t="n">
        <v>218491595.6847062</v>
      </c>
    </row>
    <row r="26">
      <c r="A26" s="7" t="n">
        <v>22</v>
      </c>
      <c r="B26" s="7" t="n">
        <v>131346534.4833333</v>
      </c>
      <c r="C26" s="7" t="n">
        <v>40060693.01741667</v>
      </c>
      <c r="D26" s="7" t="n">
        <v>19199462.09591667</v>
      </c>
      <c r="E26" s="7" t="n">
        <v>20861230.9215</v>
      </c>
      <c r="F26" s="7" t="n">
        <v>6833333.333333333</v>
      </c>
      <c r="G26" s="7" t="n">
        <v>3198586.666666668</v>
      </c>
      <c r="H26" s="7" t="n">
        <v>10829310.9215</v>
      </c>
      <c r="I26" s="7" t="n">
        <v>2382448.40273</v>
      </c>
      <c r="J26" s="7" t="n">
        <v>8446862.518770002</v>
      </c>
      <c r="K26" s="7" t="n">
        <v>0</v>
      </c>
      <c r="L26" s="7" t="n">
        <v>15280195.85210333</v>
      </c>
      <c r="M26" s="7" t="n">
        <v>3500000</v>
      </c>
      <c r="N26" s="7" t="n">
        <v>2083333.333333333</v>
      </c>
      <c r="O26" s="7" t="n">
        <v>11780195.85210333</v>
      </c>
      <c r="P26" s="7" t="n">
        <v>9696862.51877</v>
      </c>
      <c r="Q26" s="7" t="n">
        <v>228188458.2034762</v>
      </c>
    </row>
    <row r="27">
      <c r="A27" s="7" t="n">
        <v>23</v>
      </c>
      <c r="B27" s="7" t="n">
        <v>131346534.4833333</v>
      </c>
      <c r="C27" s="7" t="n">
        <v>40060693.01741667</v>
      </c>
      <c r="D27" s="7" t="n">
        <v>19199462.09591667</v>
      </c>
      <c r="E27" s="7" t="n">
        <v>20861230.9215</v>
      </c>
      <c r="F27" s="7" t="n">
        <v>6833333.333333333</v>
      </c>
      <c r="G27" s="7" t="n">
        <v>3184697.777777779</v>
      </c>
      <c r="H27" s="7" t="n">
        <v>10843199.81038889</v>
      </c>
      <c r="I27" s="7" t="n">
        <v>2385503.958285556</v>
      </c>
      <c r="J27" s="7" t="n">
        <v>8457695.852103334</v>
      </c>
      <c r="K27" s="7" t="n">
        <v>0</v>
      </c>
      <c r="L27" s="7" t="n">
        <v>15291029.18543667</v>
      </c>
      <c r="M27" s="7" t="n">
        <v>3500000</v>
      </c>
      <c r="N27" s="7" t="n">
        <v>2083333.333333333</v>
      </c>
      <c r="O27" s="7" t="n">
        <v>11791029.18543667</v>
      </c>
      <c r="P27" s="7" t="n">
        <v>9707695.852103332</v>
      </c>
      <c r="Q27" s="7" t="n">
        <v>237896154.0555795</v>
      </c>
    </row>
    <row r="28">
      <c r="A28" s="7" t="n">
        <v>24</v>
      </c>
      <c r="B28" s="7" t="n">
        <v>131346534.4833333</v>
      </c>
      <c r="C28" s="7" t="n">
        <v>40060693.01741667</v>
      </c>
      <c r="D28" s="7" t="n">
        <v>19199462.09591667</v>
      </c>
      <c r="E28" s="7" t="n">
        <v>20861230.9215</v>
      </c>
      <c r="F28" s="7" t="n">
        <v>6833333.333333333</v>
      </c>
      <c r="G28" s="7" t="n">
        <v>3170808.88888889</v>
      </c>
      <c r="H28" s="7" t="n">
        <v>10857088.69927778</v>
      </c>
      <c r="I28" s="7" t="n">
        <v>2388559.513841111</v>
      </c>
      <c r="J28" s="7" t="n">
        <v>8468529.185436668</v>
      </c>
      <c r="K28" s="7" t="n">
        <v>0</v>
      </c>
      <c r="L28" s="7" t="n">
        <v>15301862.51877</v>
      </c>
      <c r="M28" s="7" t="n">
        <v>3500000</v>
      </c>
      <c r="N28" s="7" t="n">
        <v>2083333.333333333</v>
      </c>
      <c r="O28" s="7" t="n">
        <v>11801862.51877</v>
      </c>
      <c r="P28" s="7" t="n">
        <v>9718529.185436668</v>
      </c>
      <c r="Q28" s="7" t="n">
        <v>247614683.2410162</v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0</t>
        </is>
      </c>
    </row>
    <row r="2">
      <c r="B2" s="5">
        <f>Setup!B17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IF(A5="","",IF(0&gt;=N(Setup!$C$17),1,0))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IF(A5="","",IF($B5=1,Forecast!G5-N(Setup!$D$17)*Setup!$B$9/12,Forecast!G5))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IF(A6="","",IF(1&gt;=N(Setup!$C$17),1,0))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IF(A6="","",IF($B6=1,Forecast!G6-N(Setup!$D$17)*Setup!$B$9/12,Forecast!G6))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IF(A7="","",IF(2&gt;=N(Setup!$C$17),1,0))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IF(A7="","",IF($B7=1,Forecast!G7-N(Setup!$D$17)*Setup!$B$9/12,Forecast!G7))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IF(A8="","",IF(3&gt;=N(Setup!$C$17),1,0))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IF(A8="","",IF($B8=1,Forecast!G8-N(Setup!$D$17)*Setup!$B$9/12,Forecast!G8))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IF(A9="","",IF(4&gt;=N(Setup!$C$17),1,0))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IF(A9="","",IF($B9=1,Forecast!G9-N(Setup!$D$17)*Setup!$B$9/12,Forecast!G9))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IF(A10="","",IF(5&gt;=N(Setup!$C$17),1,0))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IF(A10="","",IF($B10=1,Forecast!G10-N(Setup!$D$17)*Setup!$B$9/12,Forecast!G10))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IF(A11="","",IF(6&gt;=N(Setup!$C$17),1,0))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IF(A11="","",IF($B11=1,Forecast!G11-N(Setup!$D$17)*Setup!$B$9/12,Forecast!G11))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IF(A12="","",IF(7&gt;=N(Setup!$C$17),1,0))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IF(A12="","",IF($B12=1,Forecast!G12-N(Setup!$D$17)*Setup!$B$9/12,Forecast!G12))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IF(A13="","",IF(8&gt;=N(Setup!$C$17),1,0))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IF(A13="","",IF($B13=1,Forecast!G13-N(Setup!$D$17)*Setup!$B$9/12,Forecast!G13))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IF(A14="","",IF(9&gt;=N(Setup!$C$17),1,0))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IF(A14="","",IF($B14=1,Forecast!G14-N(Setup!$D$17)*Setup!$B$9/12,Forecast!G14))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IF(A15="","",IF(10&gt;=N(Setup!$C$17),1,0))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IF(A15="","",IF($B15=1,Forecast!G15-N(Setup!$D$17)*Setup!$B$9/12,Forecast!G15))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IF(A16="","",IF(11&gt;=N(Setup!$C$17),1,0))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IF(A16="","",IF($B16=1,Forecast!G16-N(Setup!$D$17)*Setup!$B$9/12,Forecast!G16))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IF(A17="","",IF(12&gt;=N(Setup!$C$17),1,0))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IF(A17="","",IF($B17=1,Forecast!G17-N(Setup!$D$17)*Setup!$B$9/12,Forecast!G17))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IF(A18="","",IF(13&gt;=N(Setup!$C$17),1,0))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IF(A18="","",IF($B18=1,Forecast!G18-N(Setup!$D$17)*Setup!$B$9/12,Forecast!G18))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IF(A19="","",IF(14&gt;=N(Setup!$C$17),1,0))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IF(A19="","",IF($B19=1,Forecast!G19-N(Setup!$D$17)*Setup!$B$9/12,Forecast!G19))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IF(A20="","",IF(15&gt;=N(Setup!$C$17),1,0))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IF(A20="","",IF($B20=1,Forecast!G20-N(Setup!$D$17)*Setup!$B$9/12,Forecast!G20))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IF(A21="","",IF(16&gt;=N(Setup!$C$17),1,0))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IF(A21="","",IF($B21=1,Forecast!G21-N(Setup!$D$17)*Setup!$B$9/12,Forecast!G21))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IF(A22="","",IF(17&gt;=N(Setup!$C$17),1,0))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IF(A22="","",IF($B22=1,Forecast!G22-N(Setup!$D$17)*Setup!$B$9/12,Forecast!G22))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IF(A23="","",IF(18&gt;=N(Setup!$C$17),1,0))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IF(A23="","",IF($B23=1,Forecast!G23-N(Setup!$D$17)*Setup!$B$9/12,Forecast!G23))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IF(A24="","",IF(19&gt;=N(Setup!$C$17),1,0))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IF(A24="","",IF($B24=1,Forecast!G24-N(Setup!$D$17)*Setup!$B$9/12,Forecast!G24))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IF(A25="","",IF(20&gt;=N(Setup!$C$17),1,0))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IF(A25="","",IF($B25=1,Forecast!G25-N(Setup!$D$17)*Setup!$B$9/12,Forecast!G25))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IF(A26="","",IF(21&gt;=N(Setup!$C$17),1,0))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IF(A26="","",IF($B26=1,Forecast!G26-N(Setup!$D$17)*Setup!$B$9/12,Forecast!G26))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IF(A27="","",IF(22&gt;=N(Setup!$C$17),1,0))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IF(A27="","",IF($B27=1,Forecast!G27-N(Setup!$D$17)*Setup!$B$9/12,Forecast!G27))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IF(A28="","",IF(23&gt;=N(Setup!$C$17),1,0))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IF(A28="","",IF($B28=1,Forecast!G28-N(Setup!$D$17)*Setup!$B$9/12,Forecast!G28))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IF(A29="","",IF(24&gt;=N(Setup!$C$17),1,0))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IF(A29="","",IF($B29=1,Forecast!G29-N(Setup!$D$17)*Setup!$B$9/12,Forecast!G29))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IF(A30="","",IF(25&gt;=N(Setup!$C$17),1,0))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IF(A30="","",IF($B30=1,Forecast!G30-N(Setup!$D$17)*Setup!$B$9/12,Forecast!G30))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IF(A31="","",IF(26&gt;=N(Setup!$C$17),1,0))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IF(A31="","",IF($B31=1,Forecast!G31-N(Setup!$D$17)*Setup!$B$9/12,Forecast!G31))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IF(A32="","",IF(27&gt;=N(Setup!$C$17),1,0))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IF(A32="","",IF($B32=1,Forecast!G32-N(Setup!$D$17)*Setup!$B$9/12,Forecast!G32))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IF(A33="","",IF(28&gt;=N(Setup!$C$17),1,0))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IF(A33="","",IF($B33=1,Forecast!G33-N(Setup!$D$17)*Setup!$B$9/12,Forecast!G33))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IF(A34="","",IF(29&gt;=N(Setup!$C$17),1,0))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IF(A34="","",IF($B34=1,Forecast!G34-N(Setup!$D$17)*Setup!$B$9/12,Forecast!G34))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IF(A35="","",IF(30&gt;=N(Setup!$C$17),1,0))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IF(A35="","",IF($B35=1,Forecast!G35-N(Setup!$D$17)*Setup!$B$9/12,Forecast!G35))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IF(A36="","",IF(31&gt;=N(Setup!$C$17),1,0))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IF(A36="","",IF($B36=1,Forecast!G36-N(Setup!$D$17)*Setup!$B$9/12,Forecast!G36))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IF(A37="","",IF(32&gt;=N(Setup!$C$17),1,0))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IF(A37="","",IF($B37=1,Forecast!G37-N(Setup!$D$17)*Setup!$B$9/12,Forecast!G37))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IF(A38="","",IF(33&gt;=N(Setup!$C$17),1,0))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IF(A38="","",IF($B38=1,Forecast!G38-N(Setup!$D$17)*Setup!$B$9/12,Forecast!G38))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IF(A39="","",IF(34&gt;=N(Setup!$C$17),1,0))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IF(A39="","",IF($B39=1,Forecast!G39-N(Setup!$D$17)*Setup!$B$9/12,Forecast!G39))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IF(A40="","",IF(35&gt;=N(Setup!$C$17),1,0))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IF(A40="","",IF($B40=1,Forecast!G40-N(Setup!$D$17)*Setup!$B$9/12,Forecast!G40))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IF(A41="","",IF(36&gt;=N(Setup!$C$17),1,0))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IF(A41="","",IF($B41=1,Forecast!G41-N(Setup!$D$17)*Setup!$B$9/12,Forecast!G41))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IF(A42="","",IF(37&gt;=N(Setup!$C$17),1,0))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IF(A42="","",IF($B42=1,Forecast!G42-N(Setup!$D$17)*Setup!$B$9/12,Forecast!G42))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IF(A43="","",IF(38&gt;=N(Setup!$C$17),1,0))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IF(A43="","",IF($B43=1,Forecast!G43-N(Setup!$D$17)*Setup!$B$9/12,Forecast!G43))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IF(A44="","",IF(39&gt;=N(Setup!$C$17),1,0))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IF(A44="","",IF($B44=1,Forecast!G44-N(Setup!$D$17)*Setup!$B$9/12,Forecast!G44))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IF(A45="","",IF(40&gt;=N(Setup!$C$17),1,0))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IF(A45="","",IF($B45=1,Forecast!G45-N(Setup!$D$17)*Setup!$B$9/12,Forecast!G45))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IF(A46="","",IF(41&gt;=N(Setup!$C$17),1,0))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IF(A46="","",IF($B46=1,Forecast!G46-N(Setup!$D$17)*Setup!$B$9/12,Forecast!G46))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IF(A47="","",IF(42&gt;=N(Setup!$C$17),1,0))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IF(A47="","",IF($B47=1,Forecast!G47-N(Setup!$D$17)*Setup!$B$9/12,Forecast!G47))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IF(A48="","",IF(43&gt;=N(Setup!$C$17),1,0))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IF(A48="","",IF($B48=1,Forecast!G48-N(Setup!$D$17)*Setup!$B$9/12,Forecast!G48))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IF(A49="","",IF(44&gt;=N(Setup!$C$17),1,0))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IF(A49="","",IF($B49=1,Forecast!G49-N(Setup!$D$17)*Setup!$B$9/12,Forecast!G49))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IF(A50="","",IF(45&gt;=N(Setup!$C$17),1,0))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IF(A50="","",IF($B50=1,Forecast!G50-N(Setup!$D$17)*Setup!$B$9/12,Forecast!G50))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IF(A51="","",IF(46&gt;=N(Setup!$C$17),1,0))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IF(A51="","",IF($B51=1,Forecast!G51-N(Setup!$D$17)*Setup!$B$9/12,Forecast!G51))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IF(A52="","",IF(47&gt;=N(Setup!$C$17),1,0))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IF(A52="","",IF($B52=1,Forecast!G52-N(Setup!$D$17)*Setup!$B$9/12,Forecast!G52))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IF(A53="","",IF(48&gt;=N(Setup!$C$17),1,0))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IF(A53="","",IF($B53=1,Forecast!G53-N(Setup!$D$17)*Setup!$B$9/12,Forecast!G53))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IF(A54="","",IF(49&gt;=N(Setup!$C$17),1,0))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IF(A54="","",IF($B54=1,Forecast!G54-N(Setup!$D$17)*Setup!$B$9/12,Forecast!G54))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IF(A55="","",IF(50&gt;=N(Setup!$C$17),1,0))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IF(A55="","",IF($B55=1,Forecast!G55-N(Setup!$D$17)*Setup!$B$9/12,Forecast!G55))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IF(A56="","",IF(51&gt;=N(Setup!$C$17),1,0))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IF(A56="","",IF($B56=1,Forecast!G56-N(Setup!$D$17)*Setup!$B$9/12,Forecast!G56))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IF(A57="","",IF(52&gt;=N(Setup!$C$17),1,0))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IF(A57="","",IF($B57=1,Forecast!G57-N(Setup!$D$17)*Setup!$B$9/12,Forecast!G57))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IF(A58="","",IF(53&gt;=N(Setup!$C$17),1,0))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IF(A58="","",IF($B58=1,Forecast!G58-N(Setup!$D$17)*Setup!$B$9/12,Forecast!G58))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IF(A59="","",IF(54&gt;=N(Setup!$C$17),1,0))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IF(A59="","",IF($B59=1,Forecast!G59-N(Setup!$D$17)*Setup!$B$9/12,Forecast!G59))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IF(A60="","",IF(55&gt;=N(Setup!$C$17),1,0))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IF(A60="","",IF($B60=1,Forecast!G60-N(Setup!$D$17)*Setup!$B$9/12,Forecast!G60))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IF(A61="","",IF(56&gt;=N(Setup!$C$17),1,0))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IF(A61="","",IF($B61=1,Forecast!G61-N(Setup!$D$17)*Setup!$B$9/12,Forecast!G61))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IF(A62="","",IF(57&gt;=N(Setup!$C$17),1,0))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IF(A62="","",IF($B62=1,Forecast!G62-N(Setup!$D$17)*Setup!$B$9/12,Forecast!G62))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IF(A63="","",IF(58&gt;=N(Setup!$C$17),1,0))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IF(A63="","",IF($B63=1,Forecast!G63-N(Setup!$D$17)*Setup!$B$9/12,Forecast!G63))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IF(A64="","",IF(59&gt;=N(Setup!$C$17),1,0))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IF(A64="","",IF($B64=1,Forecast!G64-N(Setup!$D$17)*Setup!$B$9/12,Forecast!G64))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IF(A65="","",IF(60&gt;=N(Setup!$C$17),1,0))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IF(A65="","",IF($B65=1,Forecast!G65-N(Setup!$D$17)*Setup!$B$9/12,Forecast!G65))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IF(A66="","",IF(61&gt;=N(Setup!$C$17),1,0))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IF(A66="","",IF($B66=1,Forecast!G66-N(Setup!$D$17)*Setup!$B$9/12,Forecast!G66))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IF(A67="","",IF(62&gt;=N(Setup!$C$17),1,0))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IF(A67="","",IF($B67=1,Forecast!G67-N(Setup!$D$17)*Setup!$B$9/12,Forecast!G67))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IF(A68="","",IF(63&gt;=N(Setup!$C$17),1,0))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IF(A68="","",IF($B68=1,Forecast!G68-N(Setup!$D$17)*Setup!$B$9/12,Forecast!G68))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IF(A69="","",IF(64&gt;=N(Setup!$C$17),1,0))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IF(A69="","",IF($B69=1,Forecast!G69-N(Setup!$D$17)*Setup!$B$9/12,Forecast!G69))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IF(A70="","",IF(65&gt;=N(Setup!$C$17),1,0))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IF(A70="","",IF($B70=1,Forecast!G70-N(Setup!$D$17)*Setup!$B$9/12,Forecast!G70))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IF(A71="","",IF(66&gt;=N(Setup!$C$17),1,0))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IF(A71="","",IF($B71=1,Forecast!G71-N(Setup!$D$17)*Setup!$B$9/12,Forecast!G71))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IF(A72="","",IF(67&gt;=N(Setup!$C$17),1,0))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IF(A72="","",IF($B72=1,Forecast!G72-N(Setup!$D$17)*Setup!$B$9/12,Forecast!G72))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IF(A73="","",IF(68&gt;=N(Setup!$C$17),1,0))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IF(A73="","",IF($B73=1,Forecast!G73-N(Setup!$D$17)*Setup!$B$9/12,Forecast!G73))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IF(A74="","",IF(69&gt;=N(Setup!$C$17),1,0))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IF(A74="","",IF($B74=1,Forecast!G74-N(Setup!$D$17)*Setup!$B$9/12,Forecast!G74))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IF(A75="","",IF(70&gt;=N(Setup!$C$17),1,0))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IF(A75="","",IF($B75=1,Forecast!G75-N(Setup!$D$17)*Setup!$B$9/12,Forecast!G75))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IF(A76="","",IF(71&gt;=N(Setup!$C$17),1,0))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IF(A76="","",IF($B76=1,Forecast!G76-N(Setup!$D$17)*Setup!$B$9/12,Forecast!G76))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IF(A77="","",IF(72&gt;=N(Setup!$C$17),1,0))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IF(A77="","",IF($B77=1,Forecast!G77-N(Setup!$D$17)*Setup!$B$9/12,Forecast!G77))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IF(A78="","",IF(73&gt;=N(Setup!$C$17),1,0))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IF(A78="","",IF($B78=1,Forecast!G78-N(Setup!$D$17)*Setup!$B$9/12,Forecast!G78))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IF(A79="","",IF(74&gt;=N(Setup!$C$17),1,0))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IF(A79="","",IF($B79=1,Forecast!G79-N(Setup!$D$17)*Setup!$B$9/12,Forecast!G79))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IF(A80="","",IF(75&gt;=N(Setup!$C$17),1,0))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IF(A80="","",IF($B80=1,Forecast!G80-N(Setup!$D$17)*Setup!$B$9/12,Forecast!G80))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IF(A81="","",IF(76&gt;=N(Setup!$C$17),1,0))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IF(A81="","",IF($B81=1,Forecast!G81-N(Setup!$D$17)*Setup!$B$9/12,Forecast!G81))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IF(A82="","",IF(77&gt;=N(Setup!$C$17),1,0))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IF(A82="","",IF($B82=1,Forecast!G82-N(Setup!$D$17)*Setup!$B$9/12,Forecast!G82))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IF(A83="","",IF(78&gt;=N(Setup!$C$17),1,0))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IF(A83="","",IF($B83=1,Forecast!G83-N(Setup!$D$17)*Setup!$B$9/12,Forecast!G83))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IF(A84="","",IF(79&gt;=N(Setup!$C$17),1,0))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IF(A84="","",IF($B84=1,Forecast!G84-N(Setup!$D$17)*Setup!$B$9/12,Forecast!G84))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IF(A85="","",IF(80&gt;=N(Setup!$C$17),1,0))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IF(A85="","",IF($B85=1,Forecast!G85-N(Setup!$D$17)*Setup!$B$9/12,Forecast!G85))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IF(A86="","",IF(81&gt;=N(Setup!$C$17),1,0))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IF(A86="","",IF($B86=1,Forecast!G86-N(Setup!$D$17)*Setup!$B$9/12,Forecast!G86))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IF(A87="","",IF(82&gt;=N(Setup!$C$17),1,0))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IF(A87="","",IF($B87=1,Forecast!G87-N(Setup!$D$17)*Setup!$B$9/12,Forecast!G87))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IF(A88="","",IF(83&gt;=N(Setup!$C$17),1,0))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IF(A88="","",IF($B88=1,Forecast!G88-N(Setup!$D$17)*Setup!$B$9/12,Forecast!G88))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IF(A89="","",IF(84&gt;=N(Setup!$C$17),1,0))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IF(A89="","",IF($B89=1,Forecast!G89-N(Setup!$D$17)*Setup!$B$9/12,Forecast!G89))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IF(A90="","",IF(85&gt;=N(Setup!$C$17),1,0))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IF(A90="","",IF($B90=1,Forecast!G90-N(Setup!$D$17)*Setup!$B$9/12,Forecast!G90))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IF(A91="","",IF(86&gt;=N(Setup!$C$17),1,0))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IF(A91="","",IF($B91=1,Forecast!G91-N(Setup!$D$17)*Setup!$B$9/12,Forecast!G91))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IF(A92="","",IF(87&gt;=N(Setup!$C$17),1,0))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IF(A92="","",IF($B92=1,Forecast!G92-N(Setup!$D$17)*Setup!$B$9/12,Forecast!G92))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IF(A93="","",IF(88&gt;=N(Setup!$C$17),1,0))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IF(A93="","",IF($B93=1,Forecast!G93-N(Setup!$D$17)*Setup!$B$9/12,Forecast!G93))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IF(A94="","",IF(89&gt;=N(Setup!$C$17),1,0))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IF(A94="","",IF($B94=1,Forecast!G94-N(Setup!$D$17)*Setup!$B$9/12,Forecast!G94))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IF(A95="","",IF(90&gt;=N(Setup!$C$17),1,0))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IF(A95="","",IF($B95=1,Forecast!G95-N(Setup!$D$17)*Setup!$B$9/12,Forecast!G95))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IF(A96="","",IF(91&gt;=N(Setup!$C$17),1,0))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IF(A96="","",IF($B96=1,Forecast!G96-N(Setup!$D$17)*Setup!$B$9/12,Forecast!G96))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IF(A97="","",IF(92&gt;=N(Setup!$C$17),1,0))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IF(A97="","",IF($B97=1,Forecast!G97-N(Setup!$D$17)*Setup!$B$9/12,Forecast!G97))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IF(A98="","",IF(93&gt;=N(Setup!$C$17),1,0))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IF(A98="","",IF($B98=1,Forecast!G98-N(Setup!$D$17)*Setup!$B$9/12,Forecast!G98))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IF(A99="","",IF(94&gt;=N(Setup!$C$17),1,0))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IF(A99="","",IF($B99=1,Forecast!G99-N(Setup!$D$17)*Setup!$B$9/12,Forecast!G99))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IF(A100="","",IF(95&gt;=N(Setup!$C$17),1,0))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IF(A100="","",IF($B100=1,Forecast!G100-N(Setup!$D$17)*Setup!$B$9/12,Forecast!G100))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IF(A101="","",IF(96&gt;=N(Setup!$C$17),1,0))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IF(A101="","",IF($B101=1,Forecast!G101-N(Setup!$D$17)*Setup!$B$9/12,Forecast!G101))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IF(A102="","",IF(97&gt;=N(Setup!$C$17),1,0))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IF(A102="","",IF($B102=1,Forecast!G102-N(Setup!$D$17)*Setup!$B$9/12,Forecast!G102))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IF(A103="","",IF(98&gt;=N(Setup!$C$17),1,0))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IF(A103="","",IF($B103=1,Forecast!G103-N(Setup!$D$17)*Setup!$B$9/12,Forecast!G103))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IF(A104="","",IF(99&gt;=N(Setup!$C$17),1,0))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IF(A104="","",IF($B104=1,Forecast!G104-N(Setup!$D$17)*Setup!$B$9/12,Forecast!G104))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IF(A105="","",IF(100&gt;=N(Setup!$C$17),1,0))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IF(A105="","",IF($B105=1,Forecast!G105-N(Setup!$D$17)*Setup!$B$9/12,Forecast!G105))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IF(A106="","",IF(101&gt;=N(Setup!$C$17),1,0))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IF(A106="","",IF($B106=1,Forecast!G106-N(Setup!$D$17)*Setup!$B$9/12,Forecast!G106))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IF(A107="","",IF(102&gt;=N(Setup!$C$17),1,0))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IF(A107="","",IF($B107=1,Forecast!G107-N(Setup!$D$17)*Setup!$B$9/12,Forecast!G107))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IF(A108="","",IF(103&gt;=N(Setup!$C$17),1,0))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IF(A108="","",IF($B108=1,Forecast!G108-N(Setup!$D$17)*Setup!$B$9/12,Forecast!G108))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IF(A109="","",IF(104&gt;=N(Setup!$C$17),1,0))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IF(A109="","",IF($B109=1,Forecast!G109-N(Setup!$D$17)*Setup!$B$9/12,Forecast!G109))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IF(A110="","",IF(105&gt;=N(Setup!$C$17),1,0))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IF(A110="","",IF($B110=1,Forecast!G110-N(Setup!$D$17)*Setup!$B$9/12,Forecast!G110))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IF(A111="","",IF(106&gt;=N(Setup!$C$17),1,0))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IF(A111="","",IF($B111=1,Forecast!G111-N(Setup!$D$17)*Setup!$B$9/12,Forecast!G111))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IF(A112="","",IF(107&gt;=N(Setup!$C$17),1,0))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IF(A112="","",IF($B112=1,Forecast!G112-N(Setup!$D$17)*Setup!$B$9/12,Forecast!G112))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IF(A113="","",IF(108&gt;=N(Setup!$C$17),1,0))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IF(A113="","",IF($B113=1,Forecast!G113-N(Setup!$D$17)*Setup!$B$9/12,Forecast!G113))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IF(A114="","",IF(109&gt;=N(Setup!$C$17),1,0))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IF(A114="","",IF($B114=1,Forecast!G114-N(Setup!$D$17)*Setup!$B$9/12,Forecast!G114))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IF(A115="","",IF(110&gt;=N(Setup!$C$17),1,0))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IF(A115="","",IF($B115=1,Forecast!G115-N(Setup!$D$17)*Setup!$B$9/12,Forecast!G115))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IF(A116="","",IF(111&gt;=N(Setup!$C$17),1,0))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IF(A116="","",IF($B116=1,Forecast!G116-N(Setup!$D$17)*Setup!$B$9/12,Forecast!G116))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IF(A117="","",IF(112&gt;=N(Setup!$C$17),1,0))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IF(A117="","",IF($B117=1,Forecast!G117-N(Setup!$D$17)*Setup!$B$9/12,Forecast!G117))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IF(A118="","",IF(113&gt;=N(Setup!$C$17),1,0))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IF(A118="","",IF($B118=1,Forecast!G118-N(Setup!$D$17)*Setup!$B$9/12,Forecast!G118))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IF(A119="","",IF(114&gt;=N(Setup!$C$17),1,0))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IF(A119="","",IF($B119=1,Forecast!G119-N(Setup!$D$17)*Setup!$B$9/12,Forecast!G119))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IF(A120="","",IF(115&gt;=N(Setup!$C$17),1,0))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IF(A120="","",IF($B120=1,Forecast!G120-N(Setup!$D$17)*Setup!$B$9/12,Forecast!G120))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IF(A121="","",IF(116&gt;=N(Setup!$C$17),1,0))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IF(A121="","",IF($B121=1,Forecast!G121-N(Setup!$D$17)*Setup!$B$9/12,Forecast!G121))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IF(A122="","",IF(117&gt;=N(Setup!$C$17),1,0))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IF(A122="","",IF($B122=1,Forecast!G122-N(Setup!$D$17)*Setup!$B$9/12,Forecast!G122))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IF(A123="","",IF(118&gt;=N(Setup!$C$17),1,0))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IF(A123="","",IF($B123=1,Forecast!G123-N(Setup!$D$17)*Setup!$B$9/12,Forecast!G123))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IF(A124="","",IF(119&gt;=N(Setup!$C$17),1,0))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IF(A124="","",IF($B124=1,Forecast!G124-N(Setup!$D$17)*Setup!$B$9/12,Forecast!G124))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1</t>
        </is>
      </c>
    </row>
    <row r="2">
      <c r="B2" s="5">
        <f>Setup!B18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IF(A5="","",IF(0&gt;=N(Setup!$C$18),1,0))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IF(A5="","",IF($B5=1,Forecast!G5-N(Setup!$D$18)*Setup!$B$9/12,Forecast!G5))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IF(A6="","",IF(1&gt;=N(Setup!$C$18),1,0))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IF(A6="","",IF($B6=1,Forecast!G6-N(Setup!$D$18)*Setup!$B$9/12,Forecast!G6))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IF(A7="","",IF(2&gt;=N(Setup!$C$18),1,0))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IF(A7="","",IF($B7=1,Forecast!G7-N(Setup!$D$18)*Setup!$B$9/12,Forecast!G7))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IF(A8="","",IF(3&gt;=N(Setup!$C$18),1,0))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IF(A8="","",IF($B8=1,Forecast!G8-N(Setup!$D$18)*Setup!$B$9/12,Forecast!G8))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IF(A9="","",IF(4&gt;=N(Setup!$C$18),1,0))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IF(A9="","",IF($B9=1,Forecast!G9-N(Setup!$D$18)*Setup!$B$9/12,Forecast!G9))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IF(A10="","",IF(5&gt;=N(Setup!$C$18),1,0))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IF(A10="","",IF($B10=1,Forecast!G10-N(Setup!$D$18)*Setup!$B$9/12,Forecast!G10))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IF(A11="","",IF(6&gt;=N(Setup!$C$18),1,0))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IF(A11="","",IF($B11=1,Forecast!G11-N(Setup!$D$18)*Setup!$B$9/12,Forecast!G11))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IF(A12="","",IF(7&gt;=N(Setup!$C$18),1,0))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IF(A12="","",IF($B12=1,Forecast!G12-N(Setup!$D$18)*Setup!$B$9/12,Forecast!G12))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IF(A13="","",IF(8&gt;=N(Setup!$C$18),1,0))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IF(A13="","",IF($B13=1,Forecast!G13-N(Setup!$D$18)*Setup!$B$9/12,Forecast!G13))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IF(A14="","",IF(9&gt;=N(Setup!$C$18),1,0))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IF(A14="","",IF($B14=1,Forecast!G14-N(Setup!$D$18)*Setup!$B$9/12,Forecast!G14))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IF(A15="","",IF(10&gt;=N(Setup!$C$18),1,0))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IF(A15="","",IF($B15=1,Forecast!G15-N(Setup!$D$18)*Setup!$B$9/12,Forecast!G15))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IF(A16="","",IF(11&gt;=N(Setup!$C$18),1,0))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IF(A16="","",IF($B16=1,Forecast!G16-N(Setup!$D$18)*Setup!$B$9/12,Forecast!G16))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IF(A17="","",IF(12&gt;=N(Setup!$C$18),1,0))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IF(A17="","",IF($B17=1,Forecast!G17-N(Setup!$D$18)*Setup!$B$9/12,Forecast!G17))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IF(A18="","",IF(13&gt;=N(Setup!$C$18),1,0))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IF(A18="","",IF($B18=1,Forecast!G18-N(Setup!$D$18)*Setup!$B$9/12,Forecast!G18))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IF(A19="","",IF(14&gt;=N(Setup!$C$18),1,0))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IF(A19="","",IF($B19=1,Forecast!G19-N(Setup!$D$18)*Setup!$B$9/12,Forecast!G19))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IF(A20="","",IF(15&gt;=N(Setup!$C$18),1,0))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IF(A20="","",IF($B20=1,Forecast!G20-N(Setup!$D$18)*Setup!$B$9/12,Forecast!G20))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IF(A21="","",IF(16&gt;=N(Setup!$C$18),1,0))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IF(A21="","",IF($B21=1,Forecast!G21-N(Setup!$D$18)*Setup!$B$9/12,Forecast!G21))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IF(A22="","",IF(17&gt;=N(Setup!$C$18),1,0))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IF(A22="","",IF($B22=1,Forecast!G22-N(Setup!$D$18)*Setup!$B$9/12,Forecast!G22))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IF(A23="","",IF(18&gt;=N(Setup!$C$18),1,0))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IF(A23="","",IF($B23=1,Forecast!G23-N(Setup!$D$18)*Setup!$B$9/12,Forecast!G23))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IF(A24="","",IF(19&gt;=N(Setup!$C$18),1,0))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IF(A24="","",IF($B24=1,Forecast!G24-N(Setup!$D$18)*Setup!$B$9/12,Forecast!G24))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IF(A25="","",IF(20&gt;=N(Setup!$C$18),1,0))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IF(A25="","",IF($B25=1,Forecast!G25-N(Setup!$D$18)*Setup!$B$9/12,Forecast!G25))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IF(A26="","",IF(21&gt;=N(Setup!$C$18),1,0))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IF(A26="","",IF($B26=1,Forecast!G26-N(Setup!$D$18)*Setup!$B$9/12,Forecast!G26))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IF(A27="","",IF(22&gt;=N(Setup!$C$18),1,0))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IF(A27="","",IF($B27=1,Forecast!G27-N(Setup!$D$18)*Setup!$B$9/12,Forecast!G27))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IF(A28="","",IF(23&gt;=N(Setup!$C$18),1,0))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IF(A28="","",IF($B28=1,Forecast!G28-N(Setup!$D$18)*Setup!$B$9/12,Forecast!G28))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IF(A29="","",IF(24&gt;=N(Setup!$C$18),1,0))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IF(A29="","",IF($B29=1,Forecast!G29-N(Setup!$D$18)*Setup!$B$9/12,Forecast!G29))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IF(A30="","",IF(25&gt;=N(Setup!$C$18),1,0))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IF(A30="","",IF($B30=1,Forecast!G30-N(Setup!$D$18)*Setup!$B$9/12,Forecast!G30))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IF(A31="","",IF(26&gt;=N(Setup!$C$18),1,0))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IF(A31="","",IF($B31=1,Forecast!G31-N(Setup!$D$18)*Setup!$B$9/12,Forecast!G31))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IF(A32="","",IF(27&gt;=N(Setup!$C$18),1,0))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IF(A32="","",IF($B32=1,Forecast!G32-N(Setup!$D$18)*Setup!$B$9/12,Forecast!G32))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IF(A33="","",IF(28&gt;=N(Setup!$C$18),1,0))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IF(A33="","",IF($B33=1,Forecast!G33-N(Setup!$D$18)*Setup!$B$9/12,Forecast!G33))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IF(A34="","",IF(29&gt;=N(Setup!$C$18),1,0))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IF(A34="","",IF($B34=1,Forecast!G34-N(Setup!$D$18)*Setup!$B$9/12,Forecast!G34))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IF(A35="","",IF(30&gt;=N(Setup!$C$18),1,0))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IF(A35="","",IF($B35=1,Forecast!G35-N(Setup!$D$18)*Setup!$B$9/12,Forecast!G35))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IF(A36="","",IF(31&gt;=N(Setup!$C$18),1,0))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IF(A36="","",IF($B36=1,Forecast!G36-N(Setup!$D$18)*Setup!$B$9/12,Forecast!G36))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IF(A37="","",IF(32&gt;=N(Setup!$C$18),1,0))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IF(A37="","",IF($B37=1,Forecast!G37-N(Setup!$D$18)*Setup!$B$9/12,Forecast!G37))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IF(A38="","",IF(33&gt;=N(Setup!$C$18),1,0))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IF(A38="","",IF($B38=1,Forecast!G38-N(Setup!$D$18)*Setup!$B$9/12,Forecast!G38))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IF(A39="","",IF(34&gt;=N(Setup!$C$18),1,0))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IF(A39="","",IF($B39=1,Forecast!G39-N(Setup!$D$18)*Setup!$B$9/12,Forecast!G39))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IF(A40="","",IF(35&gt;=N(Setup!$C$18),1,0))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IF(A40="","",IF($B40=1,Forecast!G40-N(Setup!$D$18)*Setup!$B$9/12,Forecast!G40))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IF(A41="","",IF(36&gt;=N(Setup!$C$18),1,0))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IF(A41="","",IF($B41=1,Forecast!G41-N(Setup!$D$18)*Setup!$B$9/12,Forecast!G41))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IF(A42="","",IF(37&gt;=N(Setup!$C$18),1,0))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IF(A42="","",IF($B42=1,Forecast!G42-N(Setup!$D$18)*Setup!$B$9/12,Forecast!G42))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IF(A43="","",IF(38&gt;=N(Setup!$C$18),1,0))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IF(A43="","",IF($B43=1,Forecast!G43-N(Setup!$D$18)*Setup!$B$9/12,Forecast!G43))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IF(A44="","",IF(39&gt;=N(Setup!$C$18),1,0))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IF(A44="","",IF($B44=1,Forecast!G44-N(Setup!$D$18)*Setup!$B$9/12,Forecast!G44))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IF(A45="","",IF(40&gt;=N(Setup!$C$18),1,0))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IF(A45="","",IF($B45=1,Forecast!G45-N(Setup!$D$18)*Setup!$B$9/12,Forecast!G45))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IF(A46="","",IF(41&gt;=N(Setup!$C$18),1,0))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IF(A46="","",IF($B46=1,Forecast!G46-N(Setup!$D$18)*Setup!$B$9/12,Forecast!G46))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IF(A47="","",IF(42&gt;=N(Setup!$C$18),1,0))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IF(A47="","",IF($B47=1,Forecast!G47-N(Setup!$D$18)*Setup!$B$9/12,Forecast!G47))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IF(A48="","",IF(43&gt;=N(Setup!$C$18),1,0))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IF(A48="","",IF($B48=1,Forecast!G48-N(Setup!$D$18)*Setup!$B$9/12,Forecast!G48))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IF(A49="","",IF(44&gt;=N(Setup!$C$18),1,0))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IF(A49="","",IF($B49=1,Forecast!G49-N(Setup!$D$18)*Setup!$B$9/12,Forecast!G49))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IF(A50="","",IF(45&gt;=N(Setup!$C$18),1,0))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IF(A50="","",IF($B50=1,Forecast!G50-N(Setup!$D$18)*Setup!$B$9/12,Forecast!G50))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IF(A51="","",IF(46&gt;=N(Setup!$C$18),1,0))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IF(A51="","",IF($B51=1,Forecast!G51-N(Setup!$D$18)*Setup!$B$9/12,Forecast!G51))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IF(A52="","",IF(47&gt;=N(Setup!$C$18),1,0))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IF(A52="","",IF($B52=1,Forecast!G52-N(Setup!$D$18)*Setup!$B$9/12,Forecast!G52))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IF(A53="","",IF(48&gt;=N(Setup!$C$18),1,0))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IF(A53="","",IF($B53=1,Forecast!G53-N(Setup!$D$18)*Setup!$B$9/12,Forecast!G53))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IF(A54="","",IF(49&gt;=N(Setup!$C$18),1,0))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IF(A54="","",IF($B54=1,Forecast!G54-N(Setup!$D$18)*Setup!$B$9/12,Forecast!G54))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IF(A55="","",IF(50&gt;=N(Setup!$C$18),1,0))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IF(A55="","",IF($B55=1,Forecast!G55-N(Setup!$D$18)*Setup!$B$9/12,Forecast!G55))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IF(A56="","",IF(51&gt;=N(Setup!$C$18),1,0))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IF(A56="","",IF($B56=1,Forecast!G56-N(Setup!$D$18)*Setup!$B$9/12,Forecast!G56))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IF(A57="","",IF(52&gt;=N(Setup!$C$18),1,0))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IF(A57="","",IF($B57=1,Forecast!G57-N(Setup!$D$18)*Setup!$B$9/12,Forecast!G57))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IF(A58="","",IF(53&gt;=N(Setup!$C$18),1,0))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IF(A58="","",IF($B58=1,Forecast!G58-N(Setup!$D$18)*Setup!$B$9/12,Forecast!G58))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IF(A59="","",IF(54&gt;=N(Setup!$C$18),1,0))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IF(A59="","",IF($B59=1,Forecast!G59-N(Setup!$D$18)*Setup!$B$9/12,Forecast!G59))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IF(A60="","",IF(55&gt;=N(Setup!$C$18),1,0))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IF(A60="","",IF($B60=1,Forecast!G60-N(Setup!$D$18)*Setup!$B$9/12,Forecast!G60))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IF(A61="","",IF(56&gt;=N(Setup!$C$18),1,0))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IF(A61="","",IF($B61=1,Forecast!G61-N(Setup!$D$18)*Setup!$B$9/12,Forecast!G61))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IF(A62="","",IF(57&gt;=N(Setup!$C$18),1,0))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IF(A62="","",IF($B62=1,Forecast!G62-N(Setup!$D$18)*Setup!$B$9/12,Forecast!G62))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IF(A63="","",IF(58&gt;=N(Setup!$C$18),1,0))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IF(A63="","",IF($B63=1,Forecast!G63-N(Setup!$D$18)*Setup!$B$9/12,Forecast!G63))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IF(A64="","",IF(59&gt;=N(Setup!$C$18),1,0))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IF(A64="","",IF($B64=1,Forecast!G64-N(Setup!$D$18)*Setup!$B$9/12,Forecast!G64))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IF(A65="","",IF(60&gt;=N(Setup!$C$18),1,0))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IF(A65="","",IF($B65=1,Forecast!G65-N(Setup!$D$18)*Setup!$B$9/12,Forecast!G65))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IF(A66="","",IF(61&gt;=N(Setup!$C$18),1,0))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IF(A66="","",IF($B66=1,Forecast!G66-N(Setup!$D$18)*Setup!$B$9/12,Forecast!G66))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IF(A67="","",IF(62&gt;=N(Setup!$C$18),1,0))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IF(A67="","",IF($B67=1,Forecast!G67-N(Setup!$D$18)*Setup!$B$9/12,Forecast!G67))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IF(A68="","",IF(63&gt;=N(Setup!$C$18),1,0))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IF(A68="","",IF($B68=1,Forecast!G68-N(Setup!$D$18)*Setup!$B$9/12,Forecast!G68))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IF(A69="","",IF(64&gt;=N(Setup!$C$18),1,0))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IF(A69="","",IF($B69=1,Forecast!G69-N(Setup!$D$18)*Setup!$B$9/12,Forecast!G69))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IF(A70="","",IF(65&gt;=N(Setup!$C$18),1,0))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IF(A70="","",IF($B70=1,Forecast!G70-N(Setup!$D$18)*Setup!$B$9/12,Forecast!G70))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IF(A71="","",IF(66&gt;=N(Setup!$C$18),1,0))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IF(A71="","",IF($B71=1,Forecast!G71-N(Setup!$D$18)*Setup!$B$9/12,Forecast!G71))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IF(A72="","",IF(67&gt;=N(Setup!$C$18),1,0))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IF(A72="","",IF($B72=1,Forecast!G72-N(Setup!$D$18)*Setup!$B$9/12,Forecast!G72))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IF(A73="","",IF(68&gt;=N(Setup!$C$18),1,0))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IF(A73="","",IF($B73=1,Forecast!G73-N(Setup!$D$18)*Setup!$B$9/12,Forecast!G73))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IF(A74="","",IF(69&gt;=N(Setup!$C$18),1,0))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IF(A74="","",IF($B74=1,Forecast!G74-N(Setup!$D$18)*Setup!$B$9/12,Forecast!G74))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IF(A75="","",IF(70&gt;=N(Setup!$C$18),1,0))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IF(A75="","",IF($B75=1,Forecast!G75-N(Setup!$D$18)*Setup!$B$9/12,Forecast!G75))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IF(A76="","",IF(71&gt;=N(Setup!$C$18),1,0))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IF(A76="","",IF($B76=1,Forecast!G76-N(Setup!$D$18)*Setup!$B$9/12,Forecast!G76))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IF(A77="","",IF(72&gt;=N(Setup!$C$18),1,0))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IF(A77="","",IF($B77=1,Forecast!G77-N(Setup!$D$18)*Setup!$B$9/12,Forecast!G77))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IF(A78="","",IF(73&gt;=N(Setup!$C$18),1,0))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IF(A78="","",IF($B78=1,Forecast!G78-N(Setup!$D$18)*Setup!$B$9/12,Forecast!G78))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IF(A79="","",IF(74&gt;=N(Setup!$C$18),1,0))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IF(A79="","",IF($B79=1,Forecast!G79-N(Setup!$D$18)*Setup!$B$9/12,Forecast!G79))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IF(A80="","",IF(75&gt;=N(Setup!$C$18),1,0))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IF(A80="","",IF($B80=1,Forecast!G80-N(Setup!$D$18)*Setup!$B$9/12,Forecast!G80))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IF(A81="","",IF(76&gt;=N(Setup!$C$18),1,0))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IF(A81="","",IF($B81=1,Forecast!G81-N(Setup!$D$18)*Setup!$B$9/12,Forecast!G81))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IF(A82="","",IF(77&gt;=N(Setup!$C$18),1,0))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IF(A82="","",IF($B82=1,Forecast!G82-N(Setup!$D$18)*Setup!$B$9/12,Forecast!G82))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IF(A83="","",IF(78&gt;=N(Setup!$C$18),1,0))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IF(A83="","",IF($B83=1,Forecast!G83-N(Setup!$D$18)*Setup!$B$9/12,Forecast!G83))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IF(A84="","",IF(79&gt;=N(Setup!$C$18),1,0))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IF(A84="","",IF($B84=1,Forecast!G84-N(Setup!$D$18)*Setup!$B$9/12,Forecast!G84))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IF(A85="","",IF(80&gt;=N(Setup!$C$18),1,0))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IF(A85="","",IF($B85=1,Forecast!G85-N(Setup!$D$18)*Setup!$B$9/12,Forecast!G85))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IF(A86="","",IF(81&gt;=N(Setup!$C$18),1,0))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IF(A86="","",IF($B86=1,Forecast!G86-N(Setup!$D$18)*Setup!$B$9/12,Forecast!G86))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IF(A87="","",IF(82&gt;=N(Setup!$C$18),1,0))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IF(A87="","",IF($B87=1,Forecast!G87-N(Setup!$D$18)*Setup!$B$9/12,Forecast!G87))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IF(A88="","",IF(83&gt;=N(Setup!$C$18),1,0))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IF(A88="","",IF($B88=1,Forecast!G88-N(Setup!$D$18)*Setup!$B$9/12,Forecast!G88))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IF(A89="","",IF(84&gt;=N(Setup!$C$18),1,0))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IF(A89="","",IF($B89=1,Forecast!G89-N(Setup!$D$18)*Setup!$B$9/12,Forecast!G89))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IF(A90="","",IF(85&gt;=N(Setup!$C$18),1,0))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IF(A90="","",IF($B90=1,Forecast!G90-N(Setup!$D$18)*Setup!$B$9/12,Forecast!G90))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IF(A91="","",IF(86&gt;=N(Setup!$C$18),1,0))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IF(A91="","",IF($B91=1,Forecast!G91-N(Setup!$D$18)*Setup!$B$9/12,Forecast!G91))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IF(A92="","",IF(87&gt;=N(Setup!$C$18),1,0))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IF(A92="","",IF($B92=1,Forecast!G92-N(Setup!$D$18)*Setup!$B$9/12,Forecast!G92))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IF(A93="","",IF(88&gt;=N(Setup!$C$18),1,0))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IF(A93="","",IF($B93=1,Forecast!G93-N(Setup!$D$18)*Setup!$B$9/12,Forecast!G93))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IF(A94="","",IF(89&gt;=N(Setup!$C$18),1,0))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IF(A94="","",IF($B94=1,Forecast!G94-N(Setup!$D$18)*Setup!$B$9/12,Forecast!G94))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IF(A95="","",IF(90&gt;=N(Setup!$C$18),1,0))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IF(A95="","",IF($B95=1,Forecast!G95-N(Setup!$D$18)*Setup!$B$9/12,Forecast!G95))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IF(A96="","",IF(91&gt;=N(Setup!$C$18),1,0))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IF(A96="","",IF($B96=1,Forecast!G96-N(Setup!$D$18)*Setup!$B$9/12,Forecast!G96))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IF(A97="","",IF(92&gt;=N(Setup!$C$18),1,0))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IF(A97="","",IF($B97=1,Forecast!G97-N(Setup!$D$18)*Setup!$B$9/12,Forecast!G97))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IF(A98="","",IF(93&gt;=N(Setup!$C$18),1,0))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IF(A98="","",IF($B98=1,Forecast!G98-N(Setup!$D$18)*Setup!$B$9/12,Forecast!G98))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IF(A99="","",IF(94&gt;=N(Setup!$C$18),1,0))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IF(A99="","",IF($B99=1,Forecast!G99-N(Setup!$D$18)*Setup!$B$9/12,Forecast!G99))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IF(A100="","",IF(95&gt;=N(Setup!$C$18),1,0))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IF(A100="","",IF($B100=1,Forecast!G100-N(Setup!$D$18)*Setup!$B$9/12,Forecast!G100))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IF(A101="","",IF(96&gt;=N(Setup!$C$18),1,0))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IF(A101="","",IF($B101=1,Forecast!G101-N(Setup!$D$18)*Setup!$B$9/12,Forecast!G101))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IF(A102="","",IF(97&gt;=N(Setup!$C$18),1,0))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IF(A102="","",IF($B102=1,Forecast!G102-N(Setup!$D$18)*Setup!$B$9/12,Forecast!G102))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IF(A103="","",IF(98&gt;=N(Setup!$C$18),1,0))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IF(A103="","",IF($B103=1,Forecast!G103-N(Setup!$D$18)*Setup!$B$9/12,Forecast!G103))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IF(A104="","",IF(99&gt;=N(Setup!$C$18),1,0))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IF(A104="","",IF($B104=1,Forecast!G104-N(Setup!$D$18)*Setup!$B$9/12,Forecast!G104))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IF(A105="","",IF(100&gt;=N(Setup!$C$18),1,0))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IF(A105="","",IF($B105=1,Forecast!G105-N(Setup!$D$18)*Setup!$B$9/12,Forecast!G105))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IF(A106="","",IF(101&gt;=N(Setup!$C$18),1,0))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IF(A106="","",IF($B106=1,Forecast!G106-N(Setup!$D$18)*Setup!$B$9/12,Forecast!G106))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IF(A107="","",IF(102&gt;=N(Setup!$C$18),1,0))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IF(A107="","",IF($B107=1,Forecast!G107-N(Setup!$D$18)*Setup!$B$9/12,Forecast!G107))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IF(A108="","",IF(103&gt;=N(Setup!$C$18),1,0))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IF(A108="","",IF($B108=1,Forecast!G108-N(Setup!$D$18)*Setup!$B$9/12,Forecast!G108))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IF(A109="","",IF(104&gt;=N(Setup!$C$18),1,0))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IF(A109="","",IF($B109=1,Forecast!G109-N(Setup!$D$18)*Setup!$B$9/12,Forecast!G109))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IF(A110="","",IF(105&gt;=N(Setup!$C$18),1,0))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IF(A110="","",IF($B110=1,Forecast!G110-N(Setup!$D$18)*Setup!$B$9/12,Forecast!G110))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IF(A111="","",IF(106&gt;=N(Setup!$C$18),1,0))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IF(A111="","",IF($B111=1,Forecast!G111-N(Setup!$D$18)*Setup!$B$9/12,Forecast!G111))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IF(A112="","",IF(107&gt;=N(Setup!$C$18),1,0))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IF(A112="","",IF($B112=1,Forecast!G112-N(Setup!$D$18)*Setup!$B$9/12,Forecast!G112))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IF(A113="","",IF(108&gt;=N(Setup!$C$18),1,0))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IF(A113="","",IF($B113=1,Forecast!G113-N(Setup!$D$18)*Setup!$B$9/12,Forecast!G113))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IF(A114="","",IF(109&gt;=N(Setup!$C$18),1,0))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IF(A114="","",IF($B114=1,Forecast!G114-N(Setup!$D$18)*Setup!$B$9/12,Forecast!G114))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IF(A115="","",IF(110&gt;=N(Setup!$C$18),1,0))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IF(A115="","",IF($B115=1,Forecast!G115-N(Setup!$D$18)*Setup!$B$9/12,Forecast!G115))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IF(A116="","",IF(111&gt;=N(Setup!$C$18),1,0))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IF(A116="","",IF($B116=1,Forecast!G116-N(Setup!$D$18)*Setup!$B$9/12,Forecast!G116))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IF(A117="","",IF(112&gt;=N(Setup!$C$18),1,0))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IF(A117="","",IF($B117=1,Forecast!G117-N(Setup!$D$18)*Setup!$B$9/12,Forecast!G117))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IF(A118="","",IF(113&gt;=N(Setup!$C$18),1,0))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IF(A118="","",IF($B118=1,Forecast!G118-N(Setup!$D$18)*Setup!$B$9/12,Forecast!G118))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IF(A119="","",IF(114&gt;=N(Setup!$C$18),1,0))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IF(A119="","",IF($B119=1,Forecast!G119-N(Setup!$D$18)*Setup!$B$9/12,Forecast!G119))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IF(A120="","",IF(115&gt;=N(Setup!$C$18),1,0))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IF(A120="","",IF($B120=1,Forecast!G120-N(Setup!$D$18)*Setup!$B$9/12,Forecast!G120))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IF(A121="","",IF(116&gt;=N(Setup!$C$18),1,0))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IF(A121="","",IF($B121=1,Forecast!G121-N(Setup!$D$18)*Setup!$B$9/12,Forecast!G121))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IF(A122="","",IF(117&gt;=N(Setup!$C$18),1,0))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IF(A122="","",IF($B122=1,Forecast!G122-N(Setup!$D$18)*Setup!$B$9/12,Forecast!G122))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IF(A123="","",IF(118&gt;=N(Setup!$C$18),1,0))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IF(A123="","",IF($B123=1,Forecast!G123-N(Setup!$D$18)*Setup!$B$9/12,Forecast!G123))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IF(A124="","",IF(119&gt;=N(Setup!$C$18),1,0))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IF(A124="","",IF($B124=1,Forecast!G124-N(Setup!$D$18)*Setup!$B$9/12,Forecast!G124))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2</t>
        </is>
      </c>
    </row>
    <row r="2">
      <c r="B2" s="5">
        <f>Setup!B19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IF(A5="","",IF(0&gt;=N(Setup!$C$19),1,0))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IF(A5="","",IF($B5=1,Forecast!G5-N(Setup!$D$19)*Setup!$B$9/12,Forecast!G5))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IF(A6="","",IF(1&gt;=N(Setup!$C$19),1,0))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IF(A6="","",IF($B6=1,Forecast!G6-N(Setup!$D$19)*Setup!$B$9/12,Forecast!G6))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IF(A7="","",IF(2&gt;=N(Setup!$C$19),1,0))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IF(A7="","",IF($B7=1,Forecast!G7-N(Setup!$D$19)*Setup!$B$9/12,Forecast!G7))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IF(A8="","",IF(3&gt;=N(Setup!$C$19),1,0))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IF(A8="","",IF($B8=1,Forecast!G8-N(Setup!$D$19)*Setup!$B$9/12,Forecast!G8))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IF(A9="","",IF(4&gt;=N(Setup!$C$19),1,0))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IF(A9="","",IF($B9=1,Forecast!G9-N(Setup!$D$19)*Setup!$B$9/12,Forecast!G9))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IF(A10="","",IF(5&gt;=N(Setup!$C$19),1,0))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IF(A10="","",IF($B10=1,Forecast!G10-N(Setup!$D$19)*Setup!$B$9/12,Forecast!G10))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IF(A11="","",IF(6&gt;=N(Setup!$C$19),1,0))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IF(A11="","",IF($B11=1,Forecast!G11-N(Setup!$D$19)*Setup!$B$9/12,Forecast!G11))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IF(A12="","",IF(7&gt;=N(Setup!$C$19),1,0))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IF(A12="","",IF($B12=1,Forecast!G12-N(Setup!$D$19)*Setup!$B$9/12,Forecast!G12))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IF(A13="","",IF(8&gt;=N(Setup!$C$19),1,0))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IF(A13="","",IF($B13=1,Forecast!G13-N(Setup!$D$19)*Setup!$B$9/12,Forecast!G13))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IF(A14="","",IF(9&gt;=N(Setup!$C$19),1,0))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IF(A14="","",IF($B14=1,Forecast!G14-N(Setup!$D$19)*Setup!$B$9/12,Forecast!G14))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IF(A15="","",IF(10&gt;=N(Setup!$C$19),1,0))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IF(A15="","",IF($B15=1,Forecast!G15-N(Setup!$D$19)*Setup!$B$9/12,Forecast!G15))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IF(A16="","",IF(11&gt;=N(Setup!$C$19),1,0))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IF(A16="","",IF($B16=1,Forecast!G16-N(Setup!$D$19)*Setup!$B$9/12,Forecast!G16))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IF(A17="","",IF(12&gt;=N(Setup!$C$19),1,0))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IF(A17="","",IF($B17=1,Forecast!G17-N(Setup!$D$19)*Setup!$B$9/12,Forecast!G17))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IF(A18="","",IF(13&gt;=N(Setup!$C$19),1,0))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IF(A18="","",IF($B18=1,Forecast!G18-N(Setup!$D$19)*Setup!$B$9/12,Forecast!G18))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IF(A19="","",IF(14&gt;=N(Setup!$C$19),1,0))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IF(A19="","",IF($B19=1,Forecast!G19-N(Setup!$D$19)*Setup!$B$9/12,Forecast!G19))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IF(A20="","",IF(15&gt;=N(Setup!$C$19),1,0))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IF(A20="","",IF($B20=1,Forecast!G20-N(Setup!$D$19)*Setup!$B$9/12,Forecast!G20))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IF(A21="","",IF(16&gt;=N(Setup!$C$19),1,0))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IF(A21="","",IF($B21=1,Forecast!G21-N(Setup!$D$19)*Setup!$B$9/12,Forecast!G21))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IF(A22="","",IF(17&gt;=N(Setup!$C$19),1,0))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IF(A22="","",IF($B22=1,Forecast!G22-N(Setup!$D$19)*Setup!$B$9/12,Forecast!G22))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IF(A23="","",IF(18&gt;=N(Setup!$C$19),1,0))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IF(A23="","",IF($B23=1,Forecast!G23-N(Setup!$D$19)*Setup!$B$9/12,Forecast!G23))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IF(A24="","",IF(19&gt;=N(Setup!$C$19),1,0))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IF(A24="","",IF($B24=1,Forecast!G24-N(Setup!$D$19)*Setup!$B$9/12,Forecast!G24))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IF(A25="","",IF(20&gt;=N(Setup!$C$19),1,0))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IF(A25="","",IF($B25=1,Forecast!G25-N(Setup!$D$19)*Setup!$B$9/12,Forecast!G25))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IF(A26="","",IF(21&gt;=N(Setup!$C$19),1,0))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IF(A26="","",IF($B26=1,Forecast!G26-N(Setup!$D$19)*Setup!$B$9/12,Forecast!G26))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IF(A27="","",IF(22&gt;=N(Setup!$C$19),1,0))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IF(A27="","",IF($B27=1,Forecast!G27-N(Setup!$D$19)*Setup!$B$9/12,Forecast!G27))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IF(A28="","",IF(23&gt;=N(Setup!$C$19),1,0))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IF(A28="","",IF($B28=1,Forecast!G28-N(Setup!$D$19)*Setup!$B$9/12,Forecast!G28))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IF(A29="","",IF(24&gt;=N(Setup!$C$19),1,0))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IF(A29="","",IF($B29=1,Forecast!G29-N(Setup!$D$19)*Setup!$B$9/12,Forecast!G29))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IF(A30="","",IF(25&gt;=N(Setup!$C$19),1,0))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IF(A30="","",IF($B30=1,Forecast!G30-N(Setup!$D$19)*Setup!$B$9/12,Forecast!G30))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IF(A31="","",IF(26&gt;=N(Setup!$C$19),1,0))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IF(A31="","",IF($B31=1,Forecast!G31-N(Setup!$D$19)*Setup!$B$9/12,Forecast!G31))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IF(A32="","",IF(27&gt;=N(Setup!$C$19),1,0))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IF(A32="","",IF($B32=1,Forecast!G32-N(Setup!$D$19)*Setup!$B$9/12,Forecast!G32))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IF(A33="","",IF(28&gt;=N(Setup!$C$19),1,0))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IF(A33="","",IF($B33=1,Forecast!G33-N(Setup!$D$19)*Setup!$B$9/12,Forecast!G33))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IF(A34="","",IF(29&gt;=N(Setup!$C$19),1,0))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IF(A34="","",IF($B34=1,Forecast!G34-N(Setup!$D$19)*Setup!$B$9/12,Forecast!G34))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IF(A35="","",IF(30&gt;=N(Setup!$C$19),1,0))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IF(A35="","",IF($B35=1,Forecast!G35-N(Setup!$D$19)*Setup!$B$9/12,Forecast!G35))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IF(A36="","",IF(31&gt;=N(Setup!$C$19),1,0))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IF(A36="","",IF($B36=1,Forecast!G36-N(Setup!$D$19)*Setup!$B$9/12,Forecast!G36))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IF(A37="","",IF(32&gt;=N(Setup!$C$19),1,0))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IF(A37="","",IF($B37=1,Forecast!G37-N(Setup!$D$19)*Setup!$B$9/12,Forecast!G37))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IF(A38="","",IF(33&gt;=N(Setup!$C$19),1,0))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IF(A38="","",IF($B38=1,Forecast!G38-N(Setup!$D$19)*Setup!$B$9/12,Forecast!G38))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IF(A39="","",IF(34&gt;=N(Setup!$C$19),1,0))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IF(A39="","",IF($B39=1,Forecast!G39-N(Setup!$D$19)*Setup!$B$9/12,Forecast!G39))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IF(A40="","",IF(35&gt;=N(Setup!$C$19),1,0))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IF(A40="","",IF($B40=1,Forecast!G40-N(Setup!$D$19)*Setup!$B$9/12,Forecast!G40))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IF(A41="","",IF(36&gt;=N(Setup!$C$19),1,0))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IF(A41="","",IF($B41=1,Forecast!G41-N(Setup!$D$19)*Setup!$B$9/12,Forecast!G41))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IF(A42="","",IF(37&gt;=N(Setup!$C$19),1,0))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IF(A42="","",IF($B42=1,Forecast!G42-N(Setup!$D$19)*Setup!$B$9/12,Forecast!G42))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IF(A43="","",IF(38&gt;=N(Setup!$C$19),1,0))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IF(A43="","",IF($B43=1,Forecast!G43-N(Setup!$D$19)*Setup!$B$9/12,Forecast!G43))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IF(A44="","",IF(39&gt;=N(Setup!$C$19),1,0))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IF(A44="","",IF($B44=1,Forecast!G44-N(Setup!$D$19)*Setup!$B$9/12,Forecast!G44))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IF(A45="","",IF(40&gt;=N(Setup!$C$19),1,0))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IF(A45="","",IF($B45=1,Forecast!G45-N(Setup!$D$19)*Setup!$B$9/12,Forecast!G45))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IF(A46="","",IF(41&gt;=N(Setup!$C$19),1,0))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IF(A46="","",IF($B46=1,Forecast!G46-N(Setup!$D$19)*Setup!$B$9/12,Forecast!G46))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IF(A47="","",IF(42&gt;=N(Setup!$C$19),1,0))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IF(A47="","",IF($B47=1,Forecast!G47-N(Setup!$D$19)*Setup!$B$9/12,Forecast!G47))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IF(A48="","",IF(43&gt;=N(Setup!$C$19),1,0))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IF(A48="","",IF($B48=1,Forecast!G48-N(Setup!$D$19)*Setup!$B$9/12,Forecast!G48))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IF(A49="","",IF(44&gt;=N(Setup!$C$19),1,0))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IF(A49="","",IF($B49=1,Forecast!G49-N(Setup!$D$19)*Setup!$B$9/12,Forecast!G49))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IF(A50="","",IF(45&gt;=N(Setup!$C$19),1,0))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IF(A50="","",IF($B50=1,Forecast!G50-N(Setup!$D$19)*Setup!$B$9/12,Forecast!G50))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IF(A51="","",IF(46&gt;=N(Setup!$C$19),1,0))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IF(A51="","",IF($B51=1,Forecast!G51-N(Setup!$D$19)*Setup!$B$9/12,Forecast!G51))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IF(A52="","",IF(47&gt;=N(Setup!$C$19),1,0))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IF(A52="","",IF($B52=1,Forecast!G52-N(Setup!$D$19)*Setup!$B$9/12,Forecast!G52))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IF(A53="","",IF(48&gt;=N(Setup!$C$19),1,0))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IF(A53="","",IF($B53=1,Forecast!G53-N(Setup!$D$19)*Setup!$B$9/12,Forecast!G53))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IF(A54="","",IF(49&gt;=N(Setup!$C$19),1,0))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IF(A54="","",IF($B54=1,Forecast!G54-N(Setup!$D$19)*Setup!$B$9/12,Forecast!G54))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IF(A55="","",IF(50&gt;=N(Setup!$C$19),1,0))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IF(A55="","",IF($B55=1,Forecast!G55-N(Setup!$D$19)*Setup!$B$9/12,Forecast!G55))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IF(A56="","",IF(51&gt;=N(Setup!$C$19),1,0))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IF(A56="","",IF($B56=1,Forecast!G56-N(Setup!$D$19)*Setup!$B$9/12,Forecast!G56))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IF(A57="","",IF(52&gt;=N(Setup!$C$19),1,0))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IF(A57="","",IF($B57=1,Forecast!G57-N(Setup!$D$19)*Setup!$B$9/12,Forecast!G57))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IF(A58="","",IF(53&gt;=N(Setup!$C$19),1,0))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IF(A58="","",IF($B58=1,Forecast!G58-N(Setup!$D$19)*Setup!$B$9/12,Forecast!G58))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IF(A59="","",IF(54&gt;=N(Setup!$C$19),1,0))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IF(A59="","",IF($B59=1,Forecast!G59-N(Setup!$D$19)*Setup!$B$9/12,Forecast!G59))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IF(A60="","",IF(55&gt;=N(Setup!$C$19),1,0))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IF(A60="","",IF($B60=1,Forecast!G60-N(Setup!$D$19)*Setup!$B$9/12,Forecast!G60))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IF(A61="","",IF(56&gt;=N(Setup!$C$19),1,0))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IF(A61="","",IF($B61=1,Forecast!G61-N(Setup!$D$19)*Setup!$B$9/12,Forecast!G61))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IF(A62="","",IF(57&gt;=N(Setup!$C$19),1,0))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IF(A62="","",IF($B62=1,Forecast!G62-N(Setup!$D$19)*Setup!$B$9/12,Forecast!G62))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IF(A63="","",IF(58&gt;=N(Setup!$C$19),1,0))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IF(A63="","",IF($B63=1,Forecast!G63-N(Setup!$D$19)*Setup!$B$9/12,Forecast!G63))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IF(A64="","",IF(59&gt;=N(Setup!$C$19),1,0))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IF(A64="","",IF($B64=1,Forecast!G64-N(Setup!$D$19)*Setup!$B$9/12,Forecast!G64))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IF(A65="","",IF(60&gt;=N(Setup!$C$19),1,0))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IF(A65="","",IF($B65=1,Forecast!G65-N(Setup!$D$19)*Setup!$B$9/12,Forecast!G65))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IF(A66="","",IF(61&gt;=N(Setup!$C$19),1,0))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IF(A66="","",IF($B66=1,Forecast!G66-N(Setup!$D$19)*Setup!$B$9/12,Forecast!G66))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IF(A67="","",IF(62&gt;=N(Setup!$C$19),1,0))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IF(A67="","",IF($B67=1,Forecast!G67-N(Setup!$D$19)*Setup!$B$9/12,Forecast!G67))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IF(A68="","",IF(63&gt;=N(Setup!$C$19),1,0))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IF(A68="","",IF($B68=1,Forecast!G68-N(Setup!$D$19)*Setup!$B$9/12,Forecast!G68))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IF(A69="","",IF(64&gt;=N(Setup!$C$19),1,0))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IF(A69="","",IF($B69=1,Forecast!G69-N(Setup!$D$19)*Setup!$B$9/12,Forecast!G69))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IF(A70="","",IF(65&gt;=N(Setup!$C$19),1,0))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IF(A70="","",IF($B70=1,Forecast!G70-N(Setup!$D$19)*Setup!$B$9/12,Forecast!G70))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IF(A71="","",IF(66&gt;=N(Setup!$C$19),1,0))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IF(A71="","",IF($B71=1,Forecast!G71-N(Setup!$D$19)*Setup!$B$9/12,Forecast!G71))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IF(A72="","",IF(67&gt;=N(Setup!$C$19),1,0))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IF(A72="","",IF($B72=1,Forecast!G72-N(Setup!$D$19)*Setup!$B$9/12,Forecast!G72))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IF(A73="","",IF(68&gt;=N(Setup!$C$19),1,0))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IF(A73="","",IF($B73=1,Forecast!G73-N(Setup!$D$19)*Setup!$B$9/12,Forecast!G73))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IF(A74="","",IF(69&gt;=N(Setup!$C$19),1,0))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IF(A74="","",IF($B74=1,Forecast!G74-N(Setup!$D$19)*Setup!$B$9/12,Forecast!G74))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IF(A75="","",IF(70&gt;=N(Setup!$C$19),1,0))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IF(A75="","",IF($B75=1,Forecast!G75-N(Setup!$D$19)*Setup!$B$9/12,Forecast!G75))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IF(A76="","",IF(71&gt;=N(Setup!$C$19),1,0))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IF(A76="","",IF($B76=1,Forecast!G76-N(Setup!$D$19)*Setup!$B$9/12,Forecast!G76))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IF(A77="","",IF(72&gt;=N(Setup!$C$19),1,0))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IF(A77="","",IF($B77=1,Forecast!G77-N(Setup!$D$19)*Setup!$B$9/12,Forecast!G77))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IF(A78="","",IF(73&gt;=N(Setup!$C$19),1,0))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IF(A78="","",IF($B78=1,Forecast!G78-N(Setup!$D$19)*Setup!$B$9/12,Forecast!G78))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IF(A79="","",IF(74&gt;=N(Setup!$C$19),1,0))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IF(A79="","",IF($B79=1,Forecast!G79-N(Setup!$D$19)*Setup!$B$9/12,Forecast!G79))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IF(A80="","",IF(75&gt;=N(Setup!$C$19),1,0))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IF(A80="","",IF($B80=1,Forecast!G80-N(Setup!$D$19)*Setup!$B$9/12,Forecast!G80))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IF(A81="","",IF(76&gt;=N(Setup!$C$19),1,0))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IF(A81="","",IF($B81=1,Forecast!G81-N(Setup!$D$19)*Setup!$B$9/12,Forecast!G81))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IF(A82="","",IF(77&gt;=N(Setup!$C$19),1,0))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IF(A82="","",IF($B82=1,Forecast!G82-N(Setup!$D$19)*Setup!$B$9/12,Forecast!G82))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IF(A83="","",IF(78&gt;=N(Setup!$C$19),1,0))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IF(A83="","",IF($B83=1,Forecast!G83-N(Setup!$D$19)*Setup!$B$9/12,Forecast!G83))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IF(A84="","",IF(79&gt;=N(Setup!$C$19),1,0))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IF(A84="","",IF($B84=1,Forecast!G84-N(Setup!$D$19)*Setup!$B$9/12,Forecast!G84))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IF(A85="","",IF(80&gt;=N(Setup!$C$19),1,0))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IF(A85="","",IF($B85=1,Forecast!G85-N(Setup!$D$19)*Setup!$B$9/12,Forecast!G85))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IF(A86="","",IF(81&gt;=N(Setup!$C$19),1,0))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IF(A86="","",IF($B86=1,Forecast!G86-N(Setup!$D$19)*Setup!$B$9/12,Forecast!G86))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IF(A87="","",IF(82&gt;=N(Setup!$C$19),1,0))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IF(A87="","",IF($B87=1,Forecast!G87-N(Setup!$D$19)*Setup!$B$9/12,Forecast!G87))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IF(A88="","",IF(83&gt;=N(Setup!$C$19),1,0))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IF(A88="","",IF($B88=1,Forecast!G88-N(Setup!$D$19)*Setup!$B$9/12,Forecast!G88))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IF(A89="","",IF(84&gt;=N(Setup!$C$19),1,0))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IF(A89="","",IF($B89=1,Forecast!G89-N(Setup!$D$19)*Setup!$B$9/12,Forecast!G89))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IF(A90="","",IF(85&gt;=N(Setup!$C$19),1,0))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IF(A90="","",IF($B90=1,Forecast!G90-N(Setup!$D$19)*Setup!$B$9/12,Forecast!G90))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IF(A91="","",IF(86&gt;=N(Setup!$C$19),1,0))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IF(A91="","",IF($B91=1,Forecast!G91-N(Setup!$D$19)*Setup!$B$9/12,Forecast!G91))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IF(A92="","",IF(87&gt;=N(Setup!$C$19),1,0))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IF(A92="","",IF($B92=1,Forecast!G92-N(Setup!$D$19)*Setup!$B$9/12,Forecast!G92))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IF(A93="","",IF(88&gt;=N(Setup!$C$19),1,0))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IF(A93="","",IF($B93=1,Forecast!G93-N(Setup!$D$19)*Setup!$B$9/12,Forecast!G93))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IF(A94="","",IF(89&gt;=N(Setup!$C$19),1,0))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IF(A94="","",IF($B94=1,Forecast!G94-N(Setup!$D$19)*Setup!$B$9/12,Forecast!G94))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IF(A95="","",IF(90&gt;=N(Setup!$C$19),1,0))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IF(A95="","",IF($B95=1,Forecast!G95-N(Setup!$D$19)*Setup!$B$9/12,Forecast!G95))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IF(A96="","",IF(91&gt;=N(Setup!$C$19),1,0))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IF(A96="","",IF($B96=1,Forecast!G96-N(Setup!$D$19)*Setup!$B$9/12,Forecast!G96))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IF(A97="","",IF(92&gt;=N(Setup!$C$19),1,0))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IF(A97="","",IF($B97=1,Forecast!G97-N(Setup!$D$19)*Setup!$B$9/12,Forecast!G97))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IF(A98="","",IF(93&gt;=N(Setup!$C$19),1,0))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IF(A98="","",IF($B98=1,Forecast!G98-N(Setup!$D$19)*Setup!$B$9/12,Forecast!G98))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IF(A99="","",IF(94&gt;=N(Setup!$C$19),1,0))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IF(A99="","",IF($B99=1,Forecast!G99-N(Setup!$D$19)*Setup!$B$9/12,Forecast!G99))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IF(A100="","",IF(95&gt;=N(Setup!$C$19),1,0))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IF(A100="","",IF($B100=1,Forecast!G100-N(Setup!$D$19)*Setup!$B$9/12,Forecast!G100))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IF(A101="","",IF(96&gt;=N(Setup!$C$19),1,0))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IF(A101="","",IF($B101=1,Forecast!G101-N(Setup!$D$19)*Setup!$B$9/12,Forecast!G101))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IF(A102="","",IF(97&gt;=N(Setup!$C$19),1,0))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IF(A102="","",IF($B102=1,Forecast!G102-N(Setup!$D$19)*Setup!$B$9/12,Forecast!G102))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IF(A103="","",IF(98&gt;=N(Setup!$C$19),1,0))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IF(A103="","",IF($B103=1,Forecast!G103-N(Setup!$D$19)*Setup!$B$9/12,Forecast!G103))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IF(A104="","",IF(99&gt;=N(Setup!$C$19),1,0))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IF(A104="","",IF($B104=1,Forecast!G104-N(Setup!$D$19)*Setup!$B$9/12,Forecast!G104))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IF(A105="","",IF(100&gt;=N(Setup!$C$19),1,0))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IF(A105="","",IF($B105=1,Forecast!G105-N(Setup!$D$19)*Setup!$B$9/12,Forecast!G105))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IF(A106="","",IF(101&gt;=N(Setup!$C$19),1,0))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IF(A106="","",IF($B106=1,Forecast!G106-N(Setup!$D$19)*Setup!$B$9/12,Forecast!G106))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IF(A107="","",IF(102&gt;=N(Setup!$C$19),1,0))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IF(A107="","",IF($B107=1,Forecast!G107-N(Setup!$D$19)*Setup!$B$9/12,Forecast!G107))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IF(A108="","",IF(103&gt;=N(Setup!$C$19),1,0))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IF(A108="","",IF($B108=1,Forecast!G108-N(Setup!$D$19)*Setup!$B$9/12,Forecast!G108))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IF(A109="","",IF(104&gt;=N(Setup!$C$19),1,0))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IF(A109="","",IF($B109=1,Forecast!G109-N(Setup!$D$19)*Setup!$B$9/12,Forecast!G109))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IF(A110="","",IF(105&gt;=N(Setup!$C$19),1,0))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IF(A110="","",IF($B110=1,Forecast!G110-N(Setup!$D$19)*Setup!$B$9/12,Forecast!G110))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IF(A111="","",IF(106&gt;=N(Setup!$C$19),1,0))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IF(A111="","",IF($B111=1,Forecast!G111-N(Setup!$D$19)*Setup!$B$9/12,Forecast!G111))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IF(A112="","",IF(107&gt;=N(Setup!$C$19),1,0))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IF(A112="","",IF($B112=1,Forecast!G112-N(Setup!$D$19)*Setup!$B$9/12,Forecast!G112))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IF(A113="","",IF(108&gt;=N(Setup!$C$19),1,0))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IF(A113="","",IF($B113=1,Forecast!G113-N(Setup!$D$19)*Setup!$B$9/12,Forecast!G113))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IF(A114="","",IF(109&gt;=N(Setup!$C$19),1,0))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IF(A114="","",IF($B114=1,Forecast!G114-N(Setup!$D$19)*Setup!$B$9/12,Forecast!G114))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IF(A115="","",IF(110&gt;=N(Setup!$C$19),1,0))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IF(A115="","",IF($B115=1,Forecast!G115-N(Setup!$D$19)*Setup!$B$9/12,Forecast!G115))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IF(A116="","",IF(111&gt;=N(Setup!$C$19),1,0))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IF(A116="","",IF($B116=1,Forecast!G116-N(Setup!$D$19)*Setup!$B$9/12,Forecast!G116))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IF(A117="","",IF(112&gt;=N(Setup!$C$19),1,0))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IF(A117="","",IF($B117=1,Forecast!G117-N(Setup!$D$19)*Setup!$B$9/12,Forecast!G117))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IF(A118="","",IF(113&gt;=N(Setup!$C$19),1,0))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IF(A118="","",IF($B118=1,Forecast!G118-N(Setup!$D$19)*Setup!$B$9/12,Forecast!G118))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IF(A119="","",IF(114&gt;=N(Setup!$C$19),1,0))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IF(A119="","",IF($B119=1,Forecast!G119-N(Setup!$D$19)*Setup!$B$9/12,Forecast!G119))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IF(A120="","",IF(115&gt;=N(Setup!$C$19),1,0))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IF(A120="","",IF($B120=1,Forecast!G120-N(Setup!$D$19)*Setup!$B$9/12,Forecast!G120))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IF(A121="","",IF(116&gt;=N(Setup!$C$19),1,0))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IF(A121="","",IF($B121=1,Forecast!G121-N(Setup!$D$19)*Setup!$B$9/12,Forecast!G121))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IF(A122="","",IF(117&gt;=N(Setup!$C$19),1,0))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IF(A122="","",IF($B122=1,Forecast!G122-N(Setup!$D$19)*Setup!$B$9/12,Forecast!G122))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IF(A123="","",IF(118&gt;=N(Setup!$C$19),1,0))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IF(A123="","",IF($B123=1,Forecast!G123-N(Setup!$D$19)*Setup!$B$9/12,Forecast!G123))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IF(A124="","",IF(119&gt;=N(Setup!$C$19),1,0))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IF(A124="","",IF($B124=1,Forecast!G124-N(Setup!$D$19)*Setup!$B$9/12,Forecast!G124))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3</t>
        </is>
      </c>
    </row>
    <row r="2">
      <c r="B2" s="5">
        <f>Setup!B20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IF(A5="","",IF(0&gt;=N(Setup!$C$20),1,0))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IF(A5="","",IF($B5=1,Forecast!G5-N(Setup!$D$20)*Setup!$B$9/12,Forecast!G5))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IF(A6="","",IF(1&gt;=N(Setup!$C$20),1,0))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IF(A6="","",IF($B6=1,Forecast!G6-N(Setup!$D$20)*Setup!$B$9/12,Forecast!G6))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IF(A7="","",IF(2&gt;=N(Setup!$C$20),1,0))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IF(A7="","",IF($B7=1,Forecast!G7-N(Setup!$D$20)*Setup!$B$9/12,Forecast!G7))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IF(A8="","",IF(3&gt;=N(Setup!$C$20),1,0))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IF(A8="","",IF($B8=1,Forecast!G8-N(Setup!$D$20)*Setup!$B$9/12,Forecast!G8))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IF(A9="","",IF(4&gt;=N(Setup!$C$20),1,0))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IF(A9="","",IF($B9=1,Forecast!G9-N(Setup!$D$20)*Setup!$B$9/12,Forecast!G9))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IF(A10="","",IF(5&gt;=N(Setup!$C$20),1,0))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IF(A10="","",IF($B10=1,Forecast!G10-N(Setup!$D$20)*Setup!$B$9/12,Forecast!G10))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IF(A11="","",IF(6&gt;=N(Setup!$C$20),1,0))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IF(A11="","",IF($B11=1,Forecast!G11-N(Setup!$D$20)*Setup!$B$9/12,Forecast!G11))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IF(A12="","",IF(7&gt;=N(Setup!$C$20),1,0))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IF(A12="","",IF($B12=1,Forecast!G12-N(Setup!$D$20)*Setup!$B$9/12,Forecast!G12))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IF(A13="","",IF(8&gt;=N(Setup!$C$20),1,0))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IF(A13="","",IF($B13=1,Forecast!G13-N(Setup!$D$20)*Setup!$B$9/12,Forecast!G13))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IF(A14="","",IF(9&gt;=N(Setup!$C$20),1,0))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IF(A14="","",IF($B14=1,Forecast!G14-N(Setup!$D$20)*Setup!$B$9/12,Forecast!G14))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IF(A15="","",IF(10&gt;=N(Setup!$C$20),1,0))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IF(A15="","",IF($B15=1,Forecast!G15-N(Setup!$D$20)*Setup!$B$9/12,Forecast!G15))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IF(A16="","",IF(11&gt;=N(Setup!$C$20),1,0))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IF(A16="","",IF($B16=1,Forecast!G16-N(Setup!$D$20)*Setup!$B$9/12,Forecast!G16))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IF(A17="","",IF(12&gt;=N(Setup!$C$20),1,0))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IF(A17="","",IF($B17=1,Forecast!G17-N(Setup!$D$20)*Setup!$B$9/12,Forecast!G17))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IF(A18="","",IF(13&gt;=N(Setup!$C$20),1,0))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IF(A18="","",IF($B18=1,Forecast!G18-N(Setup!$D$20)*Setup!$B$9/12,Forecast!G18))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IF(A19="","",IF(14&gt;=N(Setup!$C$20),1,0))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IF(A19="","",IF($B19=1,Forecast!G19-N(Setup!$D$20)*Setup!$B$9/12,Forecast!G19))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IF(A20="","",IF(15&gt;=N(Setup!$C$20),1,0))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IF(A20="","",IF($B20=1,Forecast!G20-N(Setup!$D$20)*Setup!$B$9/12,Forecast!G20))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IF(A21="","",IF(16&gt;=N(Setup!$C$20),1,0))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IF(A21="","",IF($B21=1,Forecast!G21-N(Setup!$D$20)*Setup!$B$9/12,Forecast!G21))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IF(A22="","",IF(17&gt;=N(Setup!$C$20),1,0))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IF(A22="","",IF($B22=1,Forecast!G22-N(Setup!$D$20)*Setup!$B$9/12,Forecast!G22))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IF(A23="","",IF(18&gt;=N(Setup!$C$20),1,0))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IF(A23="","",IF($B23=1,Forecast!G23-N(Setup!$D$20)*Setup!$B$9/12,Forecast!G23))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IF(A24="","",IF(19&gt;=N(Setup!$C$20),1,0))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IF(A24="","",IF($B24=1,Forecast!G24-N(Setup!$D$20)*Setup!$B$9/12,Forecast!G24))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IF(A25="","",IF(20&gt;=N(Setup!$C$20),1,0))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IF(A25="","",IF($B25=1,Forecast!G25-N(Setup!$D$20)*Setup!$B$9/12,Forecast!G25))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IF(A26="","",IF(21&gt;=N(Setup!$C$20),1,0))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IF(A26="","",IF($B26=1,Forecast!G26-N(Setup!$D$20)*Setup!$B$9/12,Forecast!G26))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IF(A27="","",IF(22&gt;=N(Setup!$C$20),1,0))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IF(A27="","",IF($B27=1,Forecast!G27-N(Setup!$D$20)*Setup!$B$9/12,Forecast!G27))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IF(A28="","",IF(23&gt;=N(Setup!$C$20),1,0))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IF(A28="","",IF($B28=1,Forecast!G28-N(Setup!$D$20)*Setup!$B$9/12,Forecast!G28))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IF(A29="","",IF(24&gt;=N(Setup!$C$20),1,0))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IF(A29="","",IF($B29=1,Forecast!G29-N(Setup!$D$20)*Setup!$B$9/12,Forecast!G29))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IF(A30="","",IF(25&gt;=N(Setup!$C$20),1,0))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IF(A30="","",IF($B30=1,Forecast!G30-N(Setup!$D$20)*Setup!$B$9/12,Forecast!G30))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IF(A31="","",IF(26&gt;=N(Setup!$C$20),1,0))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IF(A31="","",IF($B31=1,Forecast!G31-N(Setup!$D$20)*Setup!$B$9/12,Forecast!G31))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IF(A32="","",IF(27&gt;=N(Setup!$C$20),1,0))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IF(A32="","",IF($B32=1,Forecast!G32-N(Setup!$D$20)*Setup!$B$9/12,Forecast!G32))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IF(A33="","",IF(28&gt;=N(Setup!$C$20),1,0))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IF(A33="","",IF($B33=1,Forecast!G33-N(Setup!$D$20)*Setup!$B$9/12,Forecast!G33))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IF(A34="","",IF(29&gt;=N(Setup!$C$20),1,0))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IF(A34="","",IF($B34=1,Forecast!G34-N(Setup!$D$20)*Setup!$B$9/12,Forecast!G34))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IF(A35="","",IF(30&gt;=N(Setup!$C$20),1,0))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IF(A35="","",IF($B35=1,Forecast!G35-N(Setup!$D$20)*Setup!$B$9/12,Forecast!G35))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IF(A36="","",IF(31&gt;=N(Setup!$C$20),1,0))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IF(A36="","",IF($B36=1,Forecast!G36-N(Setup!$D$20)*Setup!$B$9/12,Forecast!G36))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IF(A37="","",IF(32&gt;=N(Setup!$C$20),1,0))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IF(A37="","",IF($B37=1,Forecast!G37-N(Setup!$D$20)*Setup!$B$9/12,Forecast!G37))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IF(A38="","",IF(33&gt;=N(Setup!$C$20),1,0))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IF(A38="","",IF($B38=1,Forecast!G38-N(Setup!$D$20)*Setup!$B$9/12,Forecast!G38))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IF(A39="","",IF(34&gt;=N(Setup!$C$20),1,0))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IF(A39="","",IF($B39=1,Forecast!G39-N(Setup!$D$20)*Setup!$B$9/12,Forecast!G39))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IF(A40="","",IF(35&gt;=N(Setup!$C$20),1,0))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IF(A40="","",IF($B40=1,Forecast!G40-N(Setup!$D$20)*Setup!$B$9/12,Forecast!G40))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IF(A41="","",IF(36&gt;=N(Setup!$C$20),1,0))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IF(A41="","",IF($B41=1,Forecast!G41-N(Setup!$D$20)*Setup!$B$9/12,Forecast!G41))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IF(A42="","",IF(37&gt;=N(Setup!$C$20),1,0))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IF(A42="","",IF($B42=1,Forecast!G42-N(Setup!$D$20)*Setup!$B$9/12,Forecast!G42))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IF(A43="","",IF(38&gt;=N(Setup!$C$20),1,0))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IF(A43="","",IF($B43=1,Forecast!G43-N(Setup!$D$20)*Setup!$B$9/12,Forecast!G43))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IF(A44="","",IF(39&gt;=N(Setup!$C$20),1,0))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IF(A44="","",IF($B44=1,Forecast!G44-N(Setup!$D$20)*Setup!$B$9/12,Forecast!G44))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IF(A45="","",IF(40&gt;=N(Setup!$C$20),1,0))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IF(A45="","",IF($B45=1,Forecast!G45-N(Setup!$D$20)*Setup!$B$9/12,Forecast!G45))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IF(A46="","",IF(41&gt;=N(Setup!$C$20),1,0))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IF(A46="","",IF($B46=1,Forecast!G46-N(Setup!$D$20)*Setup!$B$9/12,Forecast!G46))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IF(A47="","",IF(42&gt;=N(Setup!$C$20),1,0))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IF(A47="","",IF($B47=1,Forecast!G47-N(Setup!$D$20)*Setup!$B$9/12,Forecast!G47))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IF(A48="","",IF(43&gt;=N(Setup!$C$20),1,0))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IF(A48="","",IF($B48=1,Forecast!G48-N(Setup!$D$20)*Setup!$B$9/12,Forecast!G48))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IF(A49="","",IF(44&gt;=N(Setup!$C$20),1,0))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IF(A49="","",IF($B49=1,Forecast!G49-N(Setup!$D$20)*Setup!$B$9/12,Forecast!G49))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IF(A50="","",IF(45&gt;=N(Setup!$C$20),1,0))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IF(A50="","",IF($B50=1,Forecast!G50-N(Setup!$D$20)*Setup!$B$9/12,Forecast!G50))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IF(A51="","",IF(46&gt;=N(Setup!$C$20),1,0))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IF(A51="","",IF($B51=1,Forecast!G51-N(Setup!$D$20)*Setup!$B$9/12,Forecast!G51))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IF(A52="","",IF(47&gt;=N(Setup!$C$20),1,0))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IF(A52="","",IF($B52=1,Forecast!G52-N(Setup!$D$20)*Setup!$B$9/12,Forecast!G52))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IF(A53="","",IF(48&gt;=N(Setup!$C$20),1,0))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IF(A53="","",IF($B53=1,Forecast!G53-N(Setup!$D$20)*Setup!$B$9/12,Forecast!G53))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IF(A54="","",IF(49&gt;=N(Setup!$C$20),1,0))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IF(A54="","",IF($B54=1,Forecast!G54-N(Setup!$D$20)*Setup!$B$9/12,Forecast!G54))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IF(A55="","",IF(50&gt;=N(Setup!$C$20),1,0))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IF(A55="","",IF($B55=1,Forecast!G55-N(Setup!$D$20)*Setup!$B$9/12,Forecast!G55))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IF(A56="","",IF(51&gt;=N(Setup!$C$20),1,0))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IF(A56="","",IF($B56=1,Forecast!G56-N(Setup!$D$20)*Setup!$B$9/12,Forecast!G56))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IF(A57="","",IF(52&gt;=N(Setup!$C$20),1,0))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IF(A57="","",IF($B57=1,Forecast!G57-N(Setup!$D$20)*Setup!$B$9/12,Forecast!G57))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IF(A58="","",IF(53&gt;=N(Setup!$C$20),1,0))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IF(A58="","",IF($B58=1,Forecast!G58-N(Setup!$D$20)*Setup!$B$9/12,Forecast!G58))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IF(A59="","",IF(54&gt;=N(Setup!$C$20),1,0))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IF(A59="","",IF($B59=1,Forecast!G59-N(Setup!$D$20)*Setup!$B$9/12,Forecast!G59))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IF(A60="","",IF(55&gt;=N(Setup!$C$20),1,0))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IF(A60="","",IF($B60=1,Forecast!G60-N(Setup!$D$20)*Setup!$B$9/12,Forecast!G60))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IF(A61="","",IF(56&gt;=N(Setup!$C$20),1,0))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IF(A61="","",IF($B61=1,Forecast!G61-N(Setup!$D$20)*Setup!$B$9/12,Forecast!G61))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IF(A62="","",IF(57&gt;=N(Setup!$C$20),1,0))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IF(A62="","",IF($B62=1,Forecast!G62-N(Setup!$D$20)*Setup!$B$9/12,Forecast!G62))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IF(A63="","",IF(58&gt;=N(Setup!$C$20),1,0))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IF(A63="","",IF($B63=1,Forecast!G63-N(Setup!$D$20)*Setup!$B$9/12,Forecast!G63))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IF(A64="","",IF(59&gt;=N(Setup!$C$20),1,0))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IF(A64="","",IF($B64=1,Forecast!G64-N(Setup!$D$20)*Setup!$B$9/12,Forecast!G64))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IF(A65="","",IF(60&gt;=N(Setup!$C$20),1,0))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IF(A65="","",IF($B65=1,Forecast!G65-N(Setup!$D$20)*Setup!$B$9/12,Forecast!G65))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IF(A66="","",IF(61&gt;=N(Setup!$C$20),1,0))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IF(A66="","",IF($B66=1,Forecast!G66-N(Setup!$D$20)*Setup!$B$9/12,Forecast!G66))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IF(A67="","",IF(62&gt;=N(Setup!$C$20),1,0))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IF(A67="","",IF($B67=1,Forecast!G67-N(Setup!$D$20)*Setup!$B$9/12,Forecast!G67))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IF(A68="","",IF(63&gt;=N(Setup!$C$20),1,0))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IF(A68="","",IF($B68=1,Forecast!G68-N(Setup!$D$20)*Setup!$B$9/12,Forecast!G68))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IF(A69="","",IF(64&gt;=N(Setup!$C$20),1,0))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IF(A69="","",IF($B69=1,Forecast!G69-N(Setup!$D$20)*Setup!$B$9/12,Forecast!G69))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IF(A70="","",IF(65&gt;=N(Setup!$C$20),1,0))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IF(A70="","",IF($B70=1,Forecast!G70-N(Setup!$D$20)*Setup!$B$9/12,Forecast!G70))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IF(A71="","",IF(66&gt;=N(Setup!$C$20),1,0))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IF(A71="","",IF($B71=1,Forecast!G71-N(Setup!$D$20)*Setup!$B$9/12,Forecast!G71))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IF(A72="","",IF(67&gt;=N(Setup!$C$20),1,0))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IF(A72="","",IF($B72=1,Forecast!G72-N(Setup!$D$20)*Setup!$B$9/12,Forecast!G72))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IF(A73="","",IF(68&gt;=N(Setup!$C$20),1,0))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IF(A73="","",IF($B73=1,Forecast!G73-N(Setup!$D$20)*Setup!$B$9/12,Forecast!G73))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IF(A74="","",IF(69&gt;=N(Setup!$C$20),1,0))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IF(A74="","",IF($B74=1,Forecast!G74-N(Setup!$D$20)*Setup!$B$9/12,Forecast!G74))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IF(A75="","",IF(70&gt;=N(Setup!$C$20),1,0))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IF(A75="","",IF($B75=1,Forecast!G75-N(Setup!$D$20)*Setup!$B$9/12,Forecast!G75))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IF(A76="","",IF(71&gt;=N(Setup!$C$20),1,0))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IF(A76="","",IF($B76=1,Forecast!G76-N(Setup!$D$20)*Setup!$B$9/12,Forecast!G76))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IF(A77="","",IF(72&gt;=N(Setup!$C$20),1,0))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IF(A77="","",IF($B77=1,Forecast!G77-N(Setup!$D$20)*Setup!$B$9/12,Forecast!G77))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IF(A78="","",IF(73&gt;=N(Setup!$C$20),1,0))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IF(A78="","",IF($B78=1,Forecast!G78-N(Setup!$D$20)*Setup!$B$9/12,Forecast!G78))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IF(A79="","",IF(74&gt;=N(Setup!$C$20),1,0))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IF(A79="","",IF($B79=1,Forecast!G79-N(Setup!$D$20)*Setup!$B$9/12,Forecast!G79))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IF(A80="","",IF(75&gt;=N(Setup!$C$20),1,0))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IF(A80="","",IF($B80=1,Forecast!G80-N(Setup!$D$20)*Setup!$B$9/12,Forecast!G80))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IF(A81="","",IF(76&gt;=N(Setup!$C$20),1,0))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IF(A81="","",IF($B81=1,Forecast!G81-N(Setup!$D$20)*Setup!$B$9/12,Forecast!G81))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IF(A82="","",IF(77&gt;=N(Setup!$C$20),1,0))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IF(A82="","",IF($B82=1,Forecast!G82-N(Setup!$D$20)*Setup!$B$9/12,Forecast!G82))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IF(A83="","",IF(78&gt;=N(Setup!$C$20),1,0))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IF(A83="","",IF($B83=1,Forecast!G83-N(Setup!$D$20)*Setup!$B$9/12,Forecast!G83))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IF(A84="","",IF(79&gt;=N(Setup!$C$20),1,0))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IF(A84="","",IF($B84=1,Forecast!G84-N(Setup!$D$20)*Setup!$B$9/12,Forecast!G84))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IF(A85="","",IF(80&gt;=N(Setup!$C$20),1,0))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IF(A85="","",IF($B85=1,Forecast!G85-N(Setup!$D$20)*Setup!$B$9/12,Forecast!G85))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IF(A86="","",IF(81&gt;=N(Setup!$C$20),1,0))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IF(A86="","",IF($B86=1,Forecast!G86-N(Setup!$D$20)*Setup!$B$9/12,Forecast!G86))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IF(A87="","",IF(82&gt;=N(Setup!$C$20),1,0))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IF(A87="","",IF($B87=1,Forecast!G87-N(Setup!$D$20)*Setup!$B$9/12,Forecast!G87))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IF(A88="","",IF(83&gt;=N(Setup!$C$20),1,0))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IF(A88="","",IF($B88=1,Forecast!G88-N(Setup!$D$20)*Setup!$B$9/12,Forecast!G88))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IF(A89="","",IF(84&gt;=N(Setup!$C$20),1,0))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IF(A89="","",IF($B89=1,Forecast!G89-N(Setup!$D$20)*Setup!$B$9/12,Forecast!G89))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IF(A90="","",IF(85&gt;=N(Setup!$C$20),1,0))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IF(A90="","",IF($B90=1,Forecast!G90-N(Setup!$D$20)*Setup!$B$9/12,Forecast!G90))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IF(A91="","",IF(86&gt;=N(Setup!$C$20),1,0))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IF(A91="","",IF($B91=1,Forecast!G91-N(Setup!$D$20)*Setup!$B$9/12,Forecast!G91))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IF(A92="","",IF(87&gt;=N(Setup!$C$20),1,0))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IF(A92="","",IF($B92=1,Forecast!G92-N(Setup!$D$20)*Setup!$B$9/12,Forecast!G92))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IF(A93="","",IF(88&gt;=N(Setup!$C$20),1,0))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IF(A93="","",IF($B93=1,Forecast!G93-N(Setup!$D$20)*Setup!$B$9/12,Forecast!G93))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IF(A94="","",IF(89&gt;=N(Setup!$C$20),1,0))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IF(A94="","",IF($B94=1,Forecast!G94-N(Setup!$D$20)*Setup!$B$9/12,Forecast!G94))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IF(A95="","",IF(90&gt;=N(Setup!$C$20),1,0))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IF(A95="","",IF($B95=1,Forecast!G95-N(Setup!$D$20)*Setup!$B$9/12,Forecast!G95))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IF(A96="","",IF(91&gt;=N(Setup!$C$20),1,0))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IF(A96="","",IF($B96=1,Forecast!G96-N(Setup!$D$20)*Setup!$B$9/12,Forecast!G96))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IF(A97="","",IF(92&gt;=N(Setup!$C$20),1,0))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IF(A97="","",IF($B97=1,Forecast!G97-N(Setup!$D$20)*Setup!$B$9/12,Forecast!G97))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IF(A98="","",IF(93&gt;=N(Setup!$C$20),1,0))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IF(A98="","",IF($B98=1,Forecast!G98-N(Setup!$D$20)*Setup!$B$9/12,Forecast!G98))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IF(A99="","",IF(94&gt;=N(Setup!$C$20),1,0))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IF(A99="","",IF($B99=1,Forecast!G99-N(Setup!$D$20)*Setup!$B$9/12,Forecast!G99))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IF(A100="","",IF(95&gt;=N(Setup!$C$20),1,0))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IF(A100="","",IF($B100=1,Forecast!G100-N(Setup!$D$20)*Setup!$B$9/12,Forecast!G100))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IF(A101="","",IF(96&gt;=N(Setup!$C$20),1,0))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IF(A101="","",IF($B101=1,Forecast!G101-N(Setup!$D$20)*Setup!$B$9/12,Forecast!G101))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IF(A102="","",IF(97&gt;=N(Setup!$C$20),1,0))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IF(A102="","",IF($B102=1,Forecast!G102-N(Setup!$D$20)*Setup!$B$9/12,Forecast!G102))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IF(A103="","",IF(98&gt;=N(Setup!$C$20),1,0))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IF(A103="","",IF($B103=1,Forecast!G103-N(Setup!$D$20)*Setup!$B$9/12,Forecast!G103))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IF(A104="","",IF(99&gt;=N(Setup!$C$20),1,0))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IF(A104="","",IF($B104=1,Forecast!G104-N(Setup!$D$20)*Setup!$B$9/12,Forecast!G104))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IF(A105="","",IF(100&gt;=N(Setup!$C$20),1,0))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IF(A105="","",IF($B105=1,Forecast!G105-N(Setup!$D$20)*Setup!$B$9/12,Forecast!G105))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IF(A106="","",IF(101&gt;=N(Setup!$C$20),1,0))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IF(A106="","",IF($B106=1,Forecast!G106-N(Setup!$D$20)*Setup!$B$9/12,Forecast!G106))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IF(A107="","",IF(102&gt;=N(Setup!$C$20),1,0))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IF(A107="","",IF($B107=1,Forecast!G107-N(Setup!$D$20)*Setup!$B$9/12,Forecast!G107))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IF(A108="","",IF(103&gt;=N(Setup!$C$20),1,0))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IF(A108="","",IF($B108=1,Forecast!G108-N(Setup!$D$20)*Setup!$B$9/12,Forecast!G108))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IF(A109="","",IF(104&gt;=N(Setup!$C$20),1,0))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IF(A109="","",IF($B109=1,Forecast!G109-N(Setup!$D$20)*Setup!$B$9/12,Forecast!G109))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IF(A110="","",IF(105&gt;=N(Setup!$C$20),1,0))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IF(A110="","",IF($B110=1,Forecast!G110-N(Setup!$D$20)*Setup!$B$9/12,Forecast!G110))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IF(A111="","",IF(106&gt;=N(Setup!$C$20),1,0))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IF(A111="","",IF($B111=1,Forecast!G111-N(Setup!$D$20)*Setup!$B$9/12,Forecast!G111))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IF(A112="","",IF(107&gt;=N(Setup!$C$20),1,0))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IF(A112="","",IF($B112=1,Forecast!G112-N(Setup!$D$20)*Setup!$B$9/12,Forecast!G112))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IF(A113="","",IF(108&gt;=N(Setup!$C$20),1,0))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IF(A113="","",IF($B113=1,Forecast!G113-N(Setup!$D$20)*Setup!$B$9/12,Forecast!G113))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IF(A114="","",IF(109&gt;=N(Setup!$C$20),1,0))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IF(A114="","",IF($B114=1,Forecast!G114-N(Setup!$D$20)*Setup!$B$9/12,Forecast!G114))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IF(A115="","",IF(110&gt;=N(Setup!$C$20),1,0))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IF(A115="","",IF($B115=1,Forecast!G115-N(Setup!$D$20)*Setup!$B$9/12,Forecast!G115))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IF(A116="","",IF(111&gt;=N(Setup!$C$20),1,0))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IF(A116="","",IF($B116=1,Forecast!G116-N(Setup!$D$20)*Setup!$B$9/12,Forecast!G116))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IF(A117="","",IF(112&gt;=N(Setup!$C$20),1,0))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IF(A117="","",IF($B117=1,Forecast!G117-N(Setup!$D$20)*Setup!$B$9/12,Forecast!G117))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IF(A118="","",IF(113&gt;=N(Setup!$C$20),1,0))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IF(A118="","",IF($B118=1,Forecast!G118-N(Setup!$D$20)*Setup!$B$9/12,Forecast!G118))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IF(A119="","",IF(114&gt;=N(Setup!$C$20),1,0))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IF(A119="","",IF($B119=1,Forecast!G119-N(Setup!$D$20)*Setup!$B$9/12,Forecast!G119))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IF(A120="","",IF(115&gt;=N(Setup!$C$20),1,0))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IF(A120="","",IF($B120=1,Forecast!G120-N(Setup!$D$20)*Setup!$B$9/12,Forecast!G120))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IF(A121="","",IF(116&gt;=N(Setup!$C$20),1,0))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IF(A121="","",IF($B121=1,Forecast!G121-N(Setup!$D$20)*Setup!$B$9/12,Forecast!G121))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IF(A122="","",IF(117&gt;=N(Setup!$C$20),1,0))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IF(A122="","",IF($B122=1,Forecast!G122-N(Setup!$D$20)*Setup!$B$9/12,Forecast!G122))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IF(A123="","",IF(118&gt;=N(Setup!$C$20),1,0))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IF(A123="","",IF($B123=1,Forecast!G123-N(Setup!$D$20)*Setup!$B$9/12,Forecast!G123))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IF(A124="","",IF(119&gt;=N(Setup!$C$20),1,0))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IF(A124="","",IF($B124=1,Forecast!G124-N(Setup!$D$20)*Setup!$B$9/12,Forecast!G124))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4</t>
        </is>
      </c>
    </row>
    <row r="2">
      <c r="B2" s="5">
        <f>Setup!B21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IF(A5="","",IF(0&gt;=N(Setup!$C$21),1,0))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IF(A5="","",IF($B5=1,Forecast!G5-N(Setup!$D$21)*Setup!$B$9/12,Forecast!G5))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IF(A6="","",IF(1&gt;=N(Setup!$C$21),1,0))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IF(A6="","",IF($B6=1,Forecast!G6-N(Setup!$D$21)*Setup!$B$9/12,Forecast!G6))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IF(A7="","",IF(2&gt;=N(Setup!$C$21),1,0))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IF(A7="","",IF($B7=1,Forecast!G7-N(Setup!$D$21)*Setup!$B$9/12,Forecast!G7))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IF(A8="","",IF(3&gt;=N(Setup!$C$21),1,0))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IF(A8="","",IF($B8=1,Forecast!G8-N(Setup!$D$21)*Setup!$B$9/12,Forecast!G8))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IF(A9="","",IF(4&gt;=N(Setup!$C$21),1,0))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IF(A9="","",IF($B9=1,Forecast!G9-N(Setup!$D$21)*Setup!$B$9/12,Forecast!G9))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IF(A10="","",IF(5&gt;=N(Setup!$C$21),1,0))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IF(A10="","",IF($B10=1,Forecast!G10-N(Setup!$D$21)*Setup!$B$9/12,Forecast!G10))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IF(A11="","",IF(6&gt;=N(Setup!$C$21),1,0))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IF(A11="","",IF($B11=1,Forecast!G11-N(Setup!$D$21)*Setup!$B$9/12,Forecast!G11))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IF(A12="","",IF(7&gt;=N(Setup!$C$21),1,0))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IF(A12="","",IF($B12=1,Forecast!G12-N(Setup!$D$21)*Setup!$B$9/12,Forecast!G12))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IF(A13="","",IF(8&gt;=N(Setup!$C$21),1,0))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IF(A13="","",IF($B13=1,Forecast!G13-N(Setup!$D$21)*Setup!$B$9/12,Forecast!G13))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IF(A14="","",IF(9&gt;=N(Setup!$C$21),1,0))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IF(A14="","",IF($B14=1,Forecast!G14-N(Setup!$D$21)*Setup!$B$9/12,Forecast!G14))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IF(A15="","",IF(10&gt;=N(Setup!$C$21),1,0))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IF(A15="","",IF($B15=1,Forecast!G15-N(Setup!$D$21)*Setup!$B$9/12,Forecast!G15))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IF(A16="","",IF(11&gt;=N(Setup!$C$21),1,0))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IF(A16="","",IF($B16=1,Forecast!G16-N(Setup!$D$21)*Setup!$B$9/12,Forecast!G16))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IF(A17="","",IF(12&gt;=N(Setup!$C$21),1,0))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IF(A17="","",IF($B17=1,Forecast!G17-N(Setup!$D$21)*Setup!$B$9/12,Forecast!G17))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IF(A18="","",IF(13&gt;=N(Setup!$C$21),1,0))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IF(A18="","",IF($B18=1,Forecast!G18-N(Setup!$D$21)*Setup!$B$9/12,Forecast!G18))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IF(A19="","",IF(14&gt;=N(Setup!$C$21),1,0))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IF(A19="","",IF($B19=1,Forecast!G19-N(Setup!$D$21)*Setup!$B$9/12,Forecast!G19))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IF(A20="","",IF(15&gt;=N(Setup!$C$21),1,0))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IF(A20="","",IF($B20=1,Forecast!G20-N(Setup!$D$21)*Setup!$B$9/12,Forecast!G20))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IF(A21="","",IF(16&gt;=N(Setup!$C$21),1,0))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IF(A21="","",IF($B21=1,Forecast!G21-N(Setup!$D$21)*Setup!$B$9/12,Forecast!G21))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IF(A22="","",IF(17&gt;=N(Setup!$C$21),1,0))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IF(A22="","",IF($B22=1,Forecast!G22-N(Setup!$D$21)*Setup!$B$9/12,Forecast!G22))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IF(A23="","",IF(18&gt;=N(Setup!$C$21),1,0))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IF(A23="","",IF($B23=1,Forecast!G23-N(Setup!$D$21)*Setup!$B$9/12,Forecast!G23))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IF(A24="","",IF(19&gt;=N(Setup!$C$21),1,0))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IF(A24="","",IF($B24=1,Forecast!G24-N(Setup!$D$21)*Setup!$B$9/12,Forecast!G24))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IF(A25="","",IF(20&gt;=N(Setup!$C$21),1,0))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IF(A25="","",IF($B25=1,Forecast!G25-N(Setup!$D$21)*Setup!$B$9/12,Forecast!G25))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IF(A26="","",IF(21&gt;=N(Setup!$C$21),1,0))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IF(A26="","",IF($B26=1,Forecast!G26-N(Setup!$D$21)*Setup!$B$9/12,Forecast!G26))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IF(A27="","",IF(22&gt;=N(Setup!$C$21),1,0))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IF(A27="","",IF($B27=1,Forecast!G27-N(Setup!$D$21)*Setup!$B$9/12,Forecast!G27))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IF(A28="","",IF(23&gt;=N(Setup!$C$21),1,0))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IF(A28="","",IF($B28=1,Forecast!G28-N(Setup!$D$21)*Setup!$B$9/12,Forecast!G28))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IF(A29="","",IF(24&gt;=N(Setup!$C$21),1,0))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IF(A29="","",IF($B29=1,Forecast!G29-N(Setup!$D$21)*Setup!$B$9/12,Forecast!G29))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IF(A30="","",IF(25&gt;=N(Setup!$C$21),1,0))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IF(A30="","",IF($B30=1,Forecast!G30-N(Setup!$D$21)*Setup!$B$9/12,Forecast!G30))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IF(A31="","",IF(26&gt;=N(Setup!$C$21),1,0))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IF(A31="","",IF($B31=1,Forecast!G31-N(Setup!$D$21)*Setup!$B$9/12,Forecast!G31))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IF(A32="","",IF(27&gt;=N(Setup!$C$21),1,0))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IF(A32="","",IF($B32=1,Forecast!G32-N(Setup!$D$21)*Setup!$B$9/12,Forecast!G32))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IF(A33="","",IF(28&gt;=N(Setup!$C$21),1,0))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IF(A33="","",IF($B33=1,Forecast!G33-N(Setup!$D$21)*Setup!$B$9/12,Forecast!G33))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IF(A34="","",IF(29&gt;=N(Setup!$C$21),1,0))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IF(A34="","",IF($B34=1,Forecast!G34-N(Setup!$D$21)*Setup!$B$9/12,Forecast!G34))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IF(A35="","",IF(30&gt;=N(Setup!$C$21),1,0))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IF(A35="","",IF($B35=1,Forecast!G35-N(Setup!$D$21)*Setup!$B$9/12,Forecast!G35))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IF(A36="","",IF(31&gt;=N(Setup!$C$21),1,0))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IF(A36="","",IF($B36=1,Forecast!G36-N(Setup!$D$21)*Setup!$B$9/12,Forecast!G36))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IF(A37="","",IF(32&gt;=N(Setup!$C$21),1,0))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IF(A37="","",IF($B37=1,Forecast!G37-N(Setup!$D$21)*Setup!$B$9/12,Forecast!G37))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IF(A38="","",IF(33&gt;=N(Setup!$C$21),1,0))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IF(A38="","",IF($B38=1,Forecast!G38-N(Setup!$D$21)*Setup!$B$9/12,Forecast!G38))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IF(A39="","",IF(34&gt;=N(Setup!$C$21),1,0))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IF(A39="","",IF($B39=1,Forecast!G39-N(Setup!$D$21)*Setup!$B$9/12,Forecast!G39))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IF(A40="","",IF(35&gt;=N(Setup!$C$21),1,0))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IF(A40="","",IF($B40=1,Forecast!G40-N(Setup!$D$21)*Setup!$B$9/12,Forecast!G40))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IF(A41="","",IF(36&gt;=N(Setup!$C$21),1,0))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IF(A41="","",IF($B41=1,Forecast!G41-N(Setup!$D$21)*Setup!$B$9/12,Forecast!G41))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IF(A42="","",IF(37&gt;=N(Setup!$C$21),1,0))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IF(A42="","",IF($B42=1,Forecast!G42-N(Setup!$D$21)*Setup!$B$9/12,Forecast!G42))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IF(A43="","",IF(38&gt;=N(Setup!$C$21),1,0))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IF(A43="","",IF($B43=1,Forecast!G43-N(Setup!$D$21)*Setup!$B$9/12,Forecast!G43))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IF(A44="","",IF(39&gt;=N(Setup!$C$21),1,0))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IF(A44="","",IF($B44=1,Forecast!G44-N(Setup!$D$21)*Setup!$B$9/12,Forecast!G44))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IF(A45="","",IF(40&gt;=N(Setup!$C$21),1,0))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IF(A45="","",IF($B45=1,Forecast!G45-N(Setup!$D$21)*Setup!$B$9/12,Forecast!G45))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IF(A46="","",IF(41&gt;=N(Setup!$C$21),1,0))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IF(A46="","",IF($B46=1,Forecast!G46-N(Setup!$D$21)*Setup!$B$9/12,Forecast!G46))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IF(A47="","",IF(42&gt;=N(Setup!$C$21),1,0))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IF(A47="","",IF($B47=1,Forecast!G47-N(Setup!$D$21)*Setup!$B$9/12,Forecast!G47))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IF(A48="","",IF(43&gt;=N(Setup!$C$21),1,0))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IF(A48="","",IF($B48=1,Forecast!G48-N(Setup!$D$21)*Setup!$B$9/12,Forecast!G48))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IF(A49="","",IF(44&gt;=N(Setup!$C$21),1,0))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IF(A49="","",IF($B49=1,Forecast!G49-N(Setup!$D$21)*Setup!$B$9/12,Forecast!G49))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IF(A50="","",IF(45&gt;=N(Setup!$C$21),1,0))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IF(A50="","",IF($B50=1,Forecast!G50-N(Setup!$D$21)*Setup!$B$9/12,Forecast!G50))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IF(A51="","",IF(46&gt;=N(Setup!$C$21),1,0))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IF(A51="","",IF($B51=1,Forecast!G51-N(Setup!$D$21)*Setup!$B$9/12,Forecast!G51))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IF(A52="","",IF(47&gt;=N(Setup!$C$21),1,0))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IF(A52="","",IF($B52=1,Forecast!G52-N(Setup!$D$21)*Setup!$B$9/12,Forecast!G52))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IF(A53="","",IF(48&gt;=N(Setup!$C$21),1,0))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IF(A53="","",IF($B53=1,Forecast!G53-N(Setup!$D$21)*Setup!$B$9/12,Forecast!G53))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IF(A54="","",IF(49&gt;=N(Setup!$C$21),1,0))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IF(A54="","",IF($B54=1,Forecast!G54-N(Setup!$D$21)*Setup!$B$9/12,Forecast!G54))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IF(A55="","",IF(50&gt;=N(Setup!$C$21),1,0))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IF(A55="","",IF($B55=1,Forecast!G55-N(Setup!$D$21)*Setup!$B$9/12,Forecast!G55))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IF(A56="","",IF(51&gt;=N(Setup!$C$21),1,0))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IF(A56="","",IF($B56=1,Forecast!G56-N(Setup!$D$21)*Setup!$B$9/12,Forecast!G56))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IF(A57="","",IF(52&gt;=N(Setup!$C$21),1,0))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IF(A57="","",IF($B57=1,Forecast!G57-N(Setup!$D$21)*Setup!$B$9/12,Forecast!G57))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IF(A58="","",IF(53&gt;=N(Setup!$C$21),1,0))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IF(A58="","",IF($B58=1,Forecast!G58-N(Setup!$D$21)*Setup!$B$9/12,Forecast!G58))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IF(A59="","",IF(54&gt;=N(Setup!$C$21),1,0))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IF(A59="","",IF($B59=1,Forecast!G59-N(Setup!$D$21)*Setup!$B$9/12,Forecast!G59))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IF(A60="","",IF(55&gt;=N(Setup!$C$21),1,0))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IF(A60="","",IF($B60=1,Forecast!G60-N(Setup!$D$21)*Setup!$B$9/12,Forecast!G60))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IF(A61="","",IF(56&gt;=N(Setup!$C$21),1,0))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IF(A61="","",IF($B61=1,Forecast!G61-N(Setup!$D$21)*Setup!$B$9/12,Forecast!G61))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IF(A62="","",IF(57&gt;=N(Setup!$C$21),1,0))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IF(A62="","",IF($B62=1,Forecast!G62-N(Setup!$D$21)*Setup!$B$9/12,Forecast!G62))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IF(A63="","",IF(58&gt;=N(Setup!$C$21),1,0))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IF(A63="","",IF($B63=1,Forecast!G63-N(Setup!$D$21)*Setup!$B$9/12,Forecast!G63))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IF(A64="","",IF(59&gt;=N(Setup!$C$21),1,0))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IF(A64="","",IF($B64=1,Forecast!G64-N(Setup!$D$21)*Setup!$B$9/12,Forecast!G64))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IF(A65="","",IF(60&gt;=N(Setup!$C$21),1,0))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IF(A65="","",IF($B65=1,Forecast!G65-N(Setup!$D$21)*Setup!$B$9/12,Forecast!G65))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IF(A66="","",IF(61&gt;=N(Setup!$C$21),1,0))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IF(A66="","",IF($B66=1,Forecast!G66-N(Setup!$D$21)*Setup!$B$9/12,Forecast!G66))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IF(A67="","",IF(62&gt;=N(Setup!$C$21),1,0))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IF(A67="","",IF($B67=1,Forecast!G67-N(Setup!$D$21)*Setup!$B$9/12,Forecast!G67))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IF(A68="","",IF(63&gt;=N(Setup!$C$21),1,0))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IF(A68="","",IF($B68=1,Forecast!G68-N(Setup!$D$21)*Setup!$B$9/12,Forecast!G68))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IF(A69="","",IF(64&gt;=N(Setup!$C$21),1,0))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IF(A69="","",IF($B69=1,Forecast!G69-N(Setup!$D$21)*Setup!$B$9/12,Forecast!G69))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IF(A70="","",IF(65&gt;=N(Setup!$C$21),1,0))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IF(A70="","",IF($B70=1,Forecast!G70-N(Setup!$D$21)*Setup!$B$9/12,Forecast!G70))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IF(A71="","",IF(66&gt;=N(Setup!$C$21),1,0))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IF(A71="","",IF($B71=1,Forecast!G71-N(Setup!$D$21)*Setup!$B$9/12,Forecast!G71))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IF(A72="","",IF(67&gt;=N(Setup!$C$21),1,0))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IF(A72="","",IF($B72=1,Forecast!G72-N(Setup!$D$21)*Setup!$B$9/12,Forecast!G72))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IF(A73="","",IF(68&gt;=N(Setup!$C$21),1,0))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IF(A73="","",IF($B73=1,Forecast!G73-N(Setup!$D$21)*Setup!$B$9/12,Forecast!G73))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IF(A74="","",IF(69&gt;=N(Setup!$C$21),1,0))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IF(A74="","",IF($B74=1,Forecast!G74-N(Setup!$D$21)*Setup!$B$9/12,Forecast!G74))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IF(A75="","",IF(70&gt;=N(Setup!$C$21),1,0))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IF(A75="","",IF($B75=1,Forecast!G75-N(Setup!$D$21)*Setup!$B$9/12,Forecast!G75))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IF(A76="","",IF(71&gt;=N(Setup!$C$21),1,0))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IF(A76="","",IF($B76=1,Forecast!G76-N(Setup!$D$21)*Setup!$B$9/12,Forecast!G76))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IF(A77="","",IF(72&gt;=N(Setup!$C$21),1,0))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IF(A77="","",IF($B77=1,Forecast!G77-N(Setup!$D$21)*Setup!$B$9/12,Forecast!G77))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IF(A78="","",IF(73&gt;=N(Setup!$C$21),1,0))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IF(A78="","",IF($B78=1,Forecast!G78-N(Setup!$D$21)*Setup!$B$9/12,Forecast!G78))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IF(A79="","",IF(74&gt;=N(Setup!$C$21),1,0))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IF(A79="","",IF($B79=1,Forecast!G79-N(Setup!$D$21)*Setup!$B$9/12,Forecast!G79))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IF(A80="","",IF(75&gt;=N(Setup!$C$21),1,0))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IF(A80="","",IF($B80=1,Forecast!G80-N(Setup!$D$21)*Setup!$B$9/12,Forecast!G80))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IF(A81="","",IF(76&gt;=N(Setup!$C$21),1,0))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IF(A81="","",IF($B81=1,Forecast!G81-N(Setup!$D$21)*Setup!$B$9/12,Forecast!G81))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IF(A82="","",IF(77&gt;=N(Setup!$C$21),1,0))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IF(A82="","",IF($B82=1,Forecast!G82-N(Setup!$D$21)*Setup!$B$9/12,Forecast!G82))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IF(A83="","",IF(78&gt;=N(Setup!$C$21),1,0))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IF(A83="","",IF($B83=1,Forecast!G83-N(Setup!$D$21)*Setup!$B$9/12,Forecast!G83))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IF(A84="","",IF(79&gt;=N(Setup!$C$21),1,0))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IF(A84="","",IF($B84=1,Forecast!G84-N(Setup!$D$21)*Setup!$B$9/12,Forecast!G84))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IF(A85="","",IF(80&gt;=N(Setup!$C$21),1,0))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IF(A85="","",IF($B85=1,Forecast!G85-N(Setup!$D$21)*Setup!$B$9/12,Forecast!G85))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IF(A86="","",IF(81&gt;=N(Setup!$C$21),1,0))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IF(A86="","",IF($B86=1,Forecast!G86-N(Setup!$D$21)*Setup!$B$9/12,Forecast!G86))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IF(A87="","",IF(82&gt;=N(Setup!$C$21),1,0))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IF(A87="","",IF($B87=1,Forecast!G87-N(Setup!$D$21)*Setup!$B$9/12,Forecast!G87))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IF(A88="","",IF(83&gt;=N(Setup!$C$21),1,0))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IF(A88="","",IF($B88=1,Forecast!G88-N(Setup!$D$21)*Setup!$B$9/12,Forecast!G88))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IF(A89="","",IF(84&gt;=N(Setup!$C$21),1,0))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IF(A89="","",IF($B89=1,Forecast!G89-N(Setup!$D$21)*Setup!$B$9/12,Forecast!G89))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IF(A90="","",IF(85&gt;=N(Setup!$C$21),1,0))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IF(A90="","",IF($B90=1,Forecast!G90-N(Setup!$D$21)*Setup!$B$9/12,Forecast!G90))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IF(A91="","",IF(86&gt;=N(Setup!$C$21),1,0))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IF(A91="","",IF($B91=1,Forecast!G91-N(Setup!$D$21)*Setup!$B$9/12,Forecast!G91))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IF(A92="","",IF(87&gt;=N(Setup!$C$21),1,0))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IF(A92="","",IF($B92=1,Forecast!G92-N(Setup!$D$21)*Setup!$B$9/12,Forecast!G92))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IF(A93="","",IF(88&gt;=N(Setup!$C$21),1,0))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IF(A93="","",IF($B93=1,Forecast!G93-N(Setup!$D$21)*Setup!$B$9/12,Forecast!G93))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IF(A94="","",IF(89&gt;=N(Setup!$C$21),1,0))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IF(A94="","",IF($B94=1,Forecast!G94-N(Setup!$D$21)*Setup!$B$9/12,Forecast!G94))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IF(A95="","",IF(90&gt;=N(Setup!$C$21),1,0))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IF(A95="","",IF($B95=1,Forecast!G95-N(Setup!$D$21)*Setup!$B$9/12,Forecast!G95))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IF(A96="","",IF(91&gt;=N(Setup!$C$21),1,0))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IF(A96="","",IF($B96=1,Forecast!G96-N(Setup!$D$21)*Setup!$B$9/12,Forecast!G96))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IF(A97="","",IF(92&gt;=N(Setup!$C$21),1,0))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IF(A97="","",IF($B97=1,Forecast!G97-N(Setup!$D$21)*Setup!$B$9/12,Forecast!G97))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IF(A98="","",IF(93&gt;=N(Setup!$C$21),1,0))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IF(A98="","",IF($B98=1,Forecast!G98-N(Setup!$D$21)*Setup!$B$9/12,Forecast!G98))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IF(A99="","",IF(94&gt;=N(Setup!$C$21),1,0))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IF(A99="","",IF($B99=1,Forecast!G99-N(Setup!$D$21)*Setup!$B$9/12,Forecast!G99))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IF(A100="","",IF(95&gt;=N(Setup!$C$21),1,0))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IF(A100="","",IF($B100=1,Forecast!G100-N(Setup!$D$21)*Setup!$B$9/12,Forecast!G100))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IF(A101="","",IF(96&gt;=N(Setup!$C$21),1,0))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IF(A101="","",IF($B101=1,Forecast!G101-N(Setup!$D$21)*Setup!$B$9/12,Forecast!G101))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IF(A102="","",IF(97&gt;=N(Setup!$C$21),1,0))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IF(A102="","",IF($B102=1,Forecast!G102-N(Setup!$D$21)*Setup!$B$9/12,Forecast!G102))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IF(A103="","",IF(98&gt;=N(Setup!$C$21),1,0))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IF(A103="","",IF($B103=1,Forecast!G103-N(Setup!$D$21)*Setup!$B$9/12,Forecast!G103))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IF(A104="","",IF(99&gt;=N(Setup!$C$21),1,0))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IF(A104="","",IF($B104=1,Forecast!G104-N(Setup!$D$21)*Setup!$B$9/12,Forecast!G104))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IF(A105="","",IF(100&gt;=N(Setup!$C$21),1,0))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IF(A105="","",IF($B105=1,Forecast!G105-N(Setup!$D$21)*Setup!$B$9/12,Forecast!G105))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IF(A106="","",IF(101&gt;=N(Setup!$C$21),1,0))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IF(A106="","",IF($B106=1,Forecast!G106-N(Setup!$D$21)*Setup!$B$9/12,Forecast!G106))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IF(A107="","",IF(102&gt;=N(Setup!$C$21),1,0))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IF(A107="","",IF($B107=1,Forecast!G107-N(Setup!$D$21)*Setup!$B$9/12,Forecast!G107))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IF(A108="","",IF(103&gt;=N(Setup!$C$21),1,0))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IF(A108="","",IF($B108=1,Forecast!G108-N(Setup!$D$21)*Setup!$B$9/12,Forecast!G108))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IF(A109="","",IF(104&gt;=N(Setup!$C$21),1,0))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IF(A109="","",IF($B109=1,Forecast!G109-N(Setup!$D$21)*Setup!$B$9/12,Forecast!G109))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IF(A110="","",IF(105&gt;=N(Setup!$C$21),1,0))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IF(A110="","",IF($B110=1,Forecast!G110-N(Setup!$D$21)*Setup!$B$9/12,Forecast!G110))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IF(A111="","",IF(106&gt;=N(Setup!$C$21),1,0))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IF(A111="","",IF($B111=1,Forecast!G111-N(Setup!$D$21)*Setup!$B$9/12,Forecast!G111))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IF(A112="","",IF(107&gt;=N(Setup!$C$21),1,0))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IF(A112="","",IF($B112=1,Forecast!G112-N(Setup!$D$21)*Setup!$B$9/12,Forecast!G112))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IF(A113="","",IF(108&gt;=N(Setup!$C$21),1,0))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IF(A113="","",IF($B113=1,Forecast!G113-N(Setup!$D$21)*Setup!$B$9/12,Forecast!G113))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IF(A114="","",IF(109&gt;=N(Setup!$C$21),1,0))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IF(A114="","",IF($B114=1,Forecast!G114-N(Setup!$D$21)*Setup!$B$9/12,Forecast!G114))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IF(A115="","",IF(110&gt;=N(Setup!$C$21),1,0))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IF(A115="","",IF($B115=1,Forecast!G115-N(Setup!$D$21)*Setup!$B$9/12,Forecast!G115))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IF(A116="","",IF(111&gt;=N(Setup!$C$21),1,0))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IF(A116="","",IF($B116=1,Forecast!G116-N(Setup!$D$21)*Setup!$B$9/12,Forecast!G116))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IF(A117="","",IF(112&gt;=N(Setup!$C$21),1,0))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IF(A117="","",IF($B117=1,Forecast!G117-N(Setup!$D$21)*Setup!$B$9/12,Forecast!G117))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IF(A118="","",IF(113&gt;=N(Setup!$C$21),1,0))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IF(A118="","",IF($B118=1,Forecast!G118-N(Setup!$D$21)*Setup!$B$9/12,Forecast!G118))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IF(A119="","",IF(114&gt;=N(Setup!$C$21),1,0))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IF(A119="","",IF($B119=1,Forecast!G119-N(Setup!$D$21)*Setup!$B$9/12,Forecast!G119))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IF(A120="","",IF(115&gt;=N(Setup!$C$21),1,0))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IF(A120="","",IF($B120=1,Forecast!G120-N(Setup!$D$21)*Setup!$B$9/12,Forecast!G120))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IF(A121="","",IF(116&gt;=N(Setup!$C$21),1,0))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IF(A121="","",IF($B121=1,Forecast!G121-N(Setup!$D$21)*Setup!$B$9/12,Forecast!G121))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IF(A122="","",IF(117&gt;=N(Setup!$C$21),1,0))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IF(A122="","",IF($B122=1,Forecast!G122-N(Setup!$D$21)*Setup!$B$9/12,Forecast!G122))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IF(A123="","",IF(118&gt;=N(Setup!$C$21),1,0))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IF(A123="","",IF($B123=1,Forecast!G123-N(Setup!$D$21)*Setup!$B$9/12,Forecast!G123))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IF(A124="","",IF(119&gt;=N(Setup!$C$21),1,0))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IF(A124="","",IF($B124=1,Forecast!G124-N(Setup!$D$21)*Setup!$B$9/12,Forecast!G124))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5</t>
        </is>
      </c>
    </row>
    <row r="2">
      <c r="B2" s="5">
        <f>Setup!B22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IF(A5="","",IF(0&gt;=N(Setup!$C$22),1,0))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IF(A5="","",IF($B5=1,Forecast!G5-N(Setup!$D$22)*Setup!$B$9/12,Forecast!G5))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IF(A6="","",IF(1&gt;=N(Setup!$C$22),1,0))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IF(A6="","",IF($B6=1,Forecast!G6-N(Setup!$D$22)*Setup!$B$9/12,Forecast!G6))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IF(A7="","",IF(2&gt;=N(Setup!$C$22),1,0))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IF(A7="","",IF($B7=1,Forecast!G7-N(Setup!$D$22)*Setup!$B$9/12,Forecast!G7))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IF(A8="","",IF(3&gt;=N(Setup!$C$22),1,0))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IF(A8="","",IF($B8=1,Forecast!G8-N(Setup!$D$22)*Setup!$B$9/12,Forecast!G8))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IF(A9="","",IF(4&gt;=N(Setup!$C$22),1,0))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IF(A9="","",IF($B9=1,Forecast!G9-N(Setup!$D$22)*Setup!$B$9/12,Forecast!G9))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IF(A10="","",IF(5&gt;=N(Setup!$C$22),1,0))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IF(A10="","",IF($B10=1,Forecast!G10-N(Setup!$D$22)*Setup!$B$9/12,Forecast!G10))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IF(A11="","",IF(6&gt;=N(Setup!$C$22),1,0))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IF(A11="","",IF($B11=1,Forecast!G11-N(Setup!$D$22)*Setup!$B$9/12,Forecast!G11))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IF(A12="","",IF(7&gt;=N(Setup!$C$22),1,0))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IF(A12="","",IF($B12=1,Forecast!G12-N(Setup!$D$22)*Setup!$B$9/12,Forecast!G12))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IF(A13="","",IF(8&gt;=N(Setup!$C$22),1,0))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IF(A13="","",IF($B13=1,Forecast!G13-N(Setup!$D$22)*Setup!$B$9/12,Forecast!G13))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IF(A14="","",IF(9&gt;=N(Setup!$C$22),1,0))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IF(A14="","",IF($B14=1,Forecast!G14-N(Setup!$D$22)*Setup!$B$9/12,Forecast!G14))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IF(A15="","",IF(10&gt;=N(Setup!$C$22),1,0))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IF(A15="","",IF($B15=1,Forecast!G15-N(Setup!$D$22)*Setup!$B$9/12,Forecast!G15))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IF(A16="","",IF(11&gt;=N(Setup!$C$22),1,0))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IF(A16="","",IF($B16=1,Forecast!G16-N(Setup!$D$22)*Setup!$B$9/12,Forecast!G16))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IF(A17="","",IF(12&gt;=N(Setup!$C$22),1,0))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IF(A17="","",IF($B17=1,Forecast!G17-N(Setup!$D$22)*Setup!$B$9/12,Forecast!G17))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IF(A18="","",IF(13&gt;=N(Setup!$C$22),1,0))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IF(A18="","",IF($B18=1,Forecast!G18-N(Setup!$D$22)*Setup!$B$9/12,Forecast!G18))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IF(A19="","",IF(14&gt;=N(Setup!$C$22),1,0))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IF(A19="","",IF($B19=1,Forecast!G19-N(Setup!$D$22)*Setup!$B$9/12,Forecast!G19))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IF(A20="","",IF(15&gt;=N(Setup!$C$22),1,0))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IF(A20="","",IF($B20=1,Forecast!G20-N(Setup!$D$22)*Setup!$B$9/12,Forecast!G20))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IF(A21="","",IF(16&gt;=N(Setup!$C$22),1,0))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IF(A21="","",IF($B21=1,Forecast!G21-N(Setup!$D$22)*Setup!$B$9/12,Forecast!G21))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IF(A22="","",IF(17&gt;=N(Setup!$C$22),1,0))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IF(A22="","",IF($B22=1,Forecast!G22-N(Setup!$D$22)*Setup!$B$9/12,Forecast!G22))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IF(A23="","",IF(18&gt;=N(Setup!$C$22),1,0))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IF(A23="","",IF($B23=1,Forecast!G23-N(Setup!$D$22)*Setup!$B$9/12,Forecast!G23))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IF(A24="","",IF(19&gt;=N(Setup!$C$22),1,0))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IF(A24="","",IF($B24=1,Forecast!G24-N(Setup!$D$22)*Setup!$B$9/12,Forecast!G24))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IF(A25="","",IF(20&gt;=N(Setup!$C$22),1,0))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IF(A25="","",IF($B25=1,Forecast!G25-N(Setup!$D$22)*Setup!$B$9/12,Forecast!G25))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IF(A26="","",IF(21&gt;=N(Setup!$C$22),1,0))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IF(A26="","",IF($B26=1,Forecast!G26-N(Setup!$D$22)*Setup!$B$9/12,Forecast!G26))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IF(A27="","",IF(22&gt;=N(Setup!$C$22),1,0))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IF(A27="","",IF($B27=1,Forecast!G27-N(Setup!$D$22)*Setup!$B$9/12,Forecast!G27))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IF(A28="","",IF(23&gt;=N(Setup!$C$22),1,0))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IF(A28="","",IF($B28=1,Forecast!G28-N(Setup!$D$22)*Setup!$B$9/12,Forecast!G28))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IF(A29="","",IF(24&gt;=N(Setup!$C$22),1,0))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IF(A29="","",IF($B29=1,Forecast!G29-N(Setup!$D$22)*Setup!$B$9/12,Forecast!G29))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IF(A30="","",IF(25&gt;=N(Setup!$C$22),1,0))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IF(A30="","",IF($B30=1,Forecast!G30-N(Setup!$D$22)*Setup!$B$9/12,Forecast!G30))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IF(A31="","",IF(26&gt;=N(Setup!$C$22),1,0))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IF(A31="","",IF($B31=1,Forecast!G31-N(Setup!$D$22)*Setup!$B$9/12,Forecast!G31))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IF(A32="","",IF(27&gt;=N(Setup!$C$22),1,0))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IF(A32="","",IF($B32=1,Forecast!G32-N(Setup!$D$22)*Setup!$B$9/12,Forecast!G32))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IF(A33="","",IF(28&gt;=N(Setup!$C$22),1,0))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IF(A33="","",IF($B33=1,Forecast!G33-N(Setup!$D$22)*Setup!$B$9/12,Forecast!G33))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IF(A34="","",IF(29&gt;=N(Setup!$C$22),1,0))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IF(A34="","",IF($B34=1,Forecast!G34-N(Setup!$D$22)*Setup!$B$9/12,Forecast!G34))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IF(A35="","",IF(30&gt;=N(Setup!$C$22),1,0))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IF(A35="","",IF($B35=1,Forecast!G35-N(Setup!$D$22)*Setup!$B$9/12,Forecast!G35))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IF(A36="","",IF(31&gt;=N(Setup!$C$22),1,0))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IF(A36="","",IF($B36=1,Forecast!G36-N(Setup!$D$22)*Setup!$B$9/12,Forecast!G36))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IF(A37="","",IF(32&gt;=N(Setup!$C$22),1,0))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IF(A37="","",IF($B37=1,Forecast!G37-N(Setup!$D$22)*Setup!$B$9/12,Forecast!G37))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IF(A38="","",IF(33&gt;=N(Setup!$C$22),1,0))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IF(A38="","",IF($B38=1,Forecast!G38-N(Setup!$D$22)*Setup!$B$9/12,Forecast!G38))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IF(A39="","",IF(34&gt;=N(Setup!$C$22),1,0))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IF(A39="","",IF($B39=1,Forecast!G39-N(Setup!$D$22)*Setup!$B$9/12,Forecast!G39))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IF(A40="","",IF(35&gt;=N(Setup!$C$22),1,0))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IF(A40="","",IF($B40=1,Forecast!G40-N(Setup!$D$22)*Setup!$B$9/12,Forecast!G40))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IF(A41="","",IF(36&gt;=N(Setup!$C$22),1,0))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IF(A41="","",IF($B41=1,Forecast!G41-N(Setup!$D$22)*Setup!$B$9/12,Forecast!G41))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IF(A42="","",IF(37&gt;=N(Setup!$C$22),1,0))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IF(A42="","",IF($B42=1,Forecast!G42-N(Setup!$D$22)*Setup!$B$9/12,Forecast!G42))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IF(A43="","",IF(38&gt;=N(Setup!$C$22),1,0))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IF(A43="","",IF($B43=1,Forecast!G43-N(Setup!$D$22)*Setup!$B$9/12,Forecast!G43))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IF(A44="","",IF(39&gt;=N(Setup!$C$22),1,0))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IF(A44="","",IF($B44=1,Forecast!G44-N(Setup!$D$22)*Setup!$B$9/12,Forecast!G44))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IF(A45="","",IF(40&gt;=N(Setup!$C$22),1,0))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IF(A45="","",IF($B45=1,Forecast!G45-N(Setup!$D$22)*Setup!$B$9/12,Forecast!G45))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IF(A46="","",IF(41&gt;=N(Setup!$C$22),1,0))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IF(A46="","",IF($B46=1,Forecast!G46-N(Setup!$D$22)*Setup!$B$9/12,Forecast!G46))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IF(A47="","",IF(42&gt;=N(Setup!$C$22),1,0))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IF(A47="","",IF($B47=1,Forecast!G47-N(Setup!$D$22)*Setup!$B$9/12,Forecast!G47))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IF(A48="","",IF(43&gt;=N(Setup!$C$22),1,0))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IF(A48="","",IF($B48=1,Forecast!G48-N(Setup!$D$22)*Setup!$B$9/12,Forecast!G48))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IF(A49="","",IF(44&gt;=N(Setup!$C$22),1,0))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IF(A49="","",IF($B49=1,Forecast!G49-N(Setup!$D$22)*Setup!$B$9/12,Forecast!G49))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IF(A50="","",IF(45&gt;=N(Setup!$C$22),1,0))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IF(A50="","",IF($B50=1,Forecast!G50-N(Setup!$D$22)*Setup!$B$9/12,Forecast!G50))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IF(A51="","",IF(46&gt;=N(Setup!$C$22),1,0))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IF(A51="","",IF($B51=1,Forecast!G51-N(Setup!$D$22)*Setup!$B$9/12,Forecast!G51))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IF(A52="","",IF(47&gt;=N(Setup!$C$22),1,0))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IF(A52="","",IF($B52=1,Forecast!G52-N(Setup!$D$22)*Setup!$B$9/12,Forecast!G52))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IF(A53="","",IF(48&gt;=N(Setup!$C$22),1,0))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IF(A53="","",IF($B53=1,Forecast!G53-N(Setup!$D$22)*Setup!$B$9/12,Forecast!G53))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IF(A54="","",IF(49&gt;=N(Setup!$C$22),1,0))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IF(A54="","",IF($B54=1,Forecast!G54-N(Setup!$D$22)*Setup!$B$9/12,Forecast!G54))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IF(A55="","",IF(50&gt;=N(Setup!$C$22),1,0))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IF(A55="","",IF($B55=1,Forecast!G55-N(Setup!$D$22)*Setup!$B$9/12,Forecast!G55))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IF(A56="","",IF(51&gt;=N(Setup!$C$22),1,0))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IF(A56="","",IF($B56=1,Forecast!G56-N(Setup!$D$22)*Setup!$B$9/12,Forecast!G56))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IF(A57="","",IF(52&gt;=N(Setup!$C$22),1,0))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IF(A57="","",IF($B57=1,Forecast!G57-N(Setup!$D$22)*Setup!$B$9/12,Forecast!G57))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IF(A58="","",IF(53&gt;=N(Setup!$C$22),1,0))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IF(A58="","",IF($B58=1,Forecast!G58-N(Setup!$D$22)*Setup!$B$9/12,Forecast!G58))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IF(A59="","",IF(54&gt;=N(Setup!$C$22),1,0))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IF(A59="","",IF($B59=1,Forecast!G59-N(Setup!$D$22)*Setup!$B$9/12,Forecast!G59))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IF(A60="","",IF(55&gt;=N(Setup!$C$22),1,0))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IF(A60="","",IF($B60=1,Forecast!G60-N(Setup!$D$22)*Setup!$B$9/12,Forecast!G60))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IF(A61="","",IF(56&gt;=N(Setup!$C$22),1,0))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IF(A61="","",IF($B61=1,Forecast!G61-N(Setup!$D$22)*Setup!$B$9/12,Forecast!G61))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IF(A62="","",IF(57&gt;=N(Setup!$C$22),1,0))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IF(A62="","",IF($B62=1,Forecast!G62-N(Setup!$D$22)*Setup!$B$9/12,Forecast!G62))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IF(A63="","",IF(58&gt;=N(Setup!$C$22),1,0))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IF(A63="","",IF($B63=1,Forecast!G63-N(Setup!$D$22)*Setup!$B$9/12,Forecast!G63))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IF(A64="","",IF(59&gt;=N(Setup!$C$22),1,0))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IF(A64="","",IF($B64=1,Forecast!G64-N(Setup!$D$22)*Setup!$B$9/12,Forecast!G64))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IF(A65="","",IF(60&gt;=N(Setup!$C$22),1,0))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IF(A65="","",IF($B65=1,Forecast!G65-N(Setup!$D$22)*Setup!$B$9/12,Forecast!G65))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IF(A66="","",IF(61&gt;=N(Setup!$C$22),1,0))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IF(A66="","",IF($B66=1,Forecast!G66-N(Setup!$D$22)*Setup!$B$9/12,Forecast!G66))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IF(A67="","",IF(62&gt;=N(Setup!$C$22),1,0))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IF(A67="","",IF($B67=1,Forecast!G67-N(Setup!$D$22)*Setup!$B$9/12,Forecast!G67))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IF(A68="","",IF(63&gt;=N(Setup!$C$22),1,0))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IF(A68="","",IF($B68=1,Forecast!G68-N(Setup!$D$22)*Setup!$B$9/12,Forecast!G68))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IF(A69="","",IF(64&gt;=N(Setup!$C$22),1,0))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IF(A69="","",IF($B69=1,Forecast!G69-N(Setup!$D$22)*Setup!$B$9/12,Forecast!G69))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IF(A70="","",IF(65&gt;=N(Setup!$C$22),1,0))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IF(A70="","",IF($B70=1,Forecast!G70-N(Setup!$D$22)*Setup!$B$9/12,Forecast!G70))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IF(A71="","",IF(66&gt;=N(Setup!$C$22),1,0))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IF(A71="","",IF($B71=1,Forecast!G71-N(Setup!$D$22)*Setup!$B$9/12,Forecast!G71))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IF(A72="","",IF(67&gt;=N(Setup!$C$22),1,0))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IF(A72="","",IF($B72=1,Forecast!G72-N(Setup!$D$22)*Setup!$B$9/12,Forecast!G72))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IF(A73="","",IF(68&gt;=N(Setup!$C$22),1,0))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IF(A73="","",IF($B73=1,Forecast!G73-N(Setup!$D$22)*Setup!$B$9/12,Forecast!G73))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IF(A74="","",IF(69&gt;=N(Setup!$C$22),1,0))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IF(A74="","",IF($B74=1,Forecast!G74-N(Setup!$D$22)*Setup!$B$9/12,Forecast!G74))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IF(A75="","",IF(70&gt;=N(Setup!$C$22),1,0))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IF(A75="","",IF($B75=1,Forecast!G75-N(Setup!$D$22)*Setup!$B$9/12,Forecast!G75))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IF(A76="","",IF(71&gt;=N(Setup!$C$22),1,0))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IF(A76="","",IF($B76=1,Forecast!G76-N(Setup!$D$22)*Setup!$B$9/12,Forecast!G76))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IF(A77="","",IF(72&gt;=N(Setup!$C$22),1,0))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IF(A77="","",IF($B77=1,Forecast!G77-N(Setup!$D$22)*Setup!$B$9/12,Forecast!G77))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IF(A78="","",IF(73&gt;=N(Setup!$C$22),1,0))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IF(A78="","",IF($B78=1,Forecast!G78-N(Setup!$D$22)*Setup!$B$9/12,Forecast!G78))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IF(A79="","",IF(74&gt;=N(Setup!$C$22),1,0))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IF(A79="","",IF($B79=1,Forecast!G79-N(Setup!$D$22)*Setup!$B$9/12,Forecast!G79))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IF(A80="","",IF(75&gt;=N(Setup!$C$22),1,0))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IF(A80="","",IF($B80=1,Forecast!G80-N(Setup!$D$22)*Setup!$B$9/12,Forecast!G80))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IF(A81="","",IF(76&gt;=N(Setup!$C$22),1,0))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IF(A81="","",IF($B81=1,Forecast!G81-N(Setup!$D$22)*Setup!$B$9/12,Forecast!G81))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IF(A82="","",IF(77&gt;=N(Setup!$C$22),1,0))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IF(A82="","",IF($B82=1,Forecast!G82-N(Setup!$D$22)*Setup!$B$9/12,Forecast!G82))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IF(A83="","",IF(78&gt;=N(Setup!$C$22),1,0))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IF(A83="","",IF($B83=1,Forecast!G83-N(Setup!$D$22)*Setup!$B$9/12,Forecast!G83))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IF(A84="","",IF(79&gt;=N(Setup!$C$22),1,0))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IF(A84="","",IF($B84=1,Forecast!G84-N(Setup!$D$22)*Setup!$B$9/12,Forecast!G84))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IF(A85="","",IF(80&gt;=N(Setup!$C$22),1,0))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IF(A85="","",IF($B85=1,Forecast!G85-N(Setup!$D$22)*Setup!$B$9/12,Forecast!G85))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IF(A86="","",IF(81&gt;=N(Setup!$C$22),1,0))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IF(A86="","",IF($B86=1,Forecast!G86-N(Setup!$D$22)*Setup!$B$9/12,Forecast!G86))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IF(A87="","",IF(82&gt;=N(Setup!$C$22),1,0))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IF(A87="","",IF($B87=1,Forecast!G87-N(Setup!$D$22)*Setup!$B$9/12,Forecast!G87))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IF(A88="","",IF(83&gt;=N(Setup!$C$22),1,0))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IF(A88="","",IF($B88=1,Forecast!G88-N(Setup!$D$22)*Setup!$B$9/12,Forecast!G88))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IF(A89="","",IF(84&gt;=N(Setup!$C$22),1,0))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IF(A89="","",IF($B89=1,Forecast!G89-N(Setup!$D$22)*Setup!$B$9/12,Forecast!G89))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IF(A90="","",IF(85&gt;=N(Setup!$C$22),1,0))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IF(A90="","",IF($B90=1,Forecast!G90-N(Setup!$D$22)*Setup!$B$9/12,Forecast!G90))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IF(A91="","",IF(86&gt;=N(Setup!$C$22),1,0))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IF(A91="","",IF($B91=1,Forecast!G91-N(Setup!$D$22)*Setup!$B$9/12,Forecast!G91))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IF(A92="","",IF(87&gt;=N(Setup!$C$22),1,0))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IF(A92="","",IF($B92=1,Forecast!G92-N(Setup!$D$22)*Setup!$B$9/12,Forecast!G92))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IF(A93="","",IF(88&gt;=N(Setup!$C$22),1,0))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IF(A93="","",IF($B93=1,Forecast!G93-N(Setup!$D$22)*Setup!$B$9/12,Forecast!G93))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IF(A94="","",IF(89&gt;=N(Setup!$C$22),1,0))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IF(A94="","",IF($B94=1,Forecast!G94-N(Setup!$D$22)*Setup!$B$9/12,Forecast!G94))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IF(A95="","",IF(90&gt;=N(Setup!$C$22),1,0))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IF(A95="","",IF($B95=1,Forecast!G95-N(Setup!$D$22)*Setup!$B$9/12,Forecast!G95))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IF(A96="","",IF(91&gt;=N(Setup!$C$22),1,0))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IF(A96="","",IF($B96=1,Forecast!G96-N(Setup!$D$22)*Setup!$B$9/12,Forecast!G96))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IF(A97="","",IF(92&gt;=N(Setup!$C$22),1,0))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IF(A97="","",IF($B97=1,Forecast!G97-N(Setup!$D$22)*Setup!$B$9/12,Forecast!G97))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IF(A98="","",IF(93&gt;=N(Setup!$C$22),1,0))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IF(A98="","",IF($B98=1,Forecast!G98-N(Setup!$D$22)*Setup!$B$9/12,Forecast!G98))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IF(A99="","",IF(94&gt;=N(Setup!$C$22),1,0))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IF(A99="","",IF($B99=1,Forecast!G99-N(Setup!$D$22)*Setup!$B$9/12,Forecast!G99))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IF(A100="","",IF(95&gt;=N(Setup!$C$22),1,0))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IF(A100="","",IF($B100=1,Forecast!G100-N(Setup!$D$22)*Setup!$B$9/12,Forecast!G100))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IF(A101="","",IF(96&gt;=N(Setup!$C$22),1,0))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IF(A101="","",IF($B101=1,Forecast!G101-N(Setup!$D$22)*Setup!$B$9/12,Forecast!G101))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IF(A102="","",IF(97&gt;=N(Setup!$C$22),1,0))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IF(A102="","",IF($B102=1,Forecast!G102-N(Setup!$D$22)*Setup!$B$9/12,Forecast!G102))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IF(A103="","",IF(98&gt;=N(Setup!$C$22),1,0))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IF(A103="","",IF($B103=1,Forecast!G103-N(Setup!$D$22)*Setup!$B$9/12,Forecast!G103))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IF(A104="","",IF(99&gt;=N(Setup!$C$22),1,0))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IF(A104="","",IF($B104=1,Forecast!G104-N(Setup!$D$22)*Setup!$B$9/12,Forecast!G104))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IF(A105="","",IF(100&gt;=N(Setup!$C$22),1,0))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IF(A105="","",IF($B105=1,Forecast!G105-N(Setup!$D$22)*Setup!$B$9/12,Forecast!G105))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IF(A106="","",IF(101&gt;=N(Setup!$C$22),1,0))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IF(A106="","",IF($B106=1,Forecast!G106-N(Setup!$D$22)*Setup!$B$9/12,Forecast!G106))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IF(A107="","",IF(102&gt;=N(Setup!$C$22),1,0))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IF(A107="","",IF($B107=1,Forecast!G107-N(Setup!$D$22)*Setup!$B$9/12,Forecast!G107))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IF(A108="","",IF(103&gt;=N(Setup!$C$22),1,0))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IF(A108="","",IF($B108=1,Forecast!G108-N(Setup!$D$22)*Setup!$B$9/12,Forecast!G108))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IF(A109="","",IF(104&gt;=N(Setup!$C$22),1,0))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IF(A109="","",IF($B109=1,Forecast!G109-N(Setup!$D$22)*Setup!$B$9/12,Forecast!G109))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IF(A110="","",IF(105&gt;=N(Setup!$C$22),1,0))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IF(A110="","",IF($B110=1,Forecast!G110-N(Setup!$D$22)*Setup!$B$9/12,Forecast!G110))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IF(A111="","",IF(106&gt;=N(Setup!$C$22),1,0))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IF(A111="","",IF($B111=1,Forecast!G111-N(Setup!$D$22)*Setup!$B$9/12,Forecast!G111))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IF(A112="","",IF(107&gt;=N(Setup!$C$22),1,0))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IF(A112="","",IF($B112=1,Forecast!G112-N(Setup!$D$22)*Setup!$B$9/12,Forecast!G112))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IF(A113="","",IF(108&gt;=N(Setup!$C$22),1,0))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IF(A113="","",IF($B113=1,Forecast!G113-N(Setup!$D$22)*Setup!$B$9/12,Forecast!G113))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IF(A114="","",IF(109&gt;=N(Setup!$C$22),1,0))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IF(A114="","",IF($B114=1,Forecast!G114-N(Setup!$D$22)*Setup!$B$9/12,Forecast!G114))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IF(A115="","",IF(110&gt;=N(Setup!$C$22),1,0))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IF(A115="","",IF($B115=1,Forecast!G115-N(Setup!$D$22)*Setup!$B$9/12,Forecast!G115))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IF(A116="","",IF(111&gt;=N(Setup!$C$22),1,0))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IF(A116="","",IF($B116=1,Forecast!G116-N(Setup!$D$22)*Setup!$B$9/12,Forecast!G116))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IF(A117="","",IF(112&gt;=N(Setup!$C$22),1,0))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IF(A117="","",IF($B117=1,Forecast!G117-N(Setup!$D$22)*Setup!$B$9/12,Forecast!G117))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IF(A118="","",IF(113&gt;=N(Setup!$C$22),1,0))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IF(A118="","",IF($B118=1,Forecast!G118-N(Setup!$D$22)*Setup!$B$9/12,Forecast!G118))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IF(A119="","",IF(114&gt;=N(Setup!$C$22),1,0))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IF(A119="","",IF($B119=1,Forecast!G119-N(Setup!$D$22)*Setup!$B$9/12,Forecast!G119))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IF(A120="","",IF(115&gt;=N(Setup!$C$22),1,0))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IF(A120="","",IF($B120=1,Forecast!G120-N(Setup!$D$22)*Setup!$B$9/12,Forecast!G120))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IF(A121="","",IF(116&gt;=N(Setup!$C$22),1,0))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IF(A121="","",IF($B121=1,Forecast!G121-N(Setup!$D$22)*Setup!$B$9/12,Forecast!G121))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IF(A122="","",IF(117&gt;=N(Setup!$C$22),1,0))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IF(A122="","",IF($B122=1,Forecast!G122-N(Setup!$D$22)*Setup!$B$9/12,Forecast!G122))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IF(A123="","",IF(118&gt;=N(Setup!$C$22),1,0))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IF(A123="","",IF($B123=1,Forecast!G123-N(Setup!$D$22)*Setup!$B$9/12,Forecast!G123))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IF(A124="","",IF(119&gt;=N(Setup!$C$22),1,0))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IF(A124="","",IF($B124=1,Forecast!G124-N(Setup!$D$22)*Setup!$B$9/12,Forecast!G124))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6</t>
        </is>
      </c>
    </row>
    <row r="2">
      <c r="B2" s="5">
        <f>Setup!B23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IF(A5="","",IF(0&gt;=N(Setup!$C$23),1,0))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IF(A5="","",IF($B5=1,Forecast!G5-N(Setup!$D$23)*Setup!$B$9/12,Forecast!G5))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IF(A6="","",IF(1&gt;=N(Setup!$C$23),1,0))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IF(A6="","",IF($B6=1,Forecast!G6-N(Setup!$D$23)*Setup!$B$9/12,Forecast!G6))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IF(A7="","",IF(2&gt;=N(Setup!$C$23),1,0))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IF(A7="","",IF($B7=1,Forecast!G7-N(Setup!$D$23)*Setup!$B$9/12,Forecast!G7))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IF(A8="","",IF(3&gt;=N(Setup!$C$23),1,0))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IF(A8="","",IF($B8=1,Forecast!G8-N(Setup!$D$23)*Setup!$B$9/12,Forecast!G8))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IF(A9="","",IF(4&gt;=N(Setup!$C$23),1,0))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IF(A9="","",IF($B9=1,Forecast!G9-N(Setup!$D$23)*Setup!$B$9/12,Forecast!G9))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IF(A10="","",IF(5&gt;=N(Setup!$C$23),1,0))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IF(A10="","",IF($B10=1,Forecast!G10-N(Setup!$D$23)*Setup!$B$9/12,Forecast!G10))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IF(A11="","",IF(6&gt;=N(Setup!$C$23),1,0))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IF(A11="","",IF($B11=1,Forecast!G11-N(Setup!$D$23)*Setup!$B$9/12,Forecast!G11))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IF(A12="","",IF(7&gt;=N(Setup!$C$23),1,0))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IF(A12="","",IF($B12=1,Forecast!G12-N(Setup!$D$23)*Setup!$B$9/12,Forecast!G12))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IF(A13="","",IF(8&gt;=N(Setup!$C$23),1,0))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IF(A13="","",IF($B13=1,Forecast!G13-N(Setup!$D$23)*Setup!$B$9/12,Forecast!G13))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IF(A14="","",IF(9&gt;=N(Setup!$C$23),1,0))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IF(A14="","",IF($B14=1,Forecast!G14-N(Setup!$D$23)*Setup!$B$9/12,Forecast!G14))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IF(A15="","",IF(10&gt;=N(Setup!$C$23),1,0))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IF(A15="","",IF($B15=1,Forecast!G15-N(Setup!$D$23)*Setup!$B$9/12,Forecast!G15))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IF(A16="","",IF(11&gt;=N(Setup!$C$23),1,0))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IF(A16="","",IF($B16=1,Forecast!G16-N(Setup!$D$23)*Setup!$B$9/12,Forecast!G16))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IF(A17="","",IF(12&gt;=N(Setup!$C$23),1,0))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IF(A17="","",IF($B17=1,Forecast!G17-N(Setup!$D$23)*Setup!$B$9/12,Forecast!G17))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IF(A18="","",IF(13&gt;=N(Setup!$C$23),1,0))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IF(A18="","",IF($B18=1,Forecast!G18-N(Setup!$D$23)*Setup!$B$9/12,Forecast!G18))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IF(A19="","",IF(14&gt;=N(Setup!$C$23),1,0))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IF(A19="","",IF($B19=1,Forecast!G19-N(Setup!$D$23)*Setup!$B$9/12,Forecast!G19))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IF(A20="","",IF(15&gt;=N(Setup!$C$23),1,0))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IF(A20="","",IF($B20=1,Forecast!G20-N(Setup!$D$23)*Setup!$B$9/12,Forecast!G20))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IF(A21="","",IF(16&gt;=N(Setup!$C$23),1,0))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IF(A21="","",IF($B21=1,Forecast!G21-N(Setup!$D$23)*Setup!$B$9/12,Forecast!G21))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IF(A22="","",IF(17&gt;=N(Setup!$C$23),1,0))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IF(A22="","",IF($B22=1,Forecast!G22-N(Setup!$D$23)*Setup!$B$9/12,Forecast!G22))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IF(A23="","",IF(18&gt;=N(Setup!$C$23),1,0))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IF(A23="","",IF($B23=1,Forecast!G23-N(Setup!$D$23)*Setup!$B$9/12,Forecast!G23))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IF(A24="","",IF(19&gt;=N(Setup!$C$23),1,0))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IF(A24="","",IF($B24=1,Forecast!G24-N(Setup!$D$23)*Setup!$B$9/12,Forecast!G24))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IF(A25="","",IF(20&gt;=N(Setup!$C$23),1,0))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IF(A25="","",IF($B25=1,Forecast!G25-N(Setup!$D$23)*Setup!$B$9/12,Forecast!G25))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IF(A26="","",IF(21&gt;=N(Setup!$C$23),1,0))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IF(A26="","",IF($B26=1,Forecast!G26-N(Setup!$D$23)*Setup!$B$9/12,Forecast!G26))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IF(A27="","",IF(22&gt;=N(Setup!$C$23),1,0))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IF(A27="","",IF($B27=1,Forecast!G27-N(Setup!$D$23)*Setup!$B$9/12,Forecast!G27))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IF(A28="","",IF(23&gt;=N(Setup!$C$23),1,0))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IF(A28="","",IF($B28=1,Forecast!G28-N(Setup!$D$23)*Setup!$B$9/12,Forecast!G28))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IF(A29="","",IF(24&gt;=N(Setup!$C$23),1,0))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IF(A29="","",IF($B29=1,Forecast!G29-N(Setup!$D$23)*Setup!$B$9/12,Forecast!G29))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IF(A30="","",IF(25&gt;=N(Setup!$C$23),1,0))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IF(A30="","",IF($B30=1,Forecast!G30-N(Setup!$D$23)*Setup!$B$9/12,Forecast!G30))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IF(A31="","",IF(26&gt;=N(Setup!$C$23),1,0))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IF(A31="","",IF($B31=1,Forecast!G31-N(Setup!$D$23)*Setup!$B$9/12,Forecast!G31))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IF(A32="","",IF(27&gt;=N(Setup!$C$23),1,0))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IF(A32="","",IF($B32=1,Forecast!G32-N(Setup!$D$23)*Setup!$B$9/12,Forecast!G32))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IF(A33="","",IF(28&gt;=N(Setup!$C$23),1,0))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IF(A33="","",IF($B33=1,Forecast!G33-N(Setup!$D$23)*Setup!$B$9/12,Forecast!G33))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IF(A34="","",IF(29&gt;=N(Setup!$C$23),1,0))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IF(A34="","",IF($B34=1,Forecast!G34-N(Setup!$D$23)*Setup!$B$9/12,Forecast!G34))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IF(A35="","",IF(30&gt;=N(Setup!$C$23),1,0))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IF(A35="","",IF($B35=1,Forecast!G35-N(Setup!$D$23)*Setup!$B$9/12,Forecast!G35))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IF(A36="","",IF(31&gt;=N(Setup!$C$23),1,0))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IF(A36="","",IF($B36=1,Forecast!G36-N(Setup!$D$23)*Setup!$B$9/12,Forecast!G36))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IF(A37="","",IF(32&gt;=N(Setup!$C$23),1,0))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IF(A37="","",IF($B37=1,Forecast!G37-N(Setup!$D$23)*Setup!$B$9/12,Forecast!G37))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IF(A38="","",IF(33&gt;=N(Setup!$C$23),1,0))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IF(A38="","",IF($B38=1,Forecast!G38-N(Setup!$D$23)*Setup!$B$9/12,Forecast!G38))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IF(A39="","",IF(34&gt;=N(Setup!$C$23),1,0))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IF(A39="","",IF($B39=1,Forecast!G39-N(Setup!$D$23)*Setup!$B$9/12,Forecast!G39))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IF(A40="","",IF(35&gt;=N(Setup!$C$23),1,0))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IF(A40="","",IF($B40=1,Forecast!G40-N(Setup!$D$23)*Setup!$B$9/12,Forecast!G40))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IF(A41="","",IF(36&gt;=N(Setup!$C$23),1,0))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IF(A41="","",IF($B41=1,Forecast!G41-N(Setup!$D$23)*Setup!$B$9/12,Forecast!G41))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IF(A42="","",IF(37&gt;=N(Setup!$C$23),1,0))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IF(A42="","",IF($B42=1,Forecast!G42-N(Setup!$D$23)*Setup!$B$9/12,Forecast!G42))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IF(A43="","",IF(38&gt;=N(Setup!$C$23),1,0))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IF(A43="","",IF($B43=1,Forecast!G43-N(Setup!$D$23)*Setup!$B$9/12,Forecast!G43))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IF(A44="","",IF(39&gt;=N(Setup!$C$23),1,0))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IF(A44="","",IF($B44=1,Forecast!G44-N(Setup!$D$23)*Setup!$B$9/12,Forecast!G44))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IF(A45="","",IF(40&gt;=N(Setup!$C$23),1,0))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IF(A45="","",IF($B45=1,Forecast!G45-N(Setup!$D$23)*Setup!$B$9/12,Forecast!G45))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IF(A46="","",IF(41&gt;=N(Setup!$C$23),1,0))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IF(A46="","",IF($B46=1,Forecast!G46-N(Setup!$D$23)*Setup!$B$9/12,Forecast!G46))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IF(A47="","",IF(42&gt;=N(Setup!$C$23),1,0))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IF(A47="","",IF($B47=1,Forecast!G47-N(Setup!$D$23)*Setup!$B$9/12,Forecast!G47))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IF(A48="","",IF(43&gt;=N(Setup!$C$23),1,0))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IF(A48="","",IF($B48=1,Forecast!G48-N(Setup!$D$23)*Setup!$B$9/12,Forecast!G48))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IF(A49="","",IF(44&gt;=N(Setup!$C$23),1,0))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IF(A49="","",IF($B49=1,Forecast!G49-N(Setup!$D$23)*Setup!$B$9/12,Forecast!G49))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IF(A50="","",IF(45&gt;=N(Setup!$C$23),1,0))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IF(A50="","",IF($B50=1,Forecast!G50-N(Setup!$D$23)*Setup!$B$9/12,Forecast!G50))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IF(A51="","",IF(46&gt;=N(Setup!$C$23),1,0))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IF(A51="","",IF($B51=1,Forecast!G51-N(Setup!$D$23)*Setup!$B$9/12,Forecast!G51))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IF(A52="","",IF(47&gt;=N(Setup!$C$23),1,0))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IF(A52="","",IF($B52=1,Forecast!G52-N(Setup!$D$23)*Setup!$B$9/12,Forecast!G52))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IF(A53="","",IF(48&gt;=N(Setup!$C$23),1,0))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IF(A53="","",IF($B53=1,Forecast!G53-N(Setup!$D$23)*Setup!$B$9/12,Forecast!G53))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IF(A54="","",IF(49&gt;=N(Setup!$C$23),1,0))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IF(A54="","",IF($B54=1,Forecast!G54-N(Setup!$D$23)*Setup!$B$9/12,Forecast!G54))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IF(A55="","",IF(50&gt;=N(Setup!$C$23),1,0))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IF(A55="","",IF($B55=1,Forecast!G55-N(Setup!$D$23)*Setup!$B$9/12,Forecast!G55))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IF(A56="","",IF(51&gt;=N(Setup!$C$23),1,0))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IF(A56="","",IF($B56=1,Forecast!G56-N(Setup!$D$23)*Setup!$B$9/12,Forecast!G56))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IF(A57="","",IF(52&gt;=N(Setup!$C$23),1,0))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IF(A57="","",IF($B57=1,Forecast!G57-N(Setup!$D$23)*Setup!$B$9/12,Forecast!G57))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IF(A58="","",IF(53&gt;=N(Setup!$C$23),1,0))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IF(A58="","",IF($B58=1,Forecast!G58-N(Setup!$D$23)*Setup!$B$9/12,Forecast!G58))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IF(A59="","",IF(54&gt;=N(Setup!$C$23),1,0))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IF(A59="","",IF($B59=1,Forecast!G59-N(Setup!$D$23)*Setup!$B$9/12,Forecast!G59))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IF(A60="","",IF(55&gt;=N(Setup!$C$23),1,0))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IF(A60="","",IF($B60=1,Forecast!G60-N(Setup!$D$23)*Setup!$B$9/12,Forecast!G60))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IF(A61="","",IF(56&gt;=N(Setup!$C$23),1,0))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IF(A61="","",IF($B61=1,Forecast!G61-N(Setup!$D$23)*Setup!$B$9/12,Forecast!G61))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IF(A62="","",IF(57&gt;=N(Setup!$C$23),1,0))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IF(A62="","",IF($B62=1,Forecast!G62-N(Setup!$D$23)*Setup!$B$9/12,Forecast!G62))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IF(A63="","",IF(58&gt;=N(Setup!$C$23),1,0))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IF(A63="","",IF($B63=1,Forecast!G63-N(Setup!$D$23)*Setup!$B$9/12,Forecast!G63))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IF(A64="","",IF(59&gt;=N(Setup!$C$23),1,0))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IF(A64="","",IF($B64=1,Forecast!G64-N(Setup!$D$23)*Setup!$B$9/12,Forecast!G64))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IF(A65="","",IF(60&gt;=N(Setup!$C$23),1,0))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IF(A65="","",IF($B65=1,Forecast!G65-N(Setup!$D$23)*Setup!$B$9/12,Forecast!G65))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IF(A66="","",IF(61&gt;=N(Setup!$C$23),1,0))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IF(A66="","",IF($B66=1,Forecast!G66-N(Setup!$D$23)*Setup!$B$9/12,Forecast!G66))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IF(A67="","",IF(62&gt;=N(Setup!$C$23),1,0))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IF(A67="","",IF($B67=1,Forecast!G67-N(Setup!$D$23)*Setup!$B$9/12,Forecast!G67))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IF(A68="","",IF(63&gt;=N(Setup!$C$23),1,0))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IF(A68="","",IF($B68=1,Forecast!G68-N(Setup!$D$23)*Setup!$B$9/12,Forecast!G68))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IF(A69="","",IF(64&gt;=N(Setup!$C$23),1,0))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IF(A69="","",IF($B69=1,Forecast!G69-N(Setup!$D$23)*Setup!$B$9/12,Forecast!G69))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IF(A70="","",IF(65&gt;=N(Setup!$C$23),1,0))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IF(A70="","",IF($B70=1,Forecast!G70-N(Setup!$D$23)*Setup!$B$9/12,Forecast!G70))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IF(A71="","",IF(66&gt;=N(Setup!$C$23),1,0))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IF(A71="","",IF($B71=1,Forecast!G71-N(Setup!$D$23)*Setup!$B$9/12,Forecast!G71))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IF(A72="","",IF(67&gt;=N(Setup!$C$23),1,0))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IF(A72="","",IF($B72=1,Forecast!G72-N(Setup!$D$23)*Setup!$B$9/12,Forecast!G72))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IF(A73="","",IF(68&gt;=N(Setup!$C$23),1,0))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IF(A73="","",IF($B73=1,Forecast!G73-N(Setup!$D$23)*Setup!$B$9/12,Forecast!G73))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IF(A74="","",IF(69&gt;=N(Setup!$C$23),1,0))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IF(A74="","",IF($B74=1,Forecast!G74-N(Setup!$D$23)*Setup!$B$9/12,Forecast!G74))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IF(A75="","",IF(70&gt;=N(Setup!$C$23),1,0))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IF(A75="","",IF($B75=1,Forecast!G75-N(Setup!$D$23)*Setup!$B$9/12,Forecast!G75))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IF(A76="","",IF(71&gt;=N(Setup!$C$23),1,0))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IF(A76="","",IF($B76=1,Forecast!G76-N(Setup!$D$23)*Setup!$B$9/12,Forecast!G76))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IF(A77="","",IF(72&gt;=N(Setup!$C$23),1,0))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IF(A77="","",IF($B77=1,Forecast!G77-N(Setup!$D$23)*Setup!$B$9/12,Forecast!G77))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IF(A78="","",IF(73&gt;=N(Setup!$C$23),1,0))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IF(A78="","",IF($B78=1,Forecast!G78-N(Setup!$D$23)*Setup!$B$9/12,Forecast!G78))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IF(A79="","",IF(74&gt;=N(Setup!$C$23),1,0))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IF(A79="","",IF($B79=1,Forecast!G79-N(Setup!$D$23)*Setup!$B$9/12,Forecast!G79))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IF(A80="","",IF(75&gt;=N(Setup!$C$23),1,0))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IF(A80="","",IF($B80=1,Forecast!G80-N(Setup!$D$23)*Setup!$B$9/12,Forecast!G80))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IF(A81="","",IF(76&gt;=N(Setup!$C$23),1,0))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IF(A81="","",IF($B81=1,Forecast!G81-N(Setup!$D$23)*Setup!$B$9/12,Forecast!G81))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IF(A82="","",IF(77&gt;=N(Setup!$C$23),1,0))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IF(A82="","",IF($B82=1,Forecast!G82-N(Setup!$D$23)*Setup!$B$9/12,Forecast!G82))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IF(A83="","",IF(78&gt;=N(Setup!$C$23),1,0))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IF(A83="","",IF($B83=1,Forecast!G83-N(Setup!$D$23)*Setup!$B$9/12,Forecast!G83))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IF(A84="","",IF(79&gt;=N(Setup!$C$23),1,0))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IF(A84="","",IF($B84=1,Forecast!G84-N(Setup!$D$23)*Setup!$B$9/12,Forecast!G84))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IF(A85="","",IF(80&gt;=N(Setup!$C$23),1,0))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IF(A85="","",IF($B85=1,Forecast!G85-N(Setup!$D$23)*Setup!$B$9/12,Forecast!G85))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IF(A86="","",IF(81&gt;=N(Setup!$C$23),1,0))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IF(A86="","",IF($B86=1,Forecast!G86-N(Setup!$D$23)*Setup!$B$9/12,Forecast!G86))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IF(A87="","",IF(82&gt;=N(Setup!$C$23),1,0))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IF(A87="","",IF($B87=1,Forecast!G87-N(Setup!$D$23)*Setup!$B$9/12,Forecast!G87))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IF(A88="","",IF(83&gt;=N(Setup!$C$23),1,0))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IF(A88="","",IF($B88=1,Forecast!G88-N(Setup!$D$23)*Setup!$B$9/12,Forecast!G88))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IF(A89="","",IF(84&gt;=N(Setup!$C$23),1,0))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IF(A89="","",IF($B89=1,Forecast!G89-N(Setup!$D$23)*Setup!$B$9/12,Forecast!G89))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IF(A90="","",IF(85&gt;=N(Setup!$C$23),1,0))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IF(A90="","",IF($B90=1,Forecast!G90-N(Setup!$D$23)*Setup!$B$9/12,Forecast!G90))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IF(A91="","",IF(86&gt;=N(Setup!$C$23),1,0))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IF(A91="","",IF($B91=1,Forecast!G91-N(Setup!$D$23)*Setup!$B$9/12,Forecast!G91))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IF(A92="","",IF(87&gt;=N(Setup!$C$23),1,0))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IF(A92="","",IF($B92=1,Forecast!G92-N(Setup!$D$23)*Setup!$B$9/12,Forecast!G92))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IF(A93="","",IF(88&gt;=N(Setup!$C$23),1,0))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IF(A93="","",IF($B93=1,Forecast!G93-N(Setup!$D$23)*Setup!$B$9/12,Forecast!G93))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IF(A94="","",IF(89&gt;=N(Setup!$C$23),1,0))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IF(A94="","",IF($B94=1,Forecast!G94-N(Setup!$D$23)*Setup!$B$9/12,Forecast!G94))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IF(A95="","",IF(90&gt;=N(Setup!$C$23),1,0))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IF(A95="","",IF($B95=1,Forecast!G95-N(Setup!$D$23)*Setup!$B$9/12,Forecast!G95))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IF(A96="","",IF(91&gt;=N(Setup!$C$23),1,0))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IF(A96="","",IF($B96=1,Forecast!G96-N(Setup!$D$23)*Setup!$B$9/12,Forecast!G96))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IF(A97="","",IF(92&gt;=N(Setup!$C$23),1,0))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IF(A97="","",IF($B97=1,Forecast!G97-N(Setup!$D$23)*Setup!$B$9/12,Forecast!G97))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IF(A98="","",IF(93&gt;=N(Setup!$C$23),1,0))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IF(A98="","",IF($B98=1,Forecast!G98-N(Setup!$D$23)*Setup!$B$9/12,Forecast!G98))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IF(A99="","",IF(94&gt;=N(Setup!$C$23),1,0))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IF(A99="","",IF($B99=1,Forecast!G99-N(Setup!$D$23)*Setup!$B$9/12,Forecast!G99))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IF(A100="","",IF(95&gt;=N(Setup!$C$23),1,0))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IF(A100="","",IF($B100=1,Forecast!G100-N(Setup!$D$23)*Setup!$B$9/12,Forecast!G100))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IF(A101="","",IF(96&gt;=N(Setup!$C$23),1,0))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IF(A101="","",IF($B101=1,Forecast!G101-N(Setup!$D$23)*Setup!$B$9/12,Forecast!G101))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IF(A102="","",IF(97&gt;=N(Setup!$C$23),1,0))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IF(A102="","",IF($B102=1,Forecast!G102-N(Setup!$D$23)*Setup!$B$9/12,Forecast!G102))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IF(A103="","",IF(98&gt;=N(Setup!$C$23),1,0))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IF(A103="","",IF($B103=1,Forecast!G103-N(Setup!$D$23)*Setup!$B$9/12,Forecast!G103))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IF(A104="","",IF(99&gt;=N(Setup!$C$23),1,0))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IF(A104="","",IF($B104=1,Forecast!G104-N(Setup!$D$23)*Setup!$B$9/12,Forecast!G104))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IF(A105="","",IF(100&gt;=N(Setup!$C$23),1,0))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IF(A105="","",IF($B105=1,Forecast!G105-N(Setup!$D$23)*Setup!$B$9/12,Forecast!G105))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IF(A106="","",IF(101&gt;=N(Setup!$C$23),1,0))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IF(A106="","",IF($B106=1,Forecast!G106-N(Setup!$D$23)*Setup!$B$9/12,Forecast!G106))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IF(A107="","",IF(102&gt;=N(Setup!$C$23),1,0))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IF(A107="","",IF($B107=1,Forecast!G107-N(Setup!$D$23)*Setup!$B$9/12,Forecast!G107))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IF(A108="","",IF(103&gt;=N(Setup!$C$23),1,0))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IF(A108="","",IF($B108=1,Forecast!G108-N(Setup!$D$23)*Setup!$B$9/12,Forecast!G108))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IF(A109="","",IF(104&gt;=N(Setup!$C$23),1,0))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IF(A109="","",IF($B109=1,Forecast!G109-N(Setup!$D$23)*Setup!$B$9/12,Forecast!G109))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IF(A110="","",IF(105&gt;=N(Setup!$C$23),1,0))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IF(A110="","",IF($B110=1,Forecast!G110-N(Setup!$D$23)*Setup!$B$9/12,Forecast!G110))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IF(A111="","",IF(106&gt;=N(Setup!$C$23),1,0))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IF(A111="","",IF($B111=1,Forecast!G111-N(Setup!$D$23)*Setup!$B$9/12,Forecast!G111))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IF(A112="","",IF(107&gt;=N(Setup!$C$23),1,0))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IF(A112="","",IF($B112=1,Forecast!G112-N(Setup!$D$23)*Setup!$B$9/12,Forecast!G112))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IF(A113="","",IF(108&gt;=N(Setup!$C$23),1,0))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IF(A113="","",IF($B113=1,Forecast!G113-N(Setup!$D$23)*Setup!$B$9/12,Forecast!G113))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IF(A114="","",IF(109&gt;=N(Setup!$C$23),1,0))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IF(A114="","",IF($B114=1,Forecast!G114-N(Setup!$D$23)*Setup!$B$9/12,Forecast!G114))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IF(A115="","",IF(110&gt;=N(Setup!$C$23),1,0))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IF(A115="","",IF($B115=1,Forecast!G115-N(Setup!$D$23)*Setup!$B$9/12,Forecast!G115))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IF(A116="","",IF(111&gt;=N(Setup!$C$23),1,0))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IF(A116="","",IF($B116=1,Forecast!G116-N(Setup!$D$23)*Setup!$B$9/12,Forecast!G116))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IF(A117="","",IF(112&gt;=N(Setup!$C$23),1,0))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IF(A117="","",IF($B117=1,Forecast!G117-N(Setup!$D$23)*Setup!$B$9/12,Forecast!G117))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IF(A118="","",IF(113&gt;=N(Setup!$C$23),1,0))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IF(A118="","",IF($B118=1,Forecast!G118-N(Setup!$D$23)*Setup!$B$9/12,Forecast!G118))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IF(A119="","",IF(114&gt;=N(Setup!$C$23),1,0))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IF(A119="","",IF($B119=1,Forecast!G119-N(Setup!$D$23)*Setup!$B$9/12,Forecast!G119))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IF(A120="","",IF(115&gt;=N(Setup!$C$23),1,0))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IF(A120="","",IF($B120=1,Forecast!G120-N(Setup!$D$23)*Setup!$B$9/12,Forecast!G120))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IF(A121="","",IF(116&gt;=N(Setup!$C$23),1,0))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IF(A121="","",IF($B121=1,Forecast!G121-N(Setup!$D$23)*Setup!$B$9/12,Forecast!G121))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IF(A122="","",IF(117&gt;=N(Setup!$C$23),1,0))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IF(A122="","",IF($B122=1,Forecast!G122-N(Setup!$D$23)*Setup!$B$9/12,Forecast!G122))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IF(A123="","",IF(118&gt;=N(Setup!$C$23),1,0))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IF(A123="","",IF($B123=1,Forecast!G123-N(Setup!$D$23)*Setup!$B$9/12,Forecast!G123))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IF(A124="","",IF(119&gt;=N(Setup!$C$23),1,0))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IF(A124="","",IF($B124=1,Forecast!G124-N(Setup!$D$23)*Setup!$B$9/12,Forecast!G124))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7</t>
        </is>
      </c>
    </row>
    <row r="2">
      <c r="B2" s="5">
        <f>Setup!B24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IF(A5="","",IF(0&gt;=N(Setup!$C$24),1,0))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IF(A5="","",IF($B5=1,Forecast!G5-N(Setup!$D$24)*Setup!$B$9/12,Forecast!G5))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IF(A6="","",IF(1&gt;=N(Setup!$C$24),1,0))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IF(A6="","",IF($B6=1,Forecast!G6-N(Setup!$D$24)*Setup!$B$9/12,Forecast!G6))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IF(A7="","",IF(2&gt;=N(Setup!$C$24),1,0))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IF(A7="","",IF($B7=1,Forecast!G7-N(Setup!$D$24)*Setup!$B$9/12,Forecast!G7))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IF(A8="","",IF(3&gt;=N(Setup!$C$24),1,0))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IF(A8="","",IF($B8=1,Forecast!G8-N(Setup!$D$24)*Setup!$B$9/12,Forecast!G8))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IF(A9="","",IF(4&gt;=N(Setup!$C$24),1,0))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IF(A9="","",IF($B9=1,Forecast!G9-N(Setup!$D$24)*Setup!$B$9/12,Forecast!G9))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IF(A10="","",IF(5&gt;=N(Setup!$C$24),1,0))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IF(A10="","",IF($B10=1,Forecast!G10-N(Setup!$D$24)*Setup!$B$9/12,Forecast!G10))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IF(A11="","",IF(6&gt;=N(Setup!$C$24),1,0))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IF(A11="","",IF($B11=1,Forecast!G11-N(Setup!$D$24)*Setup!$B$9/12,Forecast!G11))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IF(A12="","",IF(7&gt;=N(Setup!$C$24),1,0))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IF(A12="","",IF($B12=1,Forecast!G12-N(Setup!$D$24)*Setup!$B$9/12,Forecast!G12))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IF(A13="","",IF(8&gt;=N(Setup!$C$24),1,0))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IF(A13="","",IF($B13=1,Forecast!G13-N(Setup!$D$24)*Setup!$B$9/12,Forecast!G13))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IF(A14="","",IF(9&gt;=N(Setup!$C$24),1,0))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IF(A14="","",IF($B14=1,Forecast!G14-N(Setup!$D$24)*Setup!$B$9/12,Forecast!G14))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IF(A15="","",IF(10&gt;=N(Setup!$C$24),1,0))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IF(A15="","",IF($B15=1,Forecast!G15-N(Setup!$D$24)*Setup!$B$9/12,Forecast!G15))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IF(A16="","",IF(11&gt;=N(Setup!$C$24),1,0))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IF(A16="","",IF($B16=1,Forecast!G16-N(Setup!$D$24)*Setup!$B$9/12,Forecast!G16))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IF(A17="","",IF(12&gt;=N(Setup!$C$24),1,0))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IF(A17="","",IF($B17=1,Forecast!G17-N(Setup!$D$24)*Setup!$B$9/12,Forecast!G17))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IF(A18="","",IF(13&gt;=N(Setup!$C$24),1,0))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IF(A18="","",IF($B18=1,Forecast!G18-N(Setup!$D$24)*Setup!$B$9/12,Forecast!G18))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IF(A19="","",IF(14&gt;=N(Setup!$C$24),1,0))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IF(A19="","",IF($B19=1,Forecast!G19-N(Setup!$D$24)*Setup!$B$9/12,Forecast!G19))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IF(A20="","",IF(15&gt;=N(Setup!$C$24),1,0))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IF(A20="","",IF($B20=1,Forecast!G20-N(Setup!$D$24)*Setup!$B$9/12,Forecast!G20))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IF(A21="","",IF(16&gt;=N(Setup!$C$24),1,0))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IF(A21="","",IF($B21=1,Forecast!G21-N(Setup!$D$24)*Setup!$B$9/12,Forecast!G21))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IF(A22="","",IF(17&gt;=N(Setup!$C$24),1,0))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IF(A22="","",IF($B22=1,Forecast!G22-N(Setup!$D$24)*Setup!$B$9/12,Forecast!G22))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IF(A23="","",IF(18&gt;=N(Setup!$C$24),1,0))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IF(A23="","",IF($B23=1,Forecast!G23-N(Setup!$D$24)*Setup!$B$9/12,Forecast!G23))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IF(A24="","",IF(19&gt;=N(Setup!$C$24),1,0))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IF(A24="","",IF($B24=1,Forecast!G24-N(Setup!$D$24)*Setup!$B$9/12,Forecast!G24))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IF(A25="","",IF(20&gt;=N(Setup!$C$24),1,0))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IF(A25="","",IF($B25=1,Forecast!G25-N(Setup!$D$24)*Setup!$B$9/12,Forecast!G25))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IF(A26="","",IF(21&gt;=N(Setup!$C$24),1,0))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IF(A26="","",IF($B26=1,Forecast!G26-N(Setup!$D$24)*Setup!$B$9/12,Forecast!G26))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IF(A27="","",IF(22&gt;=N(Setup!$C$24),1,0))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IF(A27="","",IF($B27=1,Forecast!G27-N(Setup!$D$24)*Setup!$B$9/12,Forecast!G27))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IF(A28="","",IF(23&gt;=N(Setup!$C$24),1,0))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IF(A28="","",IF($B28=1,Forecast!G28-N(Setup!$D$24)*Setup!$B$9/12,Forecast!G28))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IF(A29="","",IF(24&gt;=N(Setup!$C$24),1,0))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IF(A29="","",IF($B29=1,Forecast!G29-N(Setup!$D$24)*Setup!$B$9/12,Forecast!G29))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IF(A30="","",IF(25&gt;=N(Setup!$C$24),1,0))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IF(A30="","",IF($B30=1,Forecast!G30-N(Setup!$D$24)*Setup!$B$9/12,Forecast!G30))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IF(A31="","",IF(26&gt;=N(Setup!$C$24),1,0))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IF(A31="","",IF($B31=1,Forecast!G31-N(Setup!$D$24)*Setup!$B$9/12,Forecast!G31))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IF(A32="","",IF(27&gt;=N(Setup!$C$24),1,0))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IF(A32="","",IF($B32=1,Forecast!G32-N(Setup!$D$24)*Setup!$B$9/12,Forecast!G32))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IF(A33="","",IF(28&gt;=N(Setup!$C$24),1,0))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IF(A33="","",IF($B33=1,Forecast!G33-N(Setup!$D$24)*Setup!$B$9/12,Forecast!G33))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IF(A34="","",IF(29&gt;=N(Setup!$C$24),1,0))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IF(A34="","",IF($B34=1,Forecast!G34-N(Setup!$D$24)*Setup!$B$9/12,Forecast!G34))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IF(A35="","",IF(30&gt;=N(Setup!$C$24),1,0))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IF(A35="","",IF($B35=1,Forecast!G35-N(Setup!$D$24)*Setup!$B$9/12,Forecast!G35))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IF(A36="","",IF(31&gt;=N(Setup!$C$24),1,0))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IF(A36="","",IF($B36=1,Forecast!G36-N(Setup!$D$24)*Setup!$B$9/12,Forecast!G36))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IF(A37="","",IF(32&gt;=N(Setup!$C$24),1,0))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IF(A37="","",IF($B37=1,Forecast!G37-N(Setup!$D$24)*Setup!$B$9/12,Forecast!G37))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IF(A38="","",IF(33&gt;=N(Setup!$C$24),1,0))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IF(A38="","",IF($B38=1,Forecast!G38-N(Setup!$D$24)*Setup!$B$9/12,Forecast!G38))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IF(A39="","",IF(34&gt;=N(Setup!$C$24),1,0))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IF(A39="","",IF($B39=1,Forecast!G39-N(Setup!$D$24)*Setup!$B$9/12,Forecast!G39))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IF(A40="","",IF(35&gt;=N(Setup!$C$24),1,0))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IF(A40="","",IF($B40=1,Forecast!G40-N(Setup!$D$24)*Setup!$B$9/12,Forecast!G40))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IF(A41="","",IF(36&gt;=N(Setup!$C$24),1,0))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IF(A41="","",IF($B41=1,Forecast!G41-N(Setup!$D$24)*Setup!$B$9/12,Forecast!G41))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IF(A42="","",IF(37&gt;=N(Setup!$C$24),1,0))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IF(A42="","",IF($B42=1,Forecast!G42-N(Setup!$D$24)*Setup!$B$9/12,Forecast!G42))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IF(A43="","",IF(38&gt;=N(Setup!$C$24),1,0))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IF(A43="","",IF($B43=1,Forecast!G43-N(Setup!$D$24)*Setup!$B$9/12,Forecast!G43))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IF(A44="","",IF(39&gt;=N(Setup!$C$24),1,0))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IF(A44="","",IF($B44=1,Forecast!G44-N(Setup!$D$24)*Setup!$B$9/12,Forecast!G44))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IF(A45="","",IF(40&gt;=N(Setup!$C$24),1,0))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IF(A45="","",IF($B45=1,Forecast!G45-N(Setup!$D$24)*Setup!$B$9/12,Forecast!G45))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IF(A46="","",IF(41&gt;=N(Setup!$C$24),1,0))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IF(A46="","",IF($B46=1,Forecast!G46-N(Setup!$D$24)*Setup!$B$9/12,Forecast!G46))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IF(A47="","",IF(42&gt;=N(Setup!$C$24),1,0))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IF(A47="","",IF($B47=1,Forecast!G47-N(Setup!$D$24)*Setup!$B$9/12,Forecast!G47))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IF(A48="","",IF(43&gt;=N(Setup!$C$24),1,0))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IF(A48="","",IF($B48=1,Forecast!G48-N(Setup!$D$24)*Setup!$B$9/12,Forecast!G48))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IF(A49="","",IF(44&gt;=N(Setup!$C$24),1,0))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IF(A49="","",IF($B49=1,Forecast!G49-N(Setup!$D$24)*Setup!$B$9/12,Forecast!G49))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IF(A50="","",IF(45&gt;=N(Setup!$C$24),1,0))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IF(A50="","",IF($B50=1,Forecast!G50-N(Setup!$D$24)*Setup!$B$9/12,Forecast!G50))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IF(A51="","",IF(46&gt;=N(Setup!$C$24),1,0))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IF(A51="","",IF($B51=1,Forecast!G51-N(Setup!$D$24)*Setup!$B$9/12,Forecast!G51))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IF(A52="","",IF(47&gt;=N(Setup!$C$24),1,0))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IF(A52="","",IF($B52=1,Forecast!G52-N(Setup!$D$24)*Setup!$B$9/12,Forecast!G52))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IF(A53="","",IF(48&gt;=N(Setup!$C$24),1,0))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IF(A53="","",IF($B53=1,Forecast!G53-N(Setup!$D$24)*Setup!$B$9/12,Forecast!G53))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IF(A54="","",IF(49&gt;=N(Setup!$C$24),1,0))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IF(A54="","",IF($B54=1,Forecast!G54-N(Setup!$D$24)*Setup!$B$9/12,Forecast!G54))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IF(A55="","",IF(50&gt;=N(Setup!$C$24),1,0))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IF(A55="","",IF($B55=1,Forecast!G55-N(Setup!$D$24)*Setup!$B$9/12,Forecast!G55))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IF(A56="","",IF(51&gt;=N(Setup!$C$24),1,0))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IF(A56="","",IF($B56=1,Forecast!G56-N(Setup!$D$24)*Setup!$B$9/12,Forecast!G56))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IF(A57="","",IF(52&gt;=N(Setup!$C$24),1,0))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IF(A57="","",IF($B57=1,Forecast!G57-N(Setup!$D$24)*Setup!$B$9/12,Forecast!G57))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IF(A58="","",IF(53&gt;=N(Setup!$C$24),1,0))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IF(A58="","",IF($B58=1,Forecast!G58-N(Setup!$D$24)*Setup!$B$9/12,Forecast!G58))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IF(A59="","",IF(54&gt;=N(Setup!$C$24),1,0))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IF(A59="","",IF($B59=1,Forecast!G59-N(Setup!$D$24)*Setup!$B$9/12,Forecast!G59))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IF(A60="","",IF(55&gt;=N(Setup!$C$24),1,0))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IF(A60="","",IF($B60=1,Forecast!G60-N(Setup!$D$24)*Setup!$B$9/12,Forecast!G60))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IF(A61="","",IF(56&gt;=N(Setup!$C$24),1,0))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IF(A61="","",IF($B61=1,Forecast!G61-N(Setup!$D$24)*Setup!$B$9/12,Forecast!G61))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IF(A62="","",IF(57&gt;=N(Setup!$C$24),1,0))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IF(A62="","",IF($B62=1,Forecast!G62-N(Setup!$D$24)*Setup!$B$9/12,Forecast!G62))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IF(A63="","",IF(58&gt;=N(Setup!$C$24),1,0))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IF(A63="","",IF($B63=1,Forecast!G63-N(Setup!$D$24)*Setup!$B$9/12,Forecast!G63))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IF(A64="","",IF(59&gt;=N(Setup!$C$24),1,0))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IF(A64="","",IF($B64=1,Forecast!G64-N(Setup!$D$24)*Setup!$B$9/12,Forecast!G64))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IF(A65="","",IF(60&gt;=N(Setup!$C$24),1,0))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IF(A65="","",IF($B65=1,Forecast!G65-N(Setup!$D$24)*Setup!$B$9/12,Forecast!G65))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IF(A66="","",IF(61&gt;=N(Setup!$C$24),1,0))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IF(A66="","",IF($B66=1,Forecast!G66-N(Setup!$D$24)*Setup!$B$9/12,Forecast!G66))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IF(A67="","",IF(62&gt;=N(Setup!$C$24),1,0))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IF(A67="","",IF($B67=1,Forecast!G67-N(Setup!$D$24)*Setup!$B$9/12,Forecast!G67))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IF(A68="","",IF(63&gt;=N(Setup!$C$24),1,0))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IF(A68="","",IF($B68=1,Forecast!G68-N(Setup!$D$24)*Setup!$B$9/12,Forecast!G68))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IF(A69="","",IF(64&gt;=N(Setup!$C$24),1,0))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IF(A69="","",IF($B69=1,Forecast!G69-N(Setup!$D$24)*Setup!$B$9/12,Forecast!G69))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IF(A70="","",IF(65&gt;=N(Setup!$C$24),1,0))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IF(A70="","",IF($B70=1,Forecast!G70-N(Setup!$D$24)*Setup!$B$9/12,Forecast!G70))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IF(A71="","",IF(66&gt;=N(Setup!$C$24),1,0))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IF(A71="","",IF($B71=1,Forecast!G71-N(Setup!$D$24)*Setup!$B$9/12,Forecast!G71))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IF(A72="","",IF(67&gt;=N(Setup!$C$24),1,0))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IF(A72="","",IF($B72=1,Forecast!G72-N(Setup!$D$24)*Setup!$B$9/12,Forecast!G72))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IF(A73="","",IF(68&gt;=N(Setup!$C$24),1,0))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IF(A73="","",IF($B73=1,Forecast!G73-N(Setup!$D$24)*Setup!$B$9/12,Forecast!G73))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IF(A74="","",IF(69&gt;=N(Setup!$C$24),1,0))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IF(A74="","",IF($B74=1,Forecast!G74-N(Setup!$D$24)*Setup!$B$9/12,Forecast!G74))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IF(A75="","",IF(70&gt;=N(Setup!$C$24),1,0))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IF(A75="","",IF($B75=1,Forecast!G75-N(Setup!$D$24)*Setup!$B$9/12,Forecast!G75))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IF(A76="","",IF(71&gt;=N(Setup!$C$24),1,0))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IF(A76="","",IF($B76=1,Forecast!G76-N(Setup!$D$24)*Setup!$B$9/12,Forecast!G76))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IF(A77="","",IF(72&gt;=N(Setup!$C$24),1,0))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IF(A77="","",IF($B77=1,Forecast!G77-N(Setup!$D$24)*Setup!$B$9/12,Forecast!G77))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IF(A78="","",IF(73&gt;=N(Setup!$C$24),1,0))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IF(A78="","",IF($B78=1,Forecast!G78-N(Setup!$D$24)*Setup!$B$9/12,Forecast!G78))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IF(A79="","",IF(74&gt;=N(Setup!$C$24),1,0))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IF(A79="","",IF($B79=1,Forecast!G79-N(Setup!$D$24)*Setup!$B$9/12,Forecast!G79))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IF(A80="","",IF(75&gt;=N(Setup!$C$24),1,0))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IF(A80="","",IF($B80=1,Forecast!G80-N(Setup!$D$24)*Setup!$B$9/12,Forecast!G80))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IF(A81="","",IF(76&gt;=N(Setup!$C$24),1,0))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IF(A81="","",IF($B81=1,Forecast!G81-N(Setup!$D$24)*Setup!$B$9/12,Forecast!G81))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IF(A82="","",IF(77&gt;=N(Setup!$C$24),1,0))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IF(A82="","",IF($B82=1,Forecast!G82-N(Setup!$D$24)*Setup!$B$9/12,Forecast!G82))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IF(A83="","",IF(78&gt;=N(Setup!$C$24),1,0))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IF(A83="","",IF($B83=1,Forecast!G83-N(Setup!$D$24)*Setup!$B$9/12,Forecast!G83))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IF(A84="","",IF(79&gt;=N(Setup!$C$24),1,0))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IF(A84="","",IF($B84=1,Forecast!G84-N(Setup!$D$24)*Setup!$B$9/12,Forecast!G84))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IF(A85="","",IF(80&gt;=N(Setup!$C$24),1,0))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IF(A85="","",IF($B85=1,Forecast!G85-N(Setup!$D$24)*Setup!$B$9/12,Forecast!G85))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IF(A86="","",IF(81&gt;=N(Setup!$C$24),1,0))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IF(A86="","",IF($B86=1,Forecast!G86-N(Setup!$D$24)*Setup!$B$9/12,Forecast!G86))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IF(A87="","",IF(82&gt;=N(Setup!$C$24),1,0))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IF(A87="","",IF($B87=1,Forecast!G87-N(Setup!$D$24)*Setup!$B$9/12,Forecast!G87))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IF(A88="","",IF(83&gt;=N(Setup!$C$24),1,0))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IF(A88="","",IF($B88=1,Forecast!G88-N(Setup!$D$24)*Setup!$B$9/12,Forecast!G88))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IF(A89="","",IF(84&gt;=N(Setup!$C$24),1,0))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IF(A89="","",IF($B89=1,Forecast!G89-N(Setup!$D$24)*Setup!$B$9/12,Forecast!G89))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IF(A90="","",IF(85&gt;=N(Setup!$C$24),1,0))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IF(A90="","",IF($B90=1,Forecast!G90-N(Setup!$D$24)*Setup!$B$9/12,Forecast!G90))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IF(A91="","",IF(86&gt;=N(Setup!$C$24),1,0))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IF(A91="","",IF($B91=1,Forecast!G91-N(Setup!$D$24)*Setup!$B$9/12,Forecast!G91))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IF(A92="","",IF(87&gt;=N(Setup!$C$24),1,0))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IF(A92="","",IF($B92=1,Forecast!G92-N(Setup!$D$24)*Setup!$B$9/12,Forecast!G92))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IF(A93="","",IF(88&gt;=N(Setup!$C$24),1,0))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IF(A93="","",IF($B93=1,Forecast!G93-N(Setup!$D$24)*Setup!$B$9/12,Forecast!G93))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IF(A94="","",IF(89&gt;=N(Setup!$C$24),1,0))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IF(A94="","",IF($B94=1,Forecast!G94-N(Setup!$D$24)*Setup!$B$9/12,Forecast!G94))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IF(A95="","",IF(90&gt;=N(Setup!$C$24),1,0))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IF(A95="","",IF($B95=1,Forecast!G95-N(Setup!$D$24)*Setup!$B$9/12,Forecast!G95))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IF(A96="","",IF(91&gt;=N(Setup!$C$24),1,0))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IF(A96="","",IF($B96=1,Forecast!G96-N(Setup!$D$24)*Setup!$B$9/12,Forecast!G96))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IF(A97="","",IF(92&gt;=N(Setup!$C$24),1,0))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IF(A97="","",IF($B97=1,Forecast!G97-N(Setup!$D$24)*Setup!$B$9/12,Forecast!G97))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IF(A98="","",IF(93&gt;=N(Setup!$C$24),1,0))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IF(A98="","",IF($B98=1,Forecast!G98-N(Setup!$D$24)*Setup!$B$9/12,Forecast!G98))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IF(A99="","",IF(94&gt;=N(Setup!$C$24),1,0))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IF(A99="","",IF($B99=1,Forecast!G99-N(Setup!$D$24)*Setup!$B$9/12,Forecast!G99))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IF(A100="","",IF(95&gt;=N(Setup!$C$24),1,0))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IF(A100="","",IF($B100=1,Forecast!G100-N(Setup!$D$24)*Setup!$B$9/12,Forecast!G100))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IF(A101="","",IF(96&gt;=N(Setup!$C$24),1,0))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IF(A101="","",IF($B101=1,Forecast!G101-N(Setup!$D$24)*Setup!$B$9/12,Forecast!G101))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IF(A102="","",IF(97&gt;=N(Setup!$C$24),1,0))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IF(A102="","",IF($B102=1,Forecast!G102-N(Setup!$D$24)*Setup!$B$9/12,Forecast!G102))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IF(A103="","",IF(98&gt;=N(Setup!$C$24),1,0))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IF(A103="","",IF($B103=1,Forecast!G103-N(Setup!$D$24)*Setup!$B$9/12,Forecast!G103))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IF(A104="","",IF(99&gt;=N(Setup!$C$24),1,0))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IF(A104="","",IF($B104=1,Forecast!G104-N(Setup!$D$24)*Setup!$B$9/12,Forecast!G104))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IF(A105="","",IF(100&gt;=N(Setup!$C$24),1,0))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IF(A105="","",IF($B105=1,Forecast!G105-N(Setup!$D$24)*Setup!$B$9/12,Forecast!G105))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IF(A106="","",IF(101&gt;=N(Setup!$C$24),1,0))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IF(A106="","",IF($B106=1,Forecast!G106-N(Setup!$D$24)*Setup!$B$9/12,Forecast!G106))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IF(A107="","",IF(102&gt;=N(Setup!$C$24),1,0))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IF(A107="","",IF($B107=1,Forecast!G107-N(Setup!$D$24)*Setup!$B$9/12,Forecast!G107))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IF(A108="","",IF(103&gt;=N(Setup!$C$24),1,0))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IF(A108="","",IF($B108=1,Forecast!G108-N(Setup!$D$24)*Setup!$B$9/12,Forecast!G108))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IF(A109="","",IF(104&gt;=N(Setup!$C$24),1,0))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IF(A109="","",IF($B109=1,Forecast!G109-N(Setup!$D$24)*Setup!$B$9/12,Forecast!G109))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IF(A110="","",IF(105&gt;=N(Setup!$C$24),1,0))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IF(A110="","",IF($B110=1,Forecast!G110-N(Setup!$D$24)*Setup!$B$9/12,Forecast!G110))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IF(A111="","",IF(106&gt;=N(Setup!$C$24),1,0))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IF(A111="","",IF($B111=1,Forecast!G111-N(Setup!$D$24)*Setup!$B$9/12,Forecast!G111))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IF(A112="","",IF(107&gt;=N(Setup!$C$24),1,0))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IF(A112="","",IF($B112=1,Forecast!G112-N(Setup!$D$24)*Setup!$B$9/12,Forecast!G112))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IF(A113="","",IF(108&gt;=N(Setup!$C$24),1,0))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IF(A113="","",IF($B113=1,Forecast!G113-N(Setup!$D$24)*Setup!$B$9/12,Forecast!G113))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IF(A114="","",IF(109&gt;=N(Setup!$C$24),1,0))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IF(A114="","",IF($B114=1,Forecast!G114-N(Setup!$D$24)*Setup!$B$9/12,Forecast!G114))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IF(A115="","",IF(110&gt;=N(Setup!$C$24),1,0))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IF(A115="","",IF($B115=1,Forecast!G115-N(Setup!$D$24)*Setup!$B$9/12,Forecast!G115))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IF(A116="","",IF(111&gt;=N(Setup!$C$24),1,0))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IF(A116="","",IF($B116=1,Forecast!G116-N(Setup!$D$24)*Setup!$B$9/12,Forecast!G116))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IF(A117="","",IF(112&gt;=N(Setup!$C$24),1,0))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IF(A117="","",IF($B117=1,Forecast!G117-N(Setup!$D$24)*Setup!$B$9/12,Forecast!G117))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IF(A118="","",IF(113&gt;=N(Setup!$C$24),1,0))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IF(A118="","",IF($B118=1,Forecast!G118-N(Setup!$D$24)*Setup!$B$9/12,Forecast!G118))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IF(A119="","",IF(114&gt;=N(Setup!$C$24),1,0))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IF(A119="","",IF($B119=1,Forecast!G119-N(Setup!$D$24)*Setup!$B$9/12,Forecast!G119))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IF(A120="","",IF(115&gt;=N(Setup!$C$24),1,0))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IF(A120="","",IF($B120=1,Forecast!G120-N(Setup!$D$24)*Setup!$B$9/12,Forecast!G120))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IF(A121="","",IF(116&gt;=N(Setup!$C$24),1,0))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IF(A121="","",IF($B121=1,Forecast!G121-N(Setup!$D$24)*Setup!$B$9/12,Forecast!G121))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IF(A122="","",IF(117&gt;=N(Setup!$C$24),1,0))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IF(A122="","",IF($B122=1,Forecast!G122-N(Setup!$D$24)*Setup!$B$9/12,Forecast!G122))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IF(A123="","",IF(118&gt;=N(Setup!$C$24),1,0))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IF(A123="","",IF($B123=1,Forecast!G123-N(Setup!$D$24)*Setup!$B$9/12,Forecast!G123))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IF(A124="","",IF(119&gt;=N(Setup!$C$24),1,0))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IF(A124="","",IF($B124=1,Forecast!G124-N(Setup!$D$24)*Setup!$B$9/12,Forecast!G124))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8</t>
        </is>
      </c>
    </row>
    <row r="2">
      <c r="B2" s="5">
        <f>Setup!B25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IF(A5="","",IF(0&gt;=N(Setup!$C$25),1,0))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IF(A5="","",IF($B5=1,Forecast!G5-N(Setup!$D$25)*Setup!$B$9/12,Forecast!G5))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IF(A6="","",IF(1&gt;=N(Setup!$C$25),1,0))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IF(A6="","",IF($B6=1,Forecast!G6-N(Setup!$D$25)*Setup!$B$9/12,Forecast!G6))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IF(A7="","",IF(2&gt;=N(Setup!$C$25),1,0))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IF(A7="","",IF($B7=1,Forecast!G7-N(Setup!$D$25)*Setup!$B$9/12,Forecast!G7))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IF(A8="","",IF(3&gt;=N(Setup!$C$25),1,0))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IF(A8="","",IF($B8=1,Forecast!G8-N(Setup!$D$25)*Setup!$B$9/12,Forecast!G8))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IF(A9="","",IF(4&gt;=N(Setup!$C$25),1,0))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IF(A9="","",IF($B9=1,Forecast!G9-N(Setup!$D$25)*Setup!$B$9/12,Forecast!G9))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IF(A10="","",IF(5&gt;=N(Setup!$C$25),1,0))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IF(A10="","",IF($B10=1,Forecast!G10-N(Setup!$D$25)*Setup!$B$9/12,Forecast!G10))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IF(A11="","",IF(6&gt;=N(Setup!$C$25),1,0))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IF(A11="","",IF($B11=1,Forecast!G11-N(Setup!$D$25)*Setup!$B$9/12,Forecast!G11))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IF(A12="","",IF(7&gt;=N(Setup!$C$25),1,0))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IF(A12="","",IF($B12=1,Forecast!G12-N(Setup!$D$25)*Setup!$B$9/12,Forecast!G12))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IF(A13="","",IF(8&gt;=N(Setup!$C$25),1,0))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IF(A13="","",IF($B13=1,Forecast!G13-N(Setup!$D$25)*Setup!$B$9/12,Forecast!G13))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IF(A14="","",IF(9&gt;=N(Setup!$C$25),1,0))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IF(A14="","",IF($B14=1,Forecast!G14-N(Setup!$D$25)*Setup!$B$9/12,Forecast!G14))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IF(A15="","",IF(10&gt;=N(Setup!$C$25),1,0))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IF(A15="","",IF($B15=1,Forecast!G15-N(Setup!$D$25)*Setup!$B$9/12,Forecast!G15))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IF(A16="","",IF(11&gt;=N(Setup!$C$25),1,0))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IF(A16="","",IF($B16=1,Forecast!G16-N(Setup!$D$25)*Setup!$B$9/12,Forecast!G16))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IF(A17="","",IF(12&gt;=N(Setup!$C$25),1,0))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IF(A17="","",IF($B17=1,Forecast!G17-N(Setup!$D$25)*Setup!$B$9/12,Forecast!G17))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IF(A18="","",IF(13&gt;=N(Setup!$C$25),1,0))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IF(A18="","",IF($B18=1,Forecast!G18-N(Setup!$D$25)*Setup!$B$9/12,Forecast!G18))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IF(A19="","",IF(14&gt;=N(Setup!$C$25),1,0))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IF(A19="","",IF($B19=1,Forecast!G19-N(Setup!$D$25)*Setup!$B$9/12,Forecast!G19))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IF(A20="","",IF(15&gt;=N(Setup!$C$25),1,0))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IF(A20="","",IF($B20=1,Forecast!G20-N(Setup!$D$25)*Setup!$B$9/12,Forecast!G20))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IF(A21="","",IF(16&gt;=N(Setup!$C$25),1,0))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IF(A21="","",IF($B21=1,Forecast!G21-N(Setup!$D$25)*Setup!$B$9/12,Forecast!G21))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IF(A22="","",IF(17&gt;=N(Setup!$C$25),1,0))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IF(A22="","",IF($B22=1,Forecast!G22-N(Setup!$D$25)*Setup!$B$9/12,Forecast!G22))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IF(A23="","",IF(18&gt;=N(Setup!$C$25),1,0))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IF(A23="","",IF($B23=1,Forecast!G23-N(Setup!$D$25)*Setup!$B$9/12,Forecast!G23))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IF(A24="","",IF(19&gt;=N(Setup!$C$25),1,0))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IF(A24="","",IF($B24=1,Forecast!G24-N(Setup!$D$25)*Setup!$B$9/12,Forecast!G24))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IF(A25="","",IF(20&gt;=N(Setup!$C$25),1,0))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IF(A25="","",IF($B25=1,Forecast!G25-N(Setup!$D$25)*Setup!$B$9/12,Forecast!G25))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IF(A26="","",IF(21&gt;=N(Setup!$C$25),1,0))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IF(A26="","",IF($B26=1,Forecast!G26-N(Setup!$D$25)*Setup!$B$9/12,Forecast!G26))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IF(A27="","",IF(22&gt;=N(Setup!$C$25),1,0))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IF(A27="","",IF($B27=1,Forecast!G27-N(Setup!$D$25)*Setup!$B$9/12,Forecast!G27))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IF(A28="","",IF(23&gt;=N(Setup!$C$25),1,0))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IF(A28="","",IF($B28=1,Forecast!G28-N(Setup!$D$25)*Setup!$B$9/12,Forecast!G28))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IF(A29="","",IF(24&gt;=N(Setup!$C$25),1,0))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IF(A29="","",IF($B29=1,Forecast!G29-N(Setup!$D$25)*Setup!$B$9/12,Forecast!G29))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IF(A30="","",IF(25&gt;=N(Setup!$C$25),1,0))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IF(A30="","",IF($B30=1,Forecast!G30-N(Setup!$D$25)*Setup!$B$9/12,Forecast!G30))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IF(A31="","",IF(26&gt;=N(Setup!$C$25),1,0))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IF(A31="","",IF($B31=1,Forecast!G31-N(Setup!$D$25)*Setup!$B$9/12,Forecast!G31))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IF(A32="","",IF(27&gt;=N(Setup!$C$25),1,0))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IF(A32="","",IF($B32=1,Forecast!G32-N(Setup!$D$25)*Setup!$B$9/12,Forecast!G32))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IF(A33="","",IF(28&gt;=N(Setup!$C$25),1,0))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IF(A33="","",IF($B33=1,Forecast!G33-N(Setup!$D$25)*Setup!$B$9/12,Forecast!G33))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IF(A34="","",IF(29&gt;=N(Setup!$C$25),1,0))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IF(A34="","",IF($B34=1,Forecast!G34-N(Setup!$D$25)*Setup!$B$9/12,Forecast!G34))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IF(A35="","",IF(30&gt;=N(Setup!$C$25),1,0))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IF(A35="","",IF($B35=1,Forecast!G35-N(Setup!$D$25)*Setup!$B$9/12,Forecast!G35))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IF(A36="","",IF(31&gt;=N(Setup!$C$25),1,0))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IF(A36="","",IF($B36=1,Forecast!G36-N(Setup!$D$25)*Setup!$B$9/12,Forecast!G36))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IF(A37="","",IF(32&gt;=N(Setup!$C$25),1,0))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IF(A37="","",IF($B37=1,Forecast!G37-N(Setup!$D$25)*Setup!$B$9/12,Forecast!G37))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IF(A38="","",IF(33&gt;=N(Setup!$C$25),1,0))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IF(A38="","",IF($B38=1,Forecast!G38-N(Setup!$D$25)*Setup!$B$9/12,Forecast!G38))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IF(A39="","",IF(34&gt;=N(Setup!$C$25),1,0))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IF(A39="","",IF($B39=1,Forecast!G39-N(Setup!$D$25)*Setup!$B$9/12,Forecast!G39))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IF(A40="","",IF(35&gt;=N(Setup!$C$25),1,0))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IF(A40="","",IF($B40=1,Forecast!G40-N(Setup!$D$25)*Setup!$B$9/12,Forecast!G40))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IF(A41="","",IF(36&gt;=N(Setup!$C$25),1,0))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IF(A41="","",IF($B41=1,Forecast!G41-N(Setup!$D$25)*Setup!$B$9/12,Forecast!G41))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IF(A42="","",IF(37&gt;=N(Setup!$C$25),1,0))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IF(A42="","",IF($B42=1,Forecast!G42-N(Setup!$D$25)*Setup!$B$9/12,Forecast!G42))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IF(A43="","",IF(38&gt;=N(Setup!$C$25),1,0))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IF(A43="","",IF($B43=1,Forecast!G43-N(Setup!$D$25)*Setup!$B$9/12,Forecast!G43))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IF(A44="","",IF(39&gt;=N(Setup!$C$25),1,0))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IF(A44="","",IF($B44=1,Forecast!G44-N(Setup!$D$25)*Setup!$B$9/12,Forecast!G44))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IF(A45="","",IF(40&gt;=N(Setup!$C$25),1,0))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IF(A45="","",IF($B45=1,Forecast!G45-N(Setup!$D$25)*Setup!$B$9/12,Forecast!G45))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IF(A46="","",IF(41&gt;=N(Setup!$C$25),1,0))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IF(A46="","",IF($B46=1,Forecast!G46-N(Setup!$D$25)*Setup!$B$9/12,Forecast!G46))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IF(A47="","",IF(42&gt;=N(Setup!$C$25),1,0))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IF(A47="","",IF($B47=1,Forecast!G47-N(Setup!$D$25)*Setup!$B$9/12,Forecast!G47))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IF(A48="","",IF(43&gt;=N(Setup!$C$25),1,0))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IF(A48="","",IF($B48=1,Forecast!G48-N(Setup!$D$25)*Setup!$B$9/12,Forecast!G48))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IF(A49="","",IF(44&gt;=N(Setup!$C$25),1,0))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IF(A49="","",IF($B49=1,Forecast!G49-N(Setup!$D$25)*Setup!$B$9/12,Forecast!G49))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IF(A50="","",IF(45&gt;=N(Setup!$C$25),1,0))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IF(A50="","",IF($B50=1,Forecast!G50-N(Setup!$D$25)*Setup!$B$9/12,Forecast!G50))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IF(A51="","",IF(46&gt;=N(Setup!$C$25),1,0))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IF(A51="","",IF($B51=1,Forecast!G51-N(Setup!$D$25)*Setup!$B$9/12,Forecast!G51))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IF(A52="","",IF(47&gt;=N(Setup!$C$25),1,0))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IF(A52="","",IF($B52=1,Forecast!G52-N(Setup!$D$25)*Setup!$B$9/12,Forecast!G52))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IF(A53="","",IF(48&gt;=N(Setup!$C$25),1,0))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IF(A53="","",IF($B53=1,Forecast!G53-N(Setup!$D$25)*Setup!$B$9/12,Forecast!G53))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IF(A54="","",IF(49&gt;=N(Setup!$C$25),1,0))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IF(A54="","",IF($B54=1,Forecast!G54-N(Setup!$D$25)*Setup!$B$9/12,Forecast!G54))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IF(A55="","",IF(50&gt;=N(Setup!$C$25),1,0))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IF(A55="","",IF($B55=1,Forecast!G55-N(Setup!$D$25)*Setup!$B$9/12,Forecast!G55))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IF(A56="","",IF(51&gt;=N(Setup!$C$25),1,0))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IF(A56="","",IF($B56=1,Forecast!G56-N(Setup!$D$25)*Setup!$B$9/12,Forecast!G56))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IF(A57="","",IF(52&gt;=N(Setup!$C$25),1,0))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IF(A57="","",IF($B57=1,Forecast!G57-N(Setup!$D$25)*Setup!$B$9/12,Forecast!G57))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IF(A58="","",IF(53&gt;=N(Setup!$C$25),1,0))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IF(A58="","",IF($B58=1,Forecast!G58-N(Setup!$D$25)*Setup!$B$9/12,Forecast!G58))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IF(A59="","",IF(54&gt;=N(Setup!$C$25),1,0))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IF(A59="","",IF($B59=1,Forecast!G59-N(Setup!$D$25)*Setup!$B$9/12,Forecast!G59))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IF(A60="","",IF(55&gt;=N(Setup!$C$25),1,0))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IF(A60="","",IF($B60=1,Forecast!G60-N(Setup!$D$25)*Setup!$B$9/12,Forecast!G60))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IF(A61="","",IF(56&gt;=N(Setup!$C$25),1,0))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IF(A61="","",IF($B61=1,Forecast!G61-N(Setup!$D$25)*Setup!$B$9/12,Forecast!G61))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IF(A62="","",IF(57&gt;=N(Setup!$C$25),1,0))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IF(A62="","",IF($B62=1,Forecast!G62-N(Setup!$D$25)*Setup!$B$9/12,Forecast!G62))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IF(A63="","",IF(58&gt;=N(Setup!$C$25),1,0))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IF(A63="","",IF($B63=1,Forecast!G63-N(Setup!$D$25)*Setup!$B$9/12,Forecast!G63))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IF(A64="","",IF(59&gt;=N(Setup!$C$25),1,0))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IF(A64="","",IF($B64=1,Forecast!G64-N(Setup!$D$25)*Setup!$B$9/12,Forecast!G64))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IF(A65="","",IF(60&gt;=N(Setup!$C$25),1,0))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IF(A65="","",IF($B65=1,Forecast!G65-N(Setup!$D$25)*Setup!$B$9/12,Forecast!G65))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IF(A66="","",IF(61&gt;=N(Setup!$C$25),1,0))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IF(A66="","",IF($B66=1,Forecast!G66-N(Setup!$D$25)*Setup!$B$9/12,Forecast!G66))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IF(A67="","",IF(62&gt;=N(Setup!$C$25),1,0))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IF(A67="","",IF($B67=1,Forecast!G67-N(Setup!$D$25)*Setup!$B$9/12,Forecast!G67))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IF(A68="","",IF(63&gt;=N(Setup!$C$25),1,0))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IF(A68="","",IF($B68=1,Forecast!G68-N(Setup!$D$25)*Setup!$B$9/12,Forecast!G68))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IF(A69="","",IF(64&gt;=N(Setup!$C$25),1,0))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IF(A69="","",IF($B69=1,Forecast!G69-N(Setup!$D$25)*Setup!$B$9/12,Forecast!G69))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IF(A70="","",IF(65&gt;=N(Setup!$C$25),1,0))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IF(A70="","",IF($B70=1,Forecast!G70-N(Setup!$D$25)*Setup!$B$9/12,Forecast!G70))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IF(A71="","",IF(66&gt;=N(Setup!$C$25),1,0))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IF(A71="","",IF($B71=1,Forecast!G71-N(Setup!$D$25)*Setup!$B$9/12,Forecast!G71))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IF(A72="","",IF(67&gt;=N(Setup!$C$25),1,0))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IF(A72="","",IF($B72=1,Forecast!G72-N(Setup!$D$25)*Setup!$B$9/12,Forecast!G72))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IF(A73="","",IF(68&gt;=N(Setup!$C$25),1,0))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IF(A73="","",IF($B73=1,Forecast!G73-N(Setup!$D$25)*Setup!$B$9/12,Forecast!G73))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IF(A74="","",IF(69&gt;=N(Setup!$C$25),1,0))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IF(A74="","",IF($B74=1,Forecast!G74-N(Setup!$D$25)*Setup!$B$9/12,Forecast!G74))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IF(A75="","",IF(70&gt;=N(Setup!$C$25),1,0))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IF(A75="","",IF($B75=1,Forecast!G75-N(Setup!$D$25)*Setup!$B$9/12,Forecast!G75))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IF(A76="","",IF(71&gt;=N(Setup!$C$25),1,0))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IF(A76="","",IF($B76=1,Forecast!G76-N(Setup!$D$25)*Setup!$B$9/12,Forecast!G76))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IF(A77="","",IF(72&gt;=N(Setup!$C$25),1,0))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IF(A77="","",IF($B77=1,Forecast!G77-N(Setup!$D$25)*Setup!$B$9/12,Forecast!G77))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IF(A78="","",IF(73&gt;=N(Setup!$C$25),1,0))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IF(A78="","",IF($B78=1,Forecast!G78-N(Setup!$D$25)*Setup!$B$9/12,Forecast!G78))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IF(A79="","",IF(74&gt;=N(Setup!$C$25),1,0))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IF(A79="","",IF($B79=1,Forecast!G79-N(Setup!$D$25)*Setup!$B$9/12,Forecast!G79))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IF(A80="","",IF(75&gt;=N(Setup!$C$25),1,0))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IF(A80="","",IF($B80=1,Forecast!G80-N(Setup!$D$25)*Setup!$B$9/12,Forecast!G80))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IF(A81="","",IF(76&gt;=N(Setup!$C$25),1,0))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IF(A81="","",IF($B81=1,Forecast!G81-N(Setup!$D$25)*Setup!$B$9/12,Forecast!G81))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IF(A82="","",IF(77&gt;=N(Setup!$C$25),1,0))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IF(A82="","",IF($B82=1,Forecast!G82-N(Setup!$D$25)*Setup!$B$9/12,Forecast!G82))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IF(A83="","",IF(78&gt;=N(Setup!$C$25),1,0))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IF(A83="","",IF($B83=1,Forecast!G83-N(Setup!$D$25)*Setup!$B$9/12,Forecast!G83))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IF(A84="","",IF(79&gt;=N(Setup!$C$25),1,0))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IF(A84="","",IF($B84=1,Forecast!G84-N(Setup!$D$25)*Setup!$B$9/12,Forecast!G84))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IF(A85="","",IF(80&gt;=N(Setup!$C$25),1,0))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IF(A85="","",IF($B85=1,Forecast!G85-N(Setup!$D$25)*Setup!$B$9/12,Forecast!G85))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IF(A86="","",IF(81&gt;=N(Setup!$C$25),1,0))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IF(A86="","",IF($B86=1,Forecast!G86-N(Setup!$D$25)*Setup!$B$9/12,Forecast!G86))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IF(A87="","",IF(82&gt;=N(Setup!$C$25),1,0))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IF(A87="","",IF($B87=1,Forecast!G87-N(Setup!$D$25)*Setup!$B$9/12,Forecast!G87))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IF(A88="","",IF(83&gt;=N(Setup!$C$25),1,0))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IF(A88="","",IF($B88=1,Forecast!G88-N(Setup!$D$25)*Setup!$B$9/12,Forecast!G88))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IF(A89="","",IF(84&gt;=N(Setup!$C$25),1,0))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IF(A89="","",IF($B89=1,Forecast!G89-N(Setup!$D$25)*Setup!$B$9/12,Forecast!G89))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IF(A90="","",IF(85&gt;=N(Setup!$C$25),1,0))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IF(A90="","",IF($B90=1,Forecast!G90-N(Setup!$D$25)*Setup!$B$9/12,Forecast!G90))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IF(A91="","",IF(86&gt;=N(Setup!$C$25),1,0))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IF(A91="","",IF($B91=1,Forecast!G91-N(Setup!$D$25)*Setup!$B$9/12,Forecast!G91))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IF(A92="","",IF(87&gt;=N(Setup!$C$25),1,0))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IF(A92="","",IF($B92=1,Forecast!G92-N(Setup!$D$25)*Setup!$B$9/12,Forecast!G92))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IF(A93="","",IF(88&gt;=N(Setup!$C$25),1,0))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IF(A93="","",IF($B93=1,Forecast!G93-N(Setup!$D$25)*Setup!$B$9/12,Forecast!G93))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IF(A94="","",IF(89&gt;=N(Setup!$C$25),1,0))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IF(A94="","",IF($B94=1,Forecast!G94-N(Setup!$D$25)*Setup!$B$9/12,Forecast!G94))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IF(A95="","",IF(90&gt;=N(Setup!$C$25),1,0))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IF(A95="","",IF($B95=1,Forecast!G95-N(Setup!$D$25)*Setup!$B$9/12,Forecast!G95))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IF(A96="","",IF(91&gt;=N(Setup!$C$25),1,0))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IF(A96="","",IF($B96=1,Forecast!G96-N(Setup!$D$25)*Setup!$B$9/12,Forecast!G96))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IF(A97="","",IF(92&gt;=N(Setup!$C$25),1,0))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IF(A97="","",IF($B97=1,Forecast!G97-N(Setup!$D$25)*Setup!$B$9/12,Forecast!G97))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IF(A98="","",IF(93&gt;=N(Setup!$C$25),1,0))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IF(A98="","",IF($B98=1,Forecast!G98-N(Setup!$D$25)*Setup!$B$9/12,Forecast!G98))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IF(A99="","",IF(94&gt;=N(Setup!$C$25),1,0))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IF(A99="","",IF($B99=1,Forecast!G99-N(Setup!$D$25)*Setup!$B$9/12,Forecast!G99))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IF(A100="","",IF(95&gt;=N(Setup!$C$25),1,0))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IF(A100="","",IF($B100=1,Forecast!G100-N(Setup!$D$25)*Setup!$B$9/12,Forecast!G100))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IF(A101="","",IF(96&gt;=N(Setup!$C$25),1,0))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IF(A101="","",IF($B101=1,Forecast!G101-N(Setup!$D$25)*Setup!$B$9/12,Forecast!G101))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IF(A102="","",IF(97&gt;=N(Setup!$C$25),1,0))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IF(A102="","",IF($B102=1,Forecast!G102-N(Setup!$D$25)*Setup!$B$9/12,Forecast!G102))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IF(A103="","",IF(98&gt;=N(Setup!$C$25),1,0))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IF(A103="","",IF($B103=1,Forecast!G103-N(Setup!$D$25)*Setup!$B$9/12,Forecast!G103))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IF(A104="","",IF(99&gt;=N(Setup!$C$25),1,0))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IF(A104="","",IF($B104=1,Forecast!G104-N(Setup!$D$25)*Setup!$B$9/12,Forecast!G104))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IF(A105="","",IF(100&gt;=N(Setup!$C$25),1,0))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IF(A105="","",IF($B105=1,Forecast!G105-N(Setup!$D$25)*Setup!$B$9/12,Forecast!G105))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IF(A106="","",IF(101&gt;=N(Setup!$C$25),1,0))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IF(A106="","",IF($B106=1,Forecast!G106-N(Setup!$D$25)*Setup!$B$9/12,Forecast!G106))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IF(A107="","",IF(102&gt;=N(Setup!$C$25),1,0))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IF(A107="","",IF($B107=1,Forecast!G107-N(Setup!$D$25)*Setup!$B$9/12,Forecast!G107))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IF(A108="","",IF(103&gt;=N(Setup!$C$25),1,0))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IF(A108="","",IF($B108=1,Forecast!G108-N(Setup!$D$25)*Setup!$B$9/12,Forecast!G108))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IF(A109="","",IF(104&gt;=N(Setup!$C$25),1,0))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IF(A109="","",IF($B109=1,Forecast!G109-N(Setup!$D$25)*Setup!$B$9/12,Forecast!G109))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IF(A110="","",IF(105&gt;=N(Setup!$C$25),1,0))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IF(A110="","",IF($B110=1,Forecast!G110-N(Setup!$D$25)*Setup!$B$9/12,Forecast!G110))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IF(A111="","",IF(106&gt;=N(Setup!$C$25),1,0))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IF(A111="","",IF($B111=1,Forecast!G111-N(Setup!$D$25)*Setup!$B$9/12,Forecast!G111))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IF(A112="","",IF(107&gt;=N(Setup!$C$25),1,0))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IF(A112="","",IF($B112=1,Forecast!G112-N(Setup!$D$25)*Setup!$B$9/12,Forecast!G112))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IF(A113="","",IF(108&gt;=N(Setup!$C$25),1,0))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IF(A113="","",IF($B113=1,Forecast!G113-N(Setup!$D$25)*Setup!$B$9/12,Forecast!G113))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IF(A114="","",IF(109&gt;=N(Setup!$C$25),1,0))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IF(A114="","",IF($B114=1,Forecast!G114-N(Setup!$D$25)*Setup!$B$9/12,Forecast!G114))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IF(A115="","",IF(110&gt;=N(Setup!$C$25),1,0))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IF(A115="","",IF($B115=1,Forecast!G115-N(Setup!$D$25)*Setup!$B$9/12,Forecast!G115))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IF(A116="","",IF(111&gt;=N(Setup!$C$25),1,0))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IF(A116="","",IF($B116=1,Forecast!G116-N(Setup!$D$25)*Setup!$B$9/12,Forecast!G116))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IF(A117="","",IF(112&gt;=N(Setup!$C$25),1,0))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IF(A117="","",IF($B117=1,Forecast!G117-N(Setup!$D$25)*Setup!$B$9/12,Forecast!G117))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IF(A118="","",IF(113&gt;=N(Setup!$C$25),1,0))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IF(A118="","",IF($B118=1,Forecast!G118-N(Setup!$D$25)*Setup!$B$9/12,Forecast!G118))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IF(A119="","",IF(114&gt;=N(Setup!$C$25),1,0))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IF(A119="","",IF($B119=1,Forecast!G119-N(Setup!$D$25)*Setup!$B$9/12,Forecast!G119))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IF(A120="","",IF(115&gt;=N(Setup!$C$25),1,0))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IF(A120="","",IF($B120=1,Forecast!G120-N(Setup!$D$25)*Setup!$B$9/12,Forecast!G120))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IF(A121="","",IF(116&gt;=N(Setup!$C$25),1,0))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IF(A121="","",IF($B121=1,Forecast!G121-N(Setup!$D$25)*Setup!$B$9/12,Forecast!G121))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IF(A122="","",IF(117&gt;=N(Setup!$C$25),1,0))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IF(A122="","",IF($B122=1,Forecast!G122-N(Setup!$D$25)*Setup!$B$9/12,Forecast!G122))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IF(A123="","",IF(118&gt;=N(Setup!$C$25),1,0))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IF(A123="","",IF($B123=1,Forecast!G123-N(Setup!$D$25)*Setup!$B$9/12,Forecast!G123))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IF(A124="","",IF(119&gt;=N(Setup!$C$25),1,0))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IF(A124="","",IF($B124=1,Forecast!G124-N(Setup!$D$25)*Setup!$B$9/12,Forecast!G124))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9</t>
        </is>
      </c>
    </row>
    <row r="2">
      <c r="B2" s="5">
        <f>Setup!B26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IF(A5="","",IF(0&gt;=N(Setup!$C$26),1,0))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IF(A5="","",IF($B5=1,Forecast!G5-N(Setup!$D$26)*Setup!$B$9/12,Forecast!G5))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IF(A6="","",IF(1&gt;=N(Setup!$C$26),1,0))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IF(A6="","",IF($B6=1,Forecast!G6-N(Setup!$D$26)*Setup!$B$9/12,Forecast!G6))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IF(A7="","",IF(2&gt;=N(Setup!$C$26),1,0))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IF(A7="","",IF($B7=1,Forecast!G7-N(Setup!$D$26)*Setup!$B$9/12,Forecast!G7))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IF(A8="","",IF(3&gt;=N(Setup!$C$26),1,0))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IF(A8="","",IF($B8=1,Forecast!G8-N(Setup!$D$26)*Setup!$B$9/12,Forecast!G8))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IF(A9="","",IF(4&gt;=N(Setup!$C$26),1,0))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IF(A9="","",IF($B9=1,Forecast!G9-N(Setup!$D$26)*Setup!$B$9/12,Forecast!G9))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IF(A10="","",IF(5&gt;=N(Setup!$C$26),1,0))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IF(A10="","",IF($B10=1,Forecast!G10-N(Setup!$D$26)*Setup!$B$9/12,Forecast!G10))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IF(A11="","",IF(6&gt;=N(Setup!$C$26),1,0))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IF(A11="","",IF($B11=1,Forecast!G11-N(Setup!$D$26)*Setup!$B$9/12,Forecast!G11))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IF(A12="","",IF(7&gt;=N(Setup!$C$26),1,0))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IF(A12="","",IF($B12=1,Forecast!G12-N(Setup!$D$26)*Setup!$B$9/12,Forecast!G12))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IF(A13="","",IF(8&gt;=N(Setup!$C$26),1,0))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IF(A13="","",IF($B13=1,Forecast!G13-N(Setup!$D$26)*Setup!$B$9/12,Forecast!G13))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IF(A14="","",IF(9&gt;=N(Setup!$C$26),1,0))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IF(A14="","",IF($B14=1,Forecast!G14-N(Setup!$D$26)*Setup!$B$9/12,Forecast!G14))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IF(A15="","",IF(10&gt;=N(Setup!$C$26),1,0))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IF(A15="","",IF($B15=1,Forecast!G15-N(Setup!$D$26)*Setup!$B$9/12,Forecast!G15))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IF(A16="","",IF(11&gt;=N(Setup!$C$26),1,0))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IF(A16="","",IF($B16=1,Forecast!G16-N(Setup!$D$26)*Setup!$B$9/12,Forecast!G16))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IF(A17="","",IF(12&gt;=N(Setup!$C$26),1,0))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IF(A17="","",IF($B17=1,Forecast!G17-N(Setup!$D$26)*Setup!$B$9/12,Forecast!G17))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IF(A18="","",IF(13&gt;=N(Setup!$C$26),1,0))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IF(A18="","",IF($B18=1,Forecast!G18-N(Setup!$D$26)*Setup!$B$9/12,Forecast!G18))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IF(A19="","",IF(14&gt;=N(Setup!$C$26),1,0))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IF(A19="","",IF($B19=1,Forecast!G19-N(Setup!$D$26)*Setup!$B$9/12,Forecast!G19))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IF(A20="","",IF(15&gt;=N(Setup!$C$26),1,0))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IF(A20="","",IF($B20=1,Forecast!G20-N(Setup!$D$26)*Setup!$B$9/12,Forecast!G20))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IF(A21="","",IF(16&gt;=N(Setup!$C$26),1,0))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IF(A21="","",IF($B21=1,Forecast!G21-N(Setup!$D$26)*Setup!$B$9/12,Forecast!G21))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IF(A22="","",IF(17&gt;=N(Setup!$C$26),1,0))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IF(A22="","",IF($B22=1,Forecast!G22-N(Setup!$D$26)*Setup!$B$9/12,Forecast!G22))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IF(A23="","",IF(18&gt;=N(Setup!$C$26),1,0))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IF(A23="","",IF($B23=1,Forecast!G23-N(Setup!$D$26)*Setup!$B$9/12,Forecast!G23))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IF(A24="","",IF(19&gt;=N(Setup!$C$26),1,0))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IF(A24="","",IF($B24=1,Forecast!G24-N(Setup!$D$26)*Setup!$B$9/12,Forecast!G24))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IF(A25="","",IF(20&gt;=N(Setup!$C$26),1,0))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IF(A25="","",IF($B25=1,Forecast!G25-N(Setup!$D$26)*Setup!$B$9/12,Forecast!G25))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IF(A26="","",IF(21&gt;=N(Setup!$C$26),1,0))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IF(A26="","",IF($B26=1,Forecast!G26-N(Setup!$D$26)*Setup!$B$9/12,Forecast!G26))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IF(A27="","",IF(22&gt;=N(Setup!$C$26),1,0))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IF(A27="","",IF($B27=1,Forecast!G27-N(Setup!$D$26)*Setup!$B$9/12,Forecast!G27))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IF(A28="","",IF(23&gt;=N(Setup!$C$26),1,0))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IF(A28="","",IF($B28=1,Forecast!G28-N(Setup!$D$26)*Setup!$B$9/12,Forecast!G28))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IF(A29="","",IF(24&gt;=N(Setup!$C$26),1,0))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IF(A29="","",IF($B29=1,Forecast!G29-N(Setup!$D$26)*Setup!$B$9/12,Forecast!G29))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IF(A30="","",IF(25&gt;=N(Setup!$C$26),1,0))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IF(A30="","",IF($B30=1,Forecast!G30-N(Setup!$D$26)*Setup!$B$9/12,Forecast!G30))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IF(A31="","",IF(26&gt;=N(Setup!$C$26),1,0))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IF(A31="","",IF($B31=1,Forecast!G31-N(Setup!$D$26)*Setup!$B$9/12,Forecast!G31))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IF(A32="","",IF(27&gt;=N(Setup!$C$26),1,0))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IF(A32="","",IF($B32=1,Forecast!G32-N(Setup!$D$26)*Setup!$B$9/12,Forecast!G32))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IF(A33="","",IF(28&gt;=N(Setup!$C$26),1,0))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IF(A33="","",IF($B33=1,Forecast!G33-N(Setup!$D$26)*Setup!$B$9/12,Forecast!G33))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IF(A34="","",IF(29&gt;=N(Setup!$C$26),1,0))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IF(A34="","",IF($B34=1,Forecast!G34-N(Setup!$D$26)*Setup!$B$9/12,Forecast!G34))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IF(A35="","",IF(30&gt;=N(Setup!$C$26),1,0))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IF(A35="","",IF($B35=1,Forecast!G35-N(Setup!$D$26)*Setup!$B$9/12,Forecast!G35))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IF(A36="","",IF(31&gt;=N(Setup!$C$26),1,0))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IF(A36="","",IF($B36=1,Forecast!G36-N(Setup!$D$26)*Setup!$B$9/12,Forecast!G36))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IF(A37="","",IF(32&gt;=N(Setup!$C$26),1,0))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IF(A37="","",IF($B37=1,Forecast!G37-N(Setup!$D$26)*Setup!$B$9/12,Forecast!G37))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IF(A38="","",IF(33&gt;=N(Setup!$C$26),1,0))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IF(A38="","",IF($B38=1,Forecast!G38-N(Setup!$D$26)*Setup!$B$9/12,Forecast!G38))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IF(A39="","",IF(34&gt;=N(Setup!$C$26),1,0))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IF(A39="","",IF($B39=1,Forecast!G39-N(Setup!$D$26)*Setup!$B$9/12,Forecast!G39))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IF(A40="","",IF(35&gt;=N(Setup!$C$26),1,0))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IF(A40="","",IF($B40=1,Forecast!G40-N(Setup!$D$26)*Setup!$B$9/12,Forecast!G40))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IF(A41="","",IF(36&gt;=N(Setup!$C$26),1,0))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IF(A41="","",IF($B41=1,Forecast!G41-N(Setup!$D$26)*Setup!$B$9/12,Forecast!G41))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IF(A42="","",IF(37&gt;=N(Setup!$C$26),1,0))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IF(A42="","",IF($B42=1,Forecast!G42-N(Setup!$D$26)*Setup!$B$9/12,Forecast!G42))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IF(A43="","",IF(38&gt;=N(Setup!$C$26),1,0))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IF(A43="","",IF($B43=1,Forecast!G43-N(Setup!$D$26)*Setup!$B$9/12,Forecast!G43))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IF(A44="","",IF(39&gt;=N(Setup!$C$26),1,0))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IF(A44="","",IF($B44=1,Forecast!G44-N(Setup!$D$26)*Setup!$B$9/12,Forecast!G44))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IF(A45="","",IF(40&gt;=N(Setup!$C$26),1,0))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IF(A45="","",IF($B45=1,Forecast!G45-N(Setup!$D$26)*Setup!$B$9/12,Forecast!G45))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IF(A46="","",IF(41&gt;=N(Setup!$C$26),1,0))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IF(A46="","",IF($B46=1,Forecast!G46-N(Setup!$D$26)*Setup!$B$9/12,Forecast!G46))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IF(A47="","",IF(42&gt;=N(Setup!$C$26),1,0))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IF(A47="","",IF($B47=1,Forecast!G47-N(Setup!$D$26)*Setup!$B$9/12,Forecast!G47))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IF(A48="","",IF(43&gt;=N(Setup!$C$26),1,0))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IF(A48="","",IF($B48=1,Forecast!G48-N(Setup!$D$26)*Setup!$B$9/12,Forecast!G48))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IF(A49="","",IF(44&gt;=N(Setup!$C$26),1,0))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IF(A49="","",IF($B49=1,Forecast!G49-N(Setup!$D$26)*Setup!$B$9/12,Forecast!G49))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IF(A50="","",IF(45&gt;=N(Setup!$C$26),1,0))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IF(A50="","",IF($B50=1,Forecast!G50-N(Setup!$D$26)*Setup!$B$9/12,Forecast!G50))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IF(A51="","",IF(46&gt;=N(Setup!$C$26),1,0))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IF(A51="","",IF($B51=1,Forecast!G51-N(Setup!$D$26)*Setup!$B$9/12,Forecast!G51))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IF(A52="","",IF(47&gt;=N(Setup!$C$26),1,0))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IF(A52="","",IF($B52=1,Forecast!G52-N(Setup!$D$26)*Setup!$B$9/12,Forecast!G52))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IF(A53="","",IF(48&gt;=N(Setup!$C$26),1,0))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IF(A53="","",IF($B53=1,Forecast!G53-N(Setup!$D$26)*Setup!$B$9/12,Forecast!G53))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IF(A54="","",IF(49&gt;=N(Setup!$C$26),1,0))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IF(A54="","",IF($B54=1,Forecast!G54-N(Setup!$D$26)*Setup!$B$9/12,Forecast!G54))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IF(A55="","",IF(50&gt;=N(Setup!$C$26),1,0))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IF(A55="","",IF($B55=1,Forecast!G55-N(Setup!$D$26)*Setup!$B$9/12,Forecast!G55))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IF(A56="","",IF(51&gt;=N(Setup!$C$26),1,0))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IF(A56="","",IF($B56=1,Forecast!G56-N(Setup!$D$26)*Setup!$B$9/12,Forecast!G56))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IF(A57="","",IF(52&gt;=N(Setup!$C$26),1,0))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IF(A57="","",IF($B57=1,Forecast!G57-N(Setup!$D$26)*Setup!$B$9/12,Forecast!G57))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IF(A58="","",IF(53&gt;=N(Setup!$C$26),1,0))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IF(A58="","",IF($B58=1,Forecast!G58-N(Setup!$D$26)*Setup!$B$9/12,Forecast!G58))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IF(A59="","",IF(54&gt;=N(Setup!$C$26),1,0))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IF(A59="","",IF($B59=1,Forecast!G59-N(Setup!$D$26)*Setup!$B$9/12,Forecast!G59))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IF(A60="","",IF(55&gt;=N(Setup!$C$26),1,0))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IF(A60="","",IF($B60=1,Forecast!G60-N(Setup!$D$26)*Setup!$B$9/12,Forecast!G60))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IF(A61="","",IF(56&gt;=N(Setup!$C$26),1,0))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IF(A61="","",IF($B61=1,Forecast!G61-N(Setup!$D$26)*Setup!$B$9/12,Forecast!G61))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IF(A62="","",IF(57&gt;=N(Setup!$C$26),1,0))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IF(A62="","",IF($B62=1,Forecast!G62-N(Setup!$D$26)*Setup!$B$9/12,Forecast!G62))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IF(A63="","",IF(58&gt;=N(Setup!$C$26),1,0))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IF(A63="","",IF($B63=1,Forecast!G63-N(Setup!$D$26)*Setup!$B$9/12,Forecast!G63))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IF(A64="","",IF(59&gt;=N(Setup!$C$26),1,0))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IF(A64="","",IF($B64=1,Forecast!G64-N(Setup!$D$26)*Setup!$B$9/12,Forecast!G64))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IF(A65="","",IF(60&gt;=N(Setup!$C$26),1,0))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IF(A65="","",IF($B65=1,Forecast!G65-N(Setup!$D$26)*Setup!$B$9/12,Forecast!G65))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IF(A66="","",IF(61&gt;=N(Setup!$C$26),1,0))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IF(A66="","",IF($B66=1,Forecast!G66-N(Setup!$D$26)*Setup!$B$9/12,Forecast!G66))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IF(A67="","",IF(62&gt;=N(Setup!$C$26),1,0))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IF(A67="","",IF($B67=1,Forecast!G67-N(Setup!$D$26)*Setup!$B$9/12,Forecast!G67))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IF(A68="","",IF(63&gt;=N(Setup!$C$26),1,0))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IF(A68="","",IF($B68=1,Forecast!G68-N(Setup!$D$26)*Setup!$B$9/12,Forecast!G68))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IF(A69="","",IF(64&gt;=N(Setup!$C$26),1,0))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IF(A69="","",IF($B69=1,Forecast!G69-N(Setup!$D$26)*Setup!$B$9/12,Forecast!G69))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IF(A70="","",IF(65&gt;=N(Setup!$C$26),1,0))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IF(A70="","",IF($B70=1,Forecast!G70-N(Setup!$D$26)*Setup!$B$9/12,Forecast!G70))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IF(A71="","",IF(66&gt;=N(Setup!$C$26),1,0))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IF(A71="","",IF($B71=1,Forecast!G71-N(Setup!$D$26)*Setup!$B$9/12,Forecast!G71))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IF(A72="","",IF(67&gt;=N(Setup!$C$26),1,0))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IF(A72="","",IF($B72=1,Forecast!G72-N(Setup!$D$26)*Setup!$B$9/12,Forecast!G72))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IF(A73="","",IF(68&gt;=N(Setup!$C$26),1,0))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IF(A73="","",IF($B73=1,Forecast!G73-N(Setup!$D$26)*Setup!$B$9/12,Forecast!G73))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IF(A74="","",IF(69&gt;=N(Setup!$C$26),1,0))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IF(A74="","",IF($B74=1,Forecast!G74-N(Setup!$D$26)*Setup!$B$9/12,Forecast!G74))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IF(A75="","",IF(70&gt;=N(Setup!$C$26),1,0))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IF(A75="","",IF($B75=1,Forecast!G75-N(Setup!$D$26)*Setup!$B$9/12,Forecast!G75))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IF(A76="","",IF(71&gt;=N(Setup!$C$26),1,0))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IF(A76="","",IF($B76=1,Forecast!G76-N(Setup!$D$26)*Setup!$B$9/12,Forecast!G76))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IF(A77="","",IF(72&gt;=N(Setup!$C$26),1,0))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IF(A77="","",IF($B77=1,Forecast!G77-N(Setup!$D$26)*Setup!$B$9/12,Forecast!G77))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IF(A78="","",IF(73&gt;=N(Setup!$C$26),1,0))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IF(A78="","",IF($B78=1,Forecast!G78-N(Setup!$D$26)*Setup!$B$9/12,Forecast!G78))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IF(A79="","",IF(74&gt;=N(Setup!$C$26),1,0))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IF(A79="","",IF($B79=1,Forecast!G79-N(Setup!$D$26)*Setup!$B$9/12,Forecast!G79))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IF(A80="","",IF(75&gt;=N(Setup!$C$26),1,0))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IF(A80="","",IF($B80=1,Forecast!G80-N(Setup!$D$26)*Setup!$B$9/12,Forecast!G80))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IF(A81="","",IF(76&gt;=N(Setup!$C$26),1,0))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IF(A81="","",IF($B81=1,Forecast!G81-N(Setup!$D$26)*Setup!$B$9/12,Forecast!G81))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IF(A82="","",IF(77&gt;=N(Setup!$C$26),1,0))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IF(A82="","",IF($B82=1,Forecast!G82-N(Setup!$D$26)*Setup!$B$9/12,Forecast!G82))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IF(A83="","",IF(78&gt;=N(Setup!$C$26),1,0))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IF(A83="","",IF($B83=1,Forecast!G83-N(Setup!$D$26)*Setup!$B$9/12,Forecast!G83))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IF(A84="","",IF(79&gt;=N(Setup!$C$26),1,0))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IF(A84="","",IF($B84=1,Forecast!G84-N(Setup!$D$26)*Setup!$B$9/12,Forecast!G84))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IF(A85="","",IF(80&gt;=N(Setup!$C$26),1,0))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IF(A85="","",IF($B85=1,Forecast!G85-N(Setup!$D$26)*Setup!$B$9/12,Forecast!G85))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IF(A86="","",IF(81&gt;=N(Setup!$C$26),1,0))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IF(A86="","",IF($B86=1,Forecast!G86-N(Setup!$D$26)*Setup!$B$9/12,Forecast!G86))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IF(A87="","",IF(82&gt;=N(Setup!$C$26),1,0))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IF(A87="","",IF($B87=1,Forecast!G87-N(Setup!$D$26)*Setup!$B$9/12,Forecast!G87))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IF(A88="","",IF(83&gt;=N(Setup!$C$26),1,0))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IF(A88="","",IF($B88=1,Forecast!G88-N(Setup!$D$26)*Setup!$B$9/12,Forecast!G88))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IF(A89="","",IF(84&gt;=N(Setup!$C$26),1,0))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IF(A89="","",IF($B89=1,Forecast!G89-N(Setup!$D$26)*Setup!$B$9/12,Forecast!G89))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IF(A90="","",IF(85&gt;=N(Setup!$C$26),1,0))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IF(A90="","",IF($B90=1,Forecast!G90-N(Setup!$D$26)*Setup!$B$9/12,Forecast!G90))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IF(A91="","",IF(86&gt;=N(Setup!$C$26),1,0))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IF(A91="","",IF($B91=1,Forecast!G91-N(Setup!$D$26)*Setup!$B$9/12,Forecast!G91))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IF(A92="","",IF(87&gt;=N(Setup!$C$26),1,0))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IF(A92="","",IF($B92=1,Forecast!G92-N(Setup!$D$26)*Setup!$B$9/12,Forecast!G92))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IF(A93="","",IF(88&gt;=N(Setup!$C$26),1,0))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IF(A93="","",IF($B93=1,Forecast!G93-N(Setup!$D$26)*Setup!$B$9/12,Forecast!G93))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IF(A94="","",IF(89&gt;=N(Setup!$C$26),1,0))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IF(A94="","",IF($B94=1,Forecast!G94-N(Setup!$D$26)*Setup!$B$9/12,Forecast!G94))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IF(A95="","",IF(90&gt;=N(Setup!$C$26),1,0))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IF(A95="","",IF($B95=1,Forecast!G95-N(Setup!$D$26)*Setup!$B$9/12,Forecast!G95))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IF(A96="","",IF(91&gt;=N(Setup!$C$26),1,0))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IF(A96="","",IF($B96=1,Forecast!G96-N(Setup!$D$26)*Setup!$B$9/12,Forecast!G96))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IF(A97="","",IF(92&gt;=N(Setup!$C$26),1,0))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IF(A97="","",IF($B97=1,Forecast!G97-N(Setup!$D$26)*Setup!$B$9/12,Forecast!G97))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IF(A98="","",IF(93&gt;=N(Setup!$C$26),1,0))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IF(A98="","",IF($B98=1,Forecast!G98-N(Setup!$D$26)*Setup!$B$9/12,Forecast!G98))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IF(A99="","",IF(94&gt;=N(Setup!$C$26),1,0))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IF(A99="","",IF($B99=1,Forecast!G99-N(Setup!$D$26)*Setup!$B$9/12,Forecast!G99))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IF(A100="","",IF(95&gt;=N(Setup!$C$26),1,0))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IF(A100="","",IF($B100=1,Forecast!G100-N(Setup!$D$26)*Setup!$B$9/12,Forecast!G100))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IF(A101="","",IF(96&gt;=N(Setup!$C$26),1,0))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IF(A101="","",IF($B101=1,Forecast!G101-N(Setup!$D$26)*Setup!$B$9/12,Forecast!G101))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IF(A102="","",IF(97&gt;=N(Setup!$C$26),1,0))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IF(A102="","",IF($B102=1,Forecast!G102-N(Setup!$D$26)*Setup!$B$9/12,Forecast!G102))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IF(A103="","",IF(98&gt;=N(Setup!$C$26),1,0))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IF(A103="","",IF($B103=1,Forecast!G103-N(Setup!$D$26)*Setup!$B$9/12,Forecast!G103))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IF(A104="","",IF(99&gt;=N(Setup!$C$26),1,0))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IF(A104="","",IF($B104=1,Forecast!G104-N(Setup!$D$26)*Setup!$B$9/12,Forecast!G104))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IF(A105="","",IF(100&gt;=N(Setup!$C$26),1,0))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IF(A105="","",IF($B105=1,Forecast!G105-N(Setup!$D$26)*Setup!$B$9/12,Forecast!G105))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IF(A106="","",IF(101&gt;=N(Setup!$C$26),1,0))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IF(A106="","",IF($B106=1,Forecast!G106-N(Setup!$D$26)*Setup!$B$9/12,Forecast!G106))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IF(A107="","",IF(102&gt;=N(Setup!$C$26),1,0))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IF(A107="","",IF($B107=1,Forecast!G107-N(Setup!$D$26)*Setup!$B$9/12,Forecast!G107))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IF(A108="","",IF(103&gt;=N(Setup!$C$26),1,0))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IF(A108="","",IF($B108=1,Forecast!G108-N(Setup!$D$26)*Setup!$B$9/12,Forecast!G108))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IF(A109="","",IF(104&gt;=N(Setup!$C$26),1,0))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IF(A109="","",IF($B109=1,Forecast!G109-N(Setup!$D$26)*Setup!$B$9/12,Forecast!G109))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IF(A110="","",IF(105&gt;=N(Setup!$C$26),1,0))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IF(A110="","",IF($B110=1,Forecast!G110-N(Setup!$D$26)*Setup!$B$9/12,Forecast!G110))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IF(A111="","",IF(106&gt;=N(Setup!$C$26),1,0))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IF(A111="","",IF($B111=1,Forecast!G111-N(Setup!$D$26)*Setup!$B$9/12,Forecast!G111))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IF(A112="","",IF(107&gt;=N(Setup!$C$26),1,0))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IF(A112="","",IF($B112=1,Forecast!G112-N(Setup!$D$26)*Setup!$B$9/12,Forecast!G112))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IF(A113="","",IF(108&gt;=N(Setup!$C$26),1,0))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IF(A113="","",IF($B113=1,Forecast!G113-N(Setup!$D$26)*Setup!$B$9/12,Forecast!G113))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IF(A114="","",IF(109&gt;=N(Setup!$C$26),1,0))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IF(A114="","",IF($B114=1,Forecast!G114-N(Setup!$D$26)*Setup!$B$9/12,Forecast!G114))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IF(A115="","",IF(110&gt;=N(Setup!$C$26),1,0))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IF(A115="","",IF($B115=1,Forecast!G115-N(Setup!$D$26)*Setup!$B$9/12,Forecast!G115))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IF(A116="","",IF(111&gt;=N(Setup!$C$26),1,0))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IF(A116="","",IF($B116=1,Forecast!G116-N(Setup!$D$26)*Setup!$B$9/12,Forecast!G116))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IF(A117="","",IF(112&gt;=N(Setup!$C$26),1,0))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IF(A117="","",IF($B117=1,Forecast!G117-N(Setup!$D$26)*Setup!$B$9/12,Forecast!G117))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IF(A118="","",IF(113&gt;=N(Setup!$C$26),1,0))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IF(A118="","",IF($B118=1,Forecast!G118-N(Setup!$D$26)*Setup!$B$9/12,Forecast!G118))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IF(A119="","",IF(114&gt;=N(Setup!$C$26),1,0))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IF(A119="","",IF($B119=1,Forecast!G119-N(Setup!$D$26)*Setup!$B$9/12,Forecast!G119))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IF(A120="","",IF(115&gt;=N(Setup!$C$26),1,0))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IF(A120="","",IF($B120=1,Forecast!G120-N(Setup!$D$26)*Setup!$B$9/12,Forecast!G120))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IF(A121="","",IF(116&gt;=N(Setup!$C$26),1,0))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IF(A121="","",IF($B121=1,Forecast!G121-N(Setup!$D$26)*Setup!$B$9/12,Forecast!G121))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IF(A122="","",IF(117&gt;=N(Setup!$C$26),1,0))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IF(A122="","",IF($B122=1,Forecast!G122-N(Setup!$D$26)*Setup!$B$9/12,Forecast!G122))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IF(A123="","",IF(118&gt;=N(Setup!$C$26),1,0))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IF(A123="","",IF($B123=1,Forecast!G123-N(Setup!$D$26)*Setup!$B$9/12,Forecast!G123))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IF(A124="","",IF(119&gt;=N(Setup!$C$26),1,0))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IF(A124="","",IF($B124=1,Forecast!G124-N(Setup!$D$26)*Setup!$B$9/12,Forecast!G124))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Scenario slot 10</t>
        </is>
      </c>
    </row>
    <row r="2">
      <c r="B2" s="5">
        <f>Setup!B27</f>
        <v/>
      </c>
    </row>
    <row r="3"/>
    <row r="4">
      <c r="A4" s="6" t="inlineStr">
        <is>
          <t>month_no</t>
        </is>
      </c>
      <c r="B4" s="6" t="inlineStr">
        <is>
          <t>post-sale?</t>
        </is>
      </c>
      <c r="C4" s="6" t="inlineStr">
        <is>
          <t>revenue</t>
        </is>
      </c>
      <c r="D4" s="6" t="inlineStr">
        <is>
          <t>gross_profit</t>
        </is>
      </c>
      <c r="E4" s="6" t="inlineStr">
        <is>
          <t>opex</t>
        </is>
      </c>
      <c r="F4" s="6" t="inlineStr">
        <is>
          <t>ebitda</t>
        </is>
      </c>
      <c r="G4" s="6" t="inlineStr">
        <is>
          <t>da</t>
        </is>
      </c>
      <c r="H4" s="6" t="inlineStr">
        <is>
          <t>interest</t>
        </is>
      </c>
      <c r="I4" s="6" t="inlineStr">
        <is>
          <t>pretax_income</t>
        </is>
      </c>
      <c r="J4" s="6" t="inlineStr">
        <is>
          <t>tax</t>
        </is>
      </c>
      <c r="K4" s="6" t="inlineStr">
        <is>
          <t>net_income</t>
        </is>
      </c>
      <c r="L4" s="6" t="inlineStr">
        <is>
          <t>operating_cash_flow</t>
        </is>
      </c>
      <c r="M4" s="6" t="inlineStr">
        <is>
          <t>capex</t>
        </is>
      </c>
      <c r="N4" s="6" t="inlineStr">
        <is>
          <t>free_cash_flow</t>
        </is>
      </c>
      <c r="O4" s="6" t="inlineStr">
        <is>
          <t>change_in_cash</t>
        </is>
      </c>
      <c r="P4" s="6" t="inlineStr">
        <is>
          <t>ending_cash</t>
        </is>
      </c>
    </row>
    <row r="5">
      <c r="A5" s="5">
        <f>IF(Forecast!A5="","",Forecast!A5)</f>
        <v/>
      </c>
      <c r="B5" s="5">
        <f>IF(A5="","",IF(0&gt;=N(Setup!$C$27),1,0))</f>
        <v/>
      </c>
      <c r="C5" s="10">
        <f>IF(A5="","",IF($B5=1,Forecast!B5-Setup!$B$4,Forecast!B5))</f>
        <v/>
      </c>
      <c r="D5" s="10">
        <f>IF(A5="","",IF($B5=1,Forecast!C5-Setup!$B$5,Forecast!C5))</f>
        <v/>
      </c>
      <c r="E5" s="10">
        <f>IF(A5="","",IF($B5=1,Forecast!D5-Setup!$B$6,Forecast!D5))</f>
        <v/>
      </c>
      <c r="F5" s="10">
        <f>IF(A5="","",IF($B5=1,D5-E5,Forecast!E5))</f>
        <v/>
      </c>
      <c r="G5" s="10">
        <f>IF(A5="","",IF($B5=1,Forecast!F5-Setup!$B$7,Forecast!F5))</f>
        <v/>
      </c>
      <c r="H5" s="10">
        <f>IF(A5="","",IF($B5=1,Forecast!G5-N(Setup!$D$27)*Setup!$B$9/12,Forecast!G5))</f>
        <v/>
      </c>
      <c r="I5" s="10">
        <f>IF(A5="","",IF($B5=1,F5-G5-H5,Forecast!H5))</f>
        <v/>
      </c>
      <c r="J5" s="10">
        <f>IF(A5="","",IF($B5=1,MAX(0,I5)*Setup!$B$10,Forecast!I5))</f>
        <v/>
      </c>
      <c r="K5" s="10">
        <f>IF(A5="","",IF($B5=1,I5-J5,Forecast!J5))</f>
        <v/>
      </c>
      <c r="L5" s="10">
        <f>IF(A5="","",IF($B5=1,K5+G5+Forecast!K5,Forecast!L5))</f>
        <v/>
      </c>
      <c r="M5" s="10">
        <f>IF(A5="","",IF($B5=1,Forecast!M5-Setup!$B$8,Forecast!M5))</f>
        <v/>
      </c>
      <c r="N5" s="10">
        <f>IF(A5="","",IF($B5=1,L5-M5,Forecast!O5))</f>
        <v/>
      </c>
      <c r="O5" s="10">
        <f>IF(A5="","",IF($B5=1,N5-Forecast!N5,Forecast!P5))</f>
        <v/>
      </c>
      <c r="P5" s="10">
        <f>IF(A5="","",(Forecast!$Q$5-Forecast!$P$5)+SUM($O$5:O5))</f>
        <v/>
      </c>
    </row>
    <row r="6">
      <c r="A6" s="5">
        <f>IF(Forecast!A6="","",Forecast!A6)</f>
        <v/>
      </c>
      <c r="B6" s="5">
        <f>IF(A6="","",IF(1&gt;=N(Setup!$C$27),1,0))</f>
        <v/>
      </c>
      <c r="C6" s="10">
        <f>IF(A6="","",IF($B6=1,Forecast!B6-Setup!$B$4,Forecast!B6))</f>
        <v/>
      </c>
      <c r="D6" s="10">
        <f>IF(A6="","",IF($B6=1,Forecast!C6-Setup!$B$5,Forecast!C6))</f>
        <v/>
      </c>
      <c r="E6" s="10">
        <f>IF(A6="","",IF($B6=1,Forecast!D6-Setup!$B$6,Forecast!D6))</f>
        <v/>
      </c>
      <c r="F6" s="10">
        <f>IF(A6="","",IF($B6=1,D6-E6,Forecast!E6))</f>
        <v/>
      </c>
      <c r="G6" s="10">
        <f>IF(A6="","",IF($B6=1,Forecast!F6-Setup!$B$7,Forecast!F6))</f>
        <v/>
      </c>
      <c r="H6" s="10">
        <f>IF(A6="","",IF($B6=1,Forecast!G6-N(Setup!$D$27)*Setup!$B$9/12,Forecast!G6))</f>
        <v/>
      </c>
      <c r="I6" s="10">
        <f>IF(A6="","",IF($B6=1,F6-G6-H6,Forecast!H6))</f>
        <v/>
      </c>
      <c r="J6" s="10">
        <f>IF(A6="","",IF($B6=1,MAX(0,I6)*Setup!$B$10,Forecast!I6))</f>
        <v/>
      </c>
      <c r="K6" s="10">
        <f>IF(A6="","",IF($B6=1,I6-J6,Forecast!J6))</f>
        <v/>
      </c>
      <c r="L6" s="10">
        <f>IF(A6="","",IF($B6=1,K6+G6+Forecast!K6,Forecast!L6))</f>
        <v/>
      </c>
      <c r="M6" s="10">
        <f>IF(A6="","",IF($B6=1,Forecast!M6-Setup!$B$8,Forecast!M6))</f>
        <v/>
      </c>
      <c r="N6" s="10">
        <f>IF(A6="","",IF($B6=1,L6-M6,Forecast!O6))</f>
        <v/>
      </c>
      <c r="O6" s="10">
        <f>IF(A6="","",IF($B6=1,N6-Forecast!N6,Forecast!P6))</f>
        <v/>
      </c>
      <c r="P6" s="10">
        <f>IF(A6="","",(Forecast!$Q$5-Forecast!$P$5)+SUM($O$5:O6))</f>
        <v/>
      </c>
    </row>
    <row r="7">
      <c r="A7" s="5">
        <f>IF(Forecast!A7="","",Forecast!A7)</f>
        <v/>
      </c>
      <c r="B7" s="5">
        <f>IF(A7="","",IF(2&gt;=N(Setup!$C$27),1,0))</f>
        <v/>
      </c>
      <c r="C7" s="10">
        <f>IF(A7="","",IF($B7=1,Forecast!B7-Setup!$B$4,Forecast!B7))</f>
        <v/>
      </c>
      <c r="D7" s="10">
        <f>IF(A7="","",IF($B7=1,Forecast!C7-Setup!$B$5,Forecast!C7))</f>
        <v/>
      </c>
      <c r="E7" s="10">
        <f>IF(A7="","",IF($B7=1,Forecast!D7-Setup!$B$6,Forecast!D7))</f>
        <v/>
      </c>
      <c r="F7" s="10">
        <f>IF(A7="","",IF($B7=1,D7-E7,Forecast!E7))</f>
        <v/>
      </c>
      <c r="G7" s="10">
        <f>IF(A7="","",IF($B7=1,Forecast!F7-Setup!$B$7,Forecast!F7))</f>
        <v/>
      </c>
      <c r="H7" s="10">
        <f>IF(A7="","",IF($B7=1,Forecast!G7-N(Setup!$D$27)*Setup!$B$9/12,Forecast!G7))</f>
        <v/>
      </c>
      <c r="I7" s="10">
        <f>IF(A7="","",IF($B7=1,F7-G7-H7,Forecast!H7))</f>
        <v/>
      </c>
      <c r="J7" s="10">
        <f>IF(A7="","",IF($B7=1,MAX(0,I7)*Setup!$B$10,Forecast!I7))</f>
        <v/>
      </c>
      <c r="K7" s="10">
        <f>IF(A7="","",IF($B7=1,I7-J7,Forecast!J7))</f>
        <v/>
      </c>
      <c r="L7" s="10">
        <f>IF(A7="","",IF($B7=1,K7+G7+Forecast!K7,Forecast!L7))</f>
        <v/>
      </c>
      <c r="M7" s="10">
        <f>IF(A7="","",IF($B7=1,Forecast!M7-Setup!$B$8,Forecast!M7))</f>
        <v/>
      </c>
      <c r="N7" s="10">
        <f>IF(A7="","",IF($B7=1,L7-M7,Forecast!O7))</f>
        <v/>
      </c>
      <c r="O7" s="10">
        <f>IF(A7="","",IF($B7=1,N7-Forecast!N7,Forecast!P7))</f>
        <v/>
      </c>
      <c r="P7" s="10">
        <f>IF(A7="","",(Forecast!$Q$5-Forecast!$P$5)+SUM($O$5:O7))</f>
        <v/>
      </c>
    </row>
    <row r="8">
      <c r="A8" s="5">
        <f>IF(Forecast!A8="","",Forecast!A8)</f>
        <v/>
      </c>
      <c r="B8" s="5">
        <f>IF(A8="","",IF(3&gt;=N(Setup!$C$27),1,0))</f>
        <v/>
      </c>
      <c r="C8" s="10">
        <f>IF(A8="","",IF($B8=1,Forecast!B8-Setup!$B$4,Forecast!B8))</f>
        <v/>
      </c>
      <c r="D8" s="10">
        <f>IF(A8="","",IF($B8=1,Forecast!C8-Setup!$B$5,Forecast!C8))</f>
        <v/>
      </c>
      <c r="E8" s="10">
        <f>IF(A8="","",IF($B8=1,Forecast!D8-Setup!$B$6,Forecast!D8))</f>
        <v/>
      </c>
      <c r="F8" s="10">
        <f>IF(A8="","",IF($B8=1,D8-E8,Forecast!E8))</f>
        <v/>
      </c>
      <c r="G8" s="10">
        <f>IF(A8="","",IF($B8=1,Forecast!F8-Setup!$B$7,Forecast!F8))</f>
        <v/>
      </c>
      <c r="H8" s="10">
        <f>IF(A8="","",IF($B8=1,Forecast!G8-N(Setup!$D$27)*Setup!$B$9/12,Forecast!G8))</f>
        <v/>
      </c>
      <c r="I8" s="10">
        <f>IF(A8="","",IF($B8=1,F8-G8-H8,Forecast!H8))</f>
        <v/>
      </c>
      <c r="J8" s="10">
        <f>IF(A8="","",IF($B8=1,MAX(0,I8)*Setup!$B$10,Forecast!I8))</f>
        <v/>
      </c>
      <c r="K8" s="10">
        <f>IF(A8="","",IF($B8=1,I8-J8,Forecast!J8))</f>
        <v/>
      </c>
      <c r="L8" s="10">
        <f>IF(A8="","",IF($B8=1,K8+G8+Forecast!K8,Forecast!L8))</f>
        <v/>
      </c>
      <c r="M8" s="10">
        <f>IF(A8="","",IF($B8=1,Forecast!M8-Setup!$B$8,Forecast!M8))</f>
        <v/>
      </c>
      <c r="N8" s="10">
        <f>IF(A8="","",IF($B8=1,L8-M8,Forecast!O8))</f>
        <v/>
      </c>
      <c r="O8" s="10">
        <f>IF(A8="","",IF($B8=1,N8-Forecast!N8,Forecast!P8))</f>
        <v/>
      </c>
      <c r="P8" s="10">
        <f>IF(A8="","",(Forecast!$Q$5-Forecast!$P$5)+SUM($O$5:O8))</f>
        <v/>
      </c>
    </row>
    <row r="9">
      <c r="A9" s="5">
        <f>IF(Forecast!A9="","",Forecast!A9)</f>
        <v/>
      </c>
      <c r="B9" s="5">
        <f>IF(A9="","",IF(4&gt;=N(Setup!$C$27),1,0))</f>
        <v/>
      </c>
      <c r="C9" s="10">
        <f>IF(A9="","",IF($B9=1,Forecast!B9-Setup!$B$4,Forecast!B9))</f>
        <v/>
      </c>
      <c r="D9" s="10">
        <f>IF(A9="","",IF($B9=1,Forecast!C9-Setup!$B$5,Forecast!C9))</f>
        <v/>
      </c>
      <c r="E9" s="10">
        <f>IF(A9="","",IF($B9=1,Forecast!D9-Setup!$B$6,Forecast!D9))</f>
        <v/>
      </c>
      <c r="F9" s="10">
        <f>IF(A9="","",IF($B9=1,D9-E9,Forecast!E9))</f>
        <v/>
      </c>
      <c r="G9" s="10">
        <f>IF(A9="","",IF($B9=1,Forecast!F9-Setup!$B$7,Forecast!F9))</f>
        <v/>
      </c>
      <c r="H9" s="10">
        <f>IF(A9="","",IF($B9=1,Forecast!G9-N(Setup!$D$27)*Setup!$B$9/12,Forecast!G9))</f>
        <v/>
      </c>
      <c r="I9" s="10">
        <f>IF(A9="","",IF($B9=1,F9-G9-H9,Forecast!H9))</f>
        <v/>
      </c>
      <c r="J9" s="10">
        <f>IF(A9="","",IF($B9=1,MAX(0,I9)*Setup!$B$10,Forecast!I9))</f>
        <v/>
      </c>
      <c r="K9" s="10">
        <f>IF(A9="","",IF($B9=1,I9-J9,Forecast!J9))</f>
        <v/>
      </c>
      <c r="L9" s="10">
        <f>IF(A9="","",IF($B9=1,K9+G9+Forecast!K9,Forecast!L9))</f>
        <v/>
      </c>
      <c r="M9" s="10">
        <f>IF(A9="","",IF($B9=1,Forecast!M9-Setup!$B$8,Forecast!M9))</f>
        <v/>
      </c>
      <c r="N9" s="10">
        <f>IF(A9="","",IF($B9=1,L9-M9,Forecast!O9))</f>
        <v/>
      </c>
      <c r="O9" s="10">
        <f>IF(A9="","",IF($B9=1,N9-Forecast!N9,Forecast!P9))</f>
        <v/>
      </c>
      <c r="P9" s="10">
        <f>IF(A9="","",(Forecast!$Q$5-Forecast!$P$5)+SUM($O$5:O9))</f>
        <v/>
      </c>
    </row>
    <row r="10">
      <c r="A10" s="5">
        <f>IF(Forecast!A10="","",Forecast!A10)</f>
        <v/>
      </c>
      <c r="B10" s="5">
        <f>IF(A10="","",IF(5&gt;=N(Setup!$C$27),1,0))</f>
        <v/>
      </c>
      <c r="C10" s="10">
        <f>IF(A10="","",IF($B10=1,Forecast!B10-Setup!$B$4,Forecast!B10))</f>
        <v/>
      </c>
      <c r="D10" s="10">
        <f>IF(A10="","",IF($B10=1,Forecast!C10-Setup!$B$5,Forecast!C10))</f>
        <v/>
      </c>
      <c r="E10" s="10">
        <f>IF(A10="","",IF($B10=1,Forecast!D10-Setup!$B$6,Forecast!D10))</f>
        <v/>
      </c>
      <c r="F10" s="10">
        <f>IF(A10="","",IF($B10=1,D10-E10,Forecast!E10))</f>
        <v/>
      </c>
      <c r="G10" s="10">
        <f>IF(A10="","",IF($B10=1,Forecast!F10-Setup!$B$7,Forecast!F10))</f>
        <v/>
      </c>
      <c r="H10" s="10">
        <f>IF(A10="","",IF($B10=1,Forecast!G10-N(Setup!$D$27)*Setup!$B$9/12,Forecast!G10))</f>
        <v/>
      </c>
      <c r="I10" s="10">
        <f>IF(A10="","",IF($B10=1,F10-G10-H10,Forecast!H10))</f>
        <v/>
      </c>
      <c r="J10" s="10">
        <f>IF(A10="","",IF($B10=1,MAX(0,I10)*Setup!$B$10,Forecast!I10))</f>
        <v/>
      </c>
      <c r="K10" s="10">
        <f>IF(A10="","",IF($B10=1,I10-J10,Forecast!J10))</f>
        <v/>
      </c>
      <c r="L10" s="10">
        <f>IF(A10="","",IF($B10=1,K10+G10+Forecast!K10,Forecast!L10))</f>
        <v/>
      </c>
      <c r="M10" s="10">
        <f>IF(A10="","",IF($B10=1,Forecast!M10-Setup!$B$8,Forecast!M10))</f>
        <v/>
      </c>
      <c r="N10" s="10">
        <f>IF(A10="","",IF($B10=1,L10-M10,Forecast!O10))</f>
        <v/>
      </c>
      <c r="O10" s="10">
        <f>IF(A10="","",IF($B10=1,N10-Forecast!N10,Forecast!P10))</f>
        <v/>
      </c>
      <c r="P10" s="10">
        <f>IF(A10="","",(Forecast!$Q$5-Forecast!$P$5)+SUM($O$5:O10))</f>
        <v/>
      </c>
    </row>
    <row r="11">
      <c r="A11" s="5">
        <f>IF(Forecast!A11="","",Forecast!A11)</f>
        <v/>
      </c>
      <c r="B11" s="5">
        <f>IF(A11="","",IF(6&gt;=N(Setup!$C$27),1,0))</f>
        <v/>
      </c>
      <c r="C11" s="10">
        <f>IF(A11="","",IF($B11=1,Forecast!B11-Setup!$B$4,Forecast!B11))</f>
        <v/>
      </c>
      <c r="D11" s="10">
        <f>IF(A11="","",IF($B11=1,Forecast!C11-Setup!$B$5,Forecast!C11))</f>
        <v/>
      </c>
      <c r="E11" s="10">
        <f>IF(A11="","",IF($B11=1,Forecast!D11-Setup!$B$6,Forecast!D11))</f>
        <v/>
      </c>
      <c r="F11" s="10">
        <f>IF(A11="","",IF($B11=1,D11-E11,Forecast!E11))</f>
        <v/>
      </c>
      <c r="G11" s="10">
        <f>IF(A11="","",IF($B11=1,Forecast!F11-Setup!$B$7,Forecast!F11))</f>
        <v/>
      </c>
      <c r="H11" s="10">
        <f>IF(A11="","",IF($B11=1,Forecast!G11-N(Setup!$D$27)*Setup!$B$9/12,Forecast!G11))</f>
        <v/>
      </c>
      <c r="I11" s="10">
        <f>IF(A11="","",IF($B11=1,F11-G11-H11,Forecast!H11))</f>
        <v/>
      </c>
      <c r="J11" s="10">
        <f>IF(A11="","",IF($B11=1,MAX(0,I11)*Setup!$B$10,Forecast!I11))</f>
        <v/>
      </c>
      <c r="K11" s="10">
        <f>IF(A11="","",IF($B11=1,I11-J11,Forecast!J11))</f>
        <v/>
      </c>
      <c r="L11" s="10">
        <f>IF(A11="","",IF($B11=1,K11+G11+Forecast!K11,Forecast!L11))</f>
        <v/>
      </c>
      <c r="M11" s="10">
        <f>IF(A11="","",IF($B11=1,Forecast!M11-Setup!$B$8,Forecast!M11))</f>
        <v/>
      </c>
      <c r="N11" s="10">
        <f>IF(A11="","",IF($B11=1,L11-M11,Forecast!O11))</f>
        <v/>
      </c>
      <c r="O11" s="10">
        <f>IF(A11="","",IF($B11=1,N11-Forecast!N11,Forecast!P11))</f>
        <v/>
      </c>
      <c r="P11" s="10">
        <f>IF(A11="","",(Forecast!$Q$5-Forecast!$P$5)+SUM($O$5:O11))</f>
        <v/>
      </c>
    </row>
    <row r="12">
      <c r="A12" s="5">
        <f>IF(Forecast!A12="","",Forecast!A12)</f>
        <v/>
      </c>
      <c r="B12" s="5">
        <f>IF(A12="","",IF(7&gt;=N(Setup!$C$27),1,0))</f>
        <v/>
      </c>
      <c r="C12" s="10">
        <f>IF(A12="","",IF($B12=1,Forecast!B12-Setup!$B$4,Forecast!B12))</f>
        <v/>
      </c>
      <c r="D12" s="10">
        <f>IF(A12="","",IF($B12=1,Forecast!C12-Setup!$B$5,Forecast!C12))</f>
        <v/>
      </c>
      <c r="E12" s="10">
        <f>IF(A12="","",IF($B12=1,Forecast!D12-Setup!$B$6,Forecast!D12))</f>
        <v/>
      </c>
      <c r="F12" s="10">
        <f>IF(A12="","",IF($B12=1,D12-E12,Forecast!E12))</f>
        <v/>
      </c>
      <c r="G12" s="10">
        <f>IF(A12="","",IF($B12=1,Forecast!F12-Setup!$B$7,Forecast!F12))</f>
        <v/>
      </c>
      <c r="H12" s="10">
        <f>IF(A12="","",IF($B12=1,Forecast!G12-N(Setup!$D$27)*Setup!$B$9/12,Forecast!G12))</f>
        <v/>
      </c>
      <c r="I12" s="10">
        <f>IF(A12="","",IF($B12=1,F12-G12-H12,Forecast!H12))</f>
        <v/>
      </c>
      <c r="J12" s="10">
        <f>IF(A12="","",IF($B12=1,MAX(0,I12)*Setup!$B$10,Forecast!I12))</f>
        <v/>
      </c>
      <c r="K12" s="10">
        <f>IF(A12="","",IF($B12=1,I12-J12,Forecast!J12))</f>
        <v/>
      </c>
      <c r="L12" s="10">
        <f>IF(A12="","",IF($B12=1,K12+G12+Forecast!K12,Forecast!L12))</f>
        <v/>
      </c>
      <c r="M12" s="10">
        <f>IF(A12="","",IF($B12=1,Forecast!M12-Setup!$B$8,Forecast!M12))</f>
        <v/>
      </c>
      <c r="N12" s="10">
        <f>IF(A12="","",IF($B12=1,L12-M12,Forecast!O12))</f>
        <v/>
      </c>
      <c r="O12" s="10">
        <f>IF(A12="","",IF($B12=1,N12-Forecast!N12,Forecast!P12))</f>
        <v/>
      </c>
      <c r="P12" s="10">
        <f>IF(A12="","",(Forecast!$Q$5-Forecast!$P$5)+SUM($O$5:O12))</f>
        <v/>
      </c>
    </row>
    <row r="13">
      <c r="A13" s="5">
        <f>IF(Forecast!A13="","",Forecast!A13)</f>
        <v/>
      </c>
      <c r="B13" s="5">
        <f>IF(A13="","",IF(8&gt;=N(Setup!$C$27),1,0))</f>
        <v/>
      </c>
      <c r="C13" s="10">
        <f>IF(A13="","",IF($B13=1,Forecast!B13-Setup!$B$4,Forecast!B13))</f>
        <v/>
      </c>
      <c r="D13" s="10">
        <f>IF(A13="","",IF($B13=1,Forecast!C13-Setup!$B$5,Forecast!C13))</f>
        <v/>
      </c>
      <c r="E13" s="10">
        <f>IF(A13="","",IF($B13=1,Forecast!D13-Setup!$B$6,Forecast!D13))</f>
        <v/>
      </c>
      <c r="F13" s="10">
        <f>IF(A13="","",IF($B13=1,D13-E13,Forecast!E13))</f>
        <v/>
      </c>
      <c r="G13" s="10">
        <f>IF(A13="","",IF($B13=1,Forecast!F13-Setup!$B$7,Forecast!F13))</f>
        <v/>
      </c>
      <c r="H13" s="10">
        <f>IF(A13="","",IF($B13=1,Forecast!G13-N(Setup!$D$27)*Setup!$B$9/12,Forecast!G13))</f>
        <v/>
      </c>
      <c r="I13" s="10">
        <f>IF(A13="","",IF($B13=1,F13-G13-H13,Forecast!H13))</f>
        <v/>
      </c>
      <c r="J13" s="10">
        <f>IF(A13="","",IF($B13=1,MAX(0,I13)*Setup!$B$10,Forecast!I13))</f>
        <v/>
      </c>
      <c r="K13" s="10">
        <f>IF(A13="","",IF($B13=1,I13-J13,Forecast!J13))</f>
        <v/>
      </c>
      <c r="L13" s="10">
        <f>IF(A13="","",IF($B13=1,K13+G13+Forecast!K13,Forecast!L13))</f>
        <v/>
      </c>
      <c r="M13" s="10">
        <f>IF(A13="","",IF($B13=1,Forecast!M13-Setup!$B$8,Forecast!M13))</f>
        <v/>
      </c>
      <c r="N13" s="10">
        <f>IF(A13="","",IF($B13=1,L13-M13,Forecast!O13))</f>
        <v/>
      </c>
      <c r="O13" s="10">
        <f>IF(A13="","",IF($B13=1,N13-Forecast!N13,Forecast!P13))</f>
        <v/>
      </c>
      <c r="P13" s="10">
        <f>IF(A13="","",(Forecast!$Q$5-Forecast!$P$5)+SUM($O$5:O13))</f>
        <v/>
      </c>
    </row>
    <row r="14">
      <c r="A14" s="5">
        <f>IF(Forecast!A14="","",Forecast!A14)</f>
        <v/>
      </c>
      <c r="B14" s="5">
        <f>IF(A14="","",IF(9&gt;=N(Setup!$C$27),1,0))</f>
        <v/>
      </c>
      <c r="C14" s="10">
        <f>IF(A14="","",IF($B14=1,Forecast!B14-Setup!$B$4,Forecast!B14))</f>
        <v/>
      </c>
      <c r="D14" s="10">
        <f>IF(A14="","",IF($B14=1,Forecast!C14-Setup!$B$5,Forecast!C14))</f>
        <v/>
      </c>
      <c r="E14" s="10">
        <f>IF(A14="","",IF($B14=1,Forecast!D14-Setup!$B$6,Forecast!D14))</f>
        <v/>
      </c>
      <c r="F14" s="10">
        <f>IF(A14="","",IF($B14=1,D14-E14,Forecast!E14))</f>
        <v/>
      </c>
      <c r="G14" s="10">
        <f>IF(A14="","",IF($B14=1,Forecast!F14-Setup!$B$7,Forecast!F14))</f>
        <v/>
      </c>
      <c r="H14" s="10">
        <f>IF(A14="","",IF($B14=1,Forecast!G14-N(Setup!$D$27)*Setup!$B$9/12,Forecast!G14))</f>
        <v/>
      </c>
      <c r="I14" s="10">
        <f>IF(A14="","",IF($B14=1,F14-G14-H14,Forecast!H14))</f>
        <v/>
      </c>
      <c r="J14" s="10">
        <f>IF(A14="","",IF($B14=1,MAX(0,I14)*Setup!$B$10,Forecast!I14))</f>
        <v/>
      </c>
      <c r="K14" s="10">
        <f>IF(A14="","",IF($B14=1,I14-J14,Forecast!J14))</f>
        <v/>
      </c>
      <c r="L14" s="10">
        <f>IF(A14="","",IF($B14=1,K14+G14+Forecast!K14,Forecast!L14))</f>
        <v/>
      </c>
      <c r="M14" s="10">
        <f>IF(A14="","",IF($B14=1,Forecast!M14-Setup!$B$8,Forecast!M14))</f>
        <v/>
      </c>
      <c r="N14" s="10">
        <f>IF(A14="","",IF($B14=1,L14-M14,Forecast!O14))</f>
        <v/>
      </c>
      <c r="O14" s="10">
        <f>IF(A14="","",IF($B14=1,N14-Forecast!N14,Forecast!P14))</f>
        <v/>
      </c>
      <c r="P14" s="10">
        <f>IF(A14="","",(Forecast!$Q$5-Forecast!$P$5)+SUM($O$5:O14))</f>
        <v/>
      </c>
    </row>
    <row r="15">
      <c r="A15" s="5">
        <f>IF(Forecast!A15="","",Forecast!A15)</f>
        <v/>
      </c>
      <c r="B15" s="5">
        <f>IF(A15="","",IF(10&gt;=N(Setup!$C$27),1,0))</f>
        <v/>
      </c>
      <c r="C15" s="10">
        <f>IF(A15="","",IF($B15=1,Forecast!B15-Setup!$B$4,Forecast!B15))</f>
        <v/>
      </c>
      <c r="D15" s="10">
        <f>IF(A15="","",IF($B15=1,Forecast!C15-Setup!$B$5,Forecast!C15))</f>
        <v/>
      </c>
      <c r="E15" s="10">
        <f>IF(A15="","",IF($B15=1,Forecast!D15-Setup!$B$6,Forecast!D15))</f>
        <v/>
      </c>
      <c r="F15" s="10">
        <f>IF(A15="","",IF($B15=1,D15-E15,Forecast!E15))</f>
        <v/>
      </c>
      <c r="G15" s="10">
        <f>IF(A15="","",IF($B15=1,Forecast!F15-Setup!$B$7,Forecast!F15))</f>
        <v/>
      </c>
      <c r="H15" s="10">
        <f>IF(A15="","",IF($B15=1,Forecast!G15-N(Setup!$D$27)*Setup!$B$9/12,Forecast!G15))</f>
        <v/>
      </c>
      <c r="I15" s="10">
        <f>IF(A15="","",IF($B15=1,F15-G15-H15,Forecast!H15))</f>
        <v/>
      </c>
      <c r="J15" s="10">
        <f>IF(A15="","",IF($B15=1,MAX(0,I15)*Setup!$B$10,Forecast!I15))</f>
        <v/>
      </c>
      <c r="K15" s="10">
        <f>IF(A15="","",IF($B15=1,I15-J15,Forecast!J15))</f>
        <v/>
      </c>
      <c r="L15" s="10">
        <f>IF(A15="","",IF($B15=1,K15+G15+Forecast!K15,Forecast!L15))</f>
        <v/>
      </c>
      <c r="M15" s="10">
        <f>IF(A15="","",IF($B15=1,Forecast!M15-Setup!$B$8,Forecast!M15))</f>
        <v/>
      </c>
      <c r="N15" s="10">
        <f>IF(A15="","",IF($B15=1,L15-M15,Forecast!O15))</f>
        <v/>
      </c>
      <c r="O15" s="10">
        <f>IF(A15="","",IF($B15=1,N15-Forecast!N15,Forecast!P15))</f>
        <v/>
      </c>
      <c r="P15" s="10">
        <f>IF(A15="","",(Forecast!$Q$5-Forecast!$P$5)+SUM($O$5:O15))</f>
        <v/>
      </c>
    </row>
    <row r="16">
      <c r="A16" s="5">
        <f>IF(Forecast!A16="","",Forecast!A16)</f>
        <v/>
      </c>
      <c r="B16" s="5">
        <f>IF(A16="","",IF(11&gt;=N(Setup!$C$27),1,0))</f>
        <v/>
      </c>
      <c r="C16" s="10">
        <f>IF(A16="","",IF($B16=1,Forecast!B16-Setup!$B$4,Forecast!B16))</f>
        <v/>
      </c>
      <c r="D16" s="10">
        <f>IF(A16="","",IF($B16=1,Forecast!C16-Setup!$B$5,Forecast!C16))</f>
        <v/>
      </c>
      <c r="E16" s="10">
        <f>IF(A16="","",IF($B16=1,Forecast!D16-Setup!$B$6,Forecast!D16))</f>
        <v/>
      </c>
      <c r="F16" s="10">
        <f>IF(A16="","",IF($B16=1,D16-E16,Forecast!E16))</f>
        <v/>
      </c>
      <c r="G16" s="10">
        <f>IF(A16="","",IF($B16=1,Forecast!F16-Setup!$B$7,Forecast!F16))</f>
        <v/>
      </c>
      <c r="H16" s="10">
        <f>IF(A16="","",IF($B16=1,Forecast!G16-N(Setup!$D$27)*Setup!$B$9/12,Forecast!G16))</f>
        <v/>
      </c>
      <c r="I16" s="10">
        <f>IF(A16="","",IF($B16=1,F16-G16-H16,Forecast!H16))</f>
        <v/>
      </c>
      <c r="J16" s="10">
        <f>IF(A16="","",IF($B16=1,MAX(0,I16)*Setup!$B$10,Forecast!I16))</f>
        <v/>
      </c>
      <c r="K16" s="10">
        <f>IF(A16="","",IF($B16=1,I16-J16,Forecast!J16))</f>
        <v/>
      </c>
      <c r="L16" s="10">
        <f>IF(A16="","",IF($B16=1,K16+G16+Forecast!K16,Forecast!L16))</f>
        <v/>
      </c>
      <c r="M16" s="10">
        <f>IF(A16="","",IF($B16=1,Forecast!M16-Setup!$B$8,Forecast!M16))</f>
        <v/>
      </c>
      <c r="N16" s="10">
        <f>IF(A16="","",IF($B16=1,L16-M16,Forecast!O16))</f>
        <v/>
      </c>
      <c r="O16" s="10">
        <f>IF(A16="","",IF($B16=1,N16-Forecast!N16,Forecast!P16))</f>
        <v/>
      </c>
      <c r="P16" s="10">
        <f>IF(A16="","",(Forecast!$Q$5-Forecast!$P$5)+SUM($O$5:O16))</f>
        <v/>
      </c>
    </row>
    <row r="17">
      <c r="A17" s="5">
        <f>IF(Forecast!A17="","",Forecast!A17)</f>
        <v/>
      </c>
      <c r="B17" s="5">
        <f>IF(A17="","",IF(12&gt;=N(Setup!$C$27),1,0))</f>
        <v/>
      </c>
      <c r="C17" s="10">
        <f>IF(A17="","",IF($B17=1,Forecast!B17-Setup!$B$4,Forecast!B17))</f>
        <v/>
      </c>
      <c r="D17" s="10">
        <f>IF(A17="","",IF($B17=1,Forecast!C17-Setup!$B$5,Forecast!C17))</f>
        <v/>
      </c>
      <c r="E17" s="10">
        <f>IF(A17="","",IF($B17=1,Forecast!D17-Setup!$B$6,Forecast!D17))</f>
        <v/>
      </c>
      <c r="F17" s="10">
        <f>IF(A17="","",IF($B17=1,D17-E17,Forecast!E17))</f>
        <v/>
      </c>
      <c r="G17" s="10">
        <f>IF(A17="","",IF($B17=1,Forecast!F17-Setup!$B$7,Forecast!F17))</f>
        <v/>
      </c>
      <c r="H17" s="10">
        <f>IF(A17="","",IF($B17=1,Forecast!G17-N(Setup!$D$27)*Setup!$B$9/12,Forecast!G17))</f>
        <v/>
      </c>
      <c r="I17" s="10">
        <f>IF(A17="","",IF($B17=1,F17-G17-H17,Forecast!H17))</f>
        <v/>
      </c>
      <c r="J17" s="10">
        <f>IF(A17="","",IF($B17=1,MAX(0,I17)*Setup!$B$10,Forecast!I17))</f>
        <v/>
      </c>
      <c r="K17" s="10">
        <f>IF(A17="","",IF($B17=1,I17-J17,Forecast!J17))</f>
        <v/>
      </c>
      <c r="L17" s="10">
        <f>IF(A17="","",IF($B17=1,K17+G17+Forecast!K17,Forecast!L17))</f>
        <v/>
      </c>
      <c r="M17" s="10">
        <f>IF(A17="","",IF($B17=1,Forecast!M17-Setup!$B$8,Forecast!M17))</f>
        <v/>
      </c>
      <c r="N17" s="10">
        <f>IF(A17="","",IF($B17=1,L17-M17,Forecast!O17))</f>
        <v/>
      </c>
      <c r="O17" s="10">
        <f>IF(A17="","",IF($B17=1,N17-Forecast!N17,Forecast!P17))</f>
        <v/>
      </c>
      <c r="P17" s="10">
        <f>IF(A17="","",(Forecast!$Q$5-Forecast!$P$5)+SUM($O$5:O17))</f>
        <v/>
      </c>
    </row>
    <row r="18">
      <c r="A18" s="5">
        <f>IF(Forecast!A18="","",Forecast!A18)</f>
        <v/>
      </c>
      <c r="B18" s="5">
        <f>IF(A18="","",IF(13&gt;=N(Setup!$C$27),1,0))</f>
        <v/>
      </c>
      <c r="C18" s="10">
        <f>IF(A18="","",IF($B18=1,Forecast!B18-Setup!$B$4,Forecast!B18))</f>
        <v/>
      </c>
      <c r="D18" s="10">
        <f>IF(A18="","",IF($B18=1,Forecast!C18-Setup!$B$5,Forecast!C18))</f>
        <v/>
      </c>
      <c r="E18" s="10">
        <f>IF(A18="","",IF($B18=1,Forecast!D18-Setup!$B$6,Forecast!D18))</f>
        <v/>
      </c>
      <c r="F18" s="10">
        <f>IF(A18="","",IF($B18=1,D18-E18,Forecast!E18))</f>
        <v/>
      </c>
      <c r="G18" s="10">
        <f>IF(A18="","",IF($B18=1,Forecast!F18-Setup!$B$7,Forecast!F18))</f>
        <v/>
      </c>
      <c r="H18" s="10">
        <f>IF(A18="","",IF($B18=1,Forecast!G18-N(Setup!$D$27)*Setup!$B$9/12,Forecast!G18))</f>
        <v/>
      </c>
      <c r="I18" s="10">
        <f>IF(A18="","",IF($B18=1,F18-G18-H18,Forecast!H18))</f>
        <v/>
      </c>
      <c r="J18" s="10">
        <f>IF(A18="","",IF($B18=1,MAX(0,I18)*Setup!$B$10,Forecast!I18))</f>
        <v/>
      </c>
      <c r="K18" s="10">
        <f>IF(A18="","",IF($B18=1,I18-J18,Forecast!J18))</f>
        <v/>
      </c>
      <c r="L18" s="10">
        <f>IF(A18="","",IF($B18=1,K18+G18+Forecast!K18,Forecast!L18))</f>
        <v/>
      </c>
      <c r="M18" s="10">
        <f>IF(A18="","",IF($B18=1,Forecast!M18-Setup!$B$8,Forecast!M18))</f>
        <v/>
      </c>
      <c r="N18" s="10">
        <f>IF(A18="","",IF($B18=1,L18-M18,Forecast!O18))</f>
        <v/>
      </c>
      <c r="O18" s="10">
        <f>IF(A18="","",IF($B18=1,N18-Forecast!N18,Forecast!P18))</f>
        <v/>
      </c>
      <c r="P18" s="10">
        <f>IF(A18="","",(Forecast!$Q$5-Forecast!$P$5)+SUM($O$5:O18))</f>
        <v/>
      </c>
    </row>
    <row r="19">
      <c r="A19" s="5">
        <f>IF(Forecast!A19="","",Forecast!A19)</f>
        <v/>
      </c>
      <c r="B19" s="5">
        <f>IF(A19="","",IF(14&gt;=N(Setup!$C$27),1,0))</f>
        <v/>
      </c>
      <c r="C19" s="10">
        <f>IF(A19="","",IF($B19=1,Forecast!B19-Setup!$B$4,Forecast!B19))</f>
        <v/>
      </c>
      <c r="D19" s="10">
        <f>IF(A19="","",IF($B19=1,Forecast!C19-Setup!$B$5,Forecast!C19))</f>
        <v/>
      </c>
      <c r="E19" s="10">
        <f>IF(A19="","",IF($B19=1,Forecast!D19-Setup!$B$6,Forecast!D19))</f>
        <v/>
      </c>
      <c r="F19" s="10">
        <f>IF(A19="","",IF($B19=1,D19-E19,Forecast!E19))</f>
        <v/>
      </c>
      <c r="G19" s="10">
        <f>IF(A19="","",IF($B19=1,Forecast!F19-Setup!$B$7,Forecast!F19))</f>
        <v/>
      </c>
      <c r="H19" s="10">
        <f>IF(A19="","",IF($B19=1,Forecast!G19-N(Setup!$D$27)*Setup!$B$9/12,Forecast!G19))</f>
        <v/>
      </c>
      <c r="I19" s="10">
        <f>IF(A19="","",IF($B19=1,F19-G19-H19,Forecast!H19))</f>
        <v/>
      </c>
      <c r="J19" s="10">
        <f>IF(A19="","",IF($B19=1,MAX(0,I19)*Setup!$B$10,Forecast!I19))</f>
        <v/>
      </c>
      <c r="K19" s="10">
        <f>IF(A19="","",IF($B19=1,I19-J19,Forecast!J19))</f>
        <v/>
      </c>
      <c r="L19" s="10">
        <f>IF(A19="","",IF($B19=1,K19+G19+Forecast!K19,Forecast!L19))</f>
        <v/>
      </c>
      <c r="M19" s="10">
        <f>IF(A19="","",IF($B19=1,Forecast!M19-Setup!$B$8,Forecast!M19))</f>
        <v/>
      </c>
      <c r="N19" s="10">
        <f>IF(A19="","",IF($B19=1,L19-M19,Forecast!O19))</f>
        <v/>
      </c>
      <c r="O19" s="10">
        <f>IF(A19="","",IF($B19=1,N19-Forecast!N19,Forecast!P19))</f>
        <v/>
      </c>
      <c r="P19" s="10">
        <f>IF(A19="","",(Forecast!$Q$5-Forecast!$P$5)+SUM($O$5:O19))</f>
        <v/>
      </c>
    </row>
    <row r="20">
      <c r="A20" s="5">
        <f>IF(Forecast!A20="","",Forecast!A20)</f>
        <v/>
      </c>
      <c r="B20" s="5">
        <f>IF(A20="","",IF(15&gt;=N(Setup!$C$27),1,0))</f>
        <v/>
      </c>
      <c r="C20" s="10">
        <f>IF(A20="","",IF($B20=1,Forecast!B20-Setup!$B$4,Forecast!B20))</f>
        <v/>
      </c>
      <c r="D20" s="10">
        <f>IF(A20="","",IF($B20=1,Forecast!C20-Setup!$B$5,Forecast!C20))</f>
        <v/>
      </c>
      <c r="E20" s="10">
        <f>IF(A20="","",IF($B20=1,Forecast!D20-Setup!$B$6,Forecast!D20))</f>
        <v/>
      </c>
      <c r="F20" s="10">
        <f>IF(A20="","",IF($B20=1,D20-E20,Forecast!E20))</f>
        <v/>
      </c>
      <c r="G20" s="10">
        <f>IF(A20="","",IF($B20=1,Forecast!F20-Setup!$B$7,Forecast!F20))</f>
        <v/>
      </c>
      <c r="H20" s="10">
        <f>IF(A20="","",IF($B20=1,Forecast!G20-N(Setup!$D$27)*Setup!$B$9/12,Forecast!G20))</f>
        <v/>
      </c>
      <c r="I20" s="10">
        <f>IF(A20="","",IF($B20=1,F20-G20-H20,Forecast!H20))</f>
        <v/>
      </c>
      <c r="J20" s="10">
        <f>IF(A20="","",IF($B20=1,MAX(0,I20)*Setup!$B$10,Forecast!I20))</f>
        <v/>
      </c>
      <c r="K20" s="10">
        <f>IF(A20="","",IF($B20=1,I20-J20,Forecast!J20))</f>
        <v/>
      </c>
      <c r="L20" s="10">
        <f>IF(A20="","",IF($B20=1,K20+G20+Forecast!K20,Forecast!L20))</f>
        <v/>
      </c>
      <c r="M20" s="10">
        <f>IF(A20="","",IF($B20=1,Forecast!M20-Setup!$B$8,Forecast!M20))</f>
        <v/>
      </c>
      <c r="N20" s="10">
        <f>IF(A20="","",IF($B20=1,L20-M20,Forecast!O20))</f>
        <v/>
      </c>
      <c r="O20" s="10">
        <f>IF(A20="","",IF($B20=1,N20-Forecast!N20,Forecast!P20))</f>
        <v/>
      </c>
      <c r="P20" s="10">
        <f>IF(A20="","",(Forecast!$Q$5-Forecast!$P$5)+SUM($O$5:O20))</f>
        <v/>
      </c>
    </row>
    <row r="21">
      <c r="A21" s="5">
        <f>IF(Forecast!A21="","",Forecast!A21)</f>
        <v/>
      </c>
      <c r="B21" s="5">
        <f>IF(A21="","",IF(16&gt;=N(Setup!$C$27),1,0))</f>
        <v/>
      </c>
      <c r="C21" s="10">
        <f>IF(A21="","",IF($B21=1,Forecast!B21-Setup!$B$4,Forecast!B21))</f>
        <v/>
      </c>
      <c r="D21" s="10">
        <f>IF(A21="","",IF($B21=1,Forecast!C21-Setup!$B$5,Forecast!C21))</f>
        <v/>
      </c>
      <c r="E21" s="10">
        <f>IF(A21="","",IF($B21=1,Forecast!D21-Setup!$B$6,Forecast!D21))</f>
        <v/>
      </c>
      <c r="F21" s="10">
        <f>IF(A21="","",IF($B21=1,D21-E21,Forecast!E21))</f>
        <v/>
      </c>
      <c r="G21" s="10">
        <f>IF(A21="","",IF($B21=1,Forecast!F21-Setup!$B$7,Forecast!F21))</f>
        <v/>
      </c>
      <c r="H21" s="10">
        <f>IF(A21="","",IF($B21=1,Forecast!G21-N(Setup!$D$27)*Setup!$B$9/12,Forecast!G21))</f>
        <v/>
      </c>
      <c r="I21" s="10">
        <f>IF(A21="","",IF($B21=1,F21-G21-H21,Forecast!H21))</f>
        <v/>
      </c>
      <c r="J21" s="10">
        <f>IF(A21="","",IF($B21=1,MAX(0,I21)*Setup!$B$10,Forecast!I21))</f>
        <v/>
      </c>
      <c r="K21" s="10">
        <f>IF(A21="","",IF($B21=1,I21-J21,Forecast!J21))</f>
        <v/>
      </c>
      <c r="L21" s="10">
        <f>IF(A21="","",IF($B21=1,K21+G21+Forecast!K21,Forecast!L21))</f>
        <v/>
      </c>
      <c r="M21" s="10">
        <f>IF(A21="","",IF($B21=1,Forecast!M21-Setup!$B$8,Forecast!M21))</f>
        <v/>
      </c>
      <c r="N21" s="10">
        <f>IF(A21="","",IF($B21=1,L21-M21,Forecast!O21))</f>
        <v/>
      </c>
      <c r="O21" s="10">
        <f>IF(A21="","",IF($B21=1,N21-Forecast!N21,Forecast!P21))</f>
        <v/>
      </c>
      <c r="P21" s="10">
        <f>IF(A21="","",(Forecast!$Q$5-Forecast!$P$5)+SUM($O$5:O21))</f>
        <v/>
      </c>
    </row>
    <row r="22">
      <c r="A22" s="5">
        <f>IF(Forecast!A22="","",Forecast!A22)</f>
        <v/>
      </c>
      <c r="B22" s="5">
        <f>IF(A22="","",IF(17&gt;=N(Setup!$C$27),1,0))</f>
        <v/>
      </c>
      <c r="C22" s="10">
        <f>IF(A22="","",IF($B22=1,Forecast!B22-Setup!$B$4,Forecast!B22))</f>
        <v/>
      </c>
      <c r="D22" s="10">
        <f>IF(A22="","",IF($B22=1,Forecast!C22-Setup!$B$5,Forecast!C22))</f>
        <v/>
      </c>
      <c r="E22" s="10">
        <f>IF(A22="","",IF($B22=1,Forecast!D22-Setup!$B$6,Forecast!D22))</f>
        <v/>
      </c>
      <c r="F22" s="10">
        <f>IF(A22="","",IF($B22=1,D22-E22,Forecast!E22))</f>
        <v/>
      </c>
      <c r="G22" s="10">
        <f>IF(A22="","",IF($B22=1,Forecast!F22-Setup!$B$7,Forecast!F22))</f>
        <v/>
      </c>
      <c r="H22" s="10">
        <f>IF(A22="","",IF($B22=1,Forecast!G22-N(Setup!$D$27)*Setup!$B$9/12,Forecast!G22))</f>
        <v/>
      </c>
      <c r="I22" s="10">
        <f>IF(A22="","",IF($B22=1,F22-G22-H22,Forecast!H22))</f>
        <v/>
      </c>
      <c r="J22" s="10">
        <f>IF(A22="","",IF($B22=1,MAX(0,I22)*Setup!$B$10,Forecast!I22))</f>
        <v/>
      </c>
      <c r="K22" s="10">
        <f>IF(A22="","",IF($B22=1,I22-J22,Forecast!J22))</f>
        <v/>
      </c>
      <c r="L22" s="10">
        <f>IF(A22="","",IF($B22=1,K22+G22+Forecast!K22,Forecast!L22))</f>
        <v/>
      </c>
      <c r="M22" s="10">
        <f>IF(A22="","",IF($B22=1,Forecast!M22-Setup!$B$8,Forecast!M22))</f>
        <v/>
      </c>
      <c r="N22" s="10">
        <f>IF(A22="","",IF($B22=1,L22-M22,Forecast!O22))</f>
        <v/>
      </c>
      <c r="O22" s="10">
        <f>IF(A22="","",IF($B22=1,N22-Forecast!N22,Forecast!P22))</f>
        <v/>
      </c>
      <c r="P22" s="10">
        <f>IF(A22="","",(Forecast!$Q$5-Forecast!$P$5)+SUM($O$5:O22))</f>
        <v/>
      </c>
    </row>
    <row r="23">
      <c r="A23" s="5">
        <f>IF(Forecast!A23="","",Forecast!A23)</f>
        <v/>
      </c>
      <c r="B23" s="5">
        <f>IF(A23="","",IF(18&gt;=N(Setup!$C$27),1,0))</f>
        <v/>
      </c>
      <c r="C23" s="10">
        <f>IF(A23="","",IF($B23=1,Forecast!B23-Setup!$B$4,Forecast!B23))</f>
        <v/>
      </c>
      <c r="D23" s="10">
        <f>IF(A23="","",IF($B23=1,Forecast!C23-Setup!$B$5,Forecast!C23))</f>
        <v/>
      </c>
      <c r="E23" s="10">
        <f>IF(A23="","",IF($B23=1,Forecast!D23-Setup!$B$6,Forecast!D23))</f>
        <v/>
      </c>
      <c r="F23" s="10">
        <f>IF(A23="","",IF($B23=1,D23-E23,Forecast!E23))</f>
        <v/>
      </c>
      <c r="G23" s="10">
        <f>IF(A23="","",IF($B23=1,Forecast!F23-Setup!$B$7,Forecast!F23))</f>
        <v/>
      </c>
      <c r="H23" s="10">
        <f>IF(A23="","",IF($B23=1,Forecast!G23-N(Setup!$D$27)*Setup!$B$9/12,Forecast!G23))</f>
        <v/>
      </c>
      <c r="I23" s="10">
        <f>IF(A23="","",IF($B23=1,F23-G23-H23,Forecast!H23))</f>
        <v/>
      </c>
      <c r="J23" s="10">
        <f>IF(A23="","",IF($B23=1,MAX(0,I23)*Setup!$B$10,Forecast!I23))</f>
        <v/>
      </c>
      <c r="K23" s="10">
        <f>IF(A23="","",IF($B23=1,I23-J23,Forecast!J23))</f>
        <v/>
      </c>
      <c r="L23" s="10">
        <f>IF(A23="","",IF($B23=1,K23+G23+Forecast!K23,Forecast!L23))</f>
        <v/>
      </c>
      <c r="M23" s="10">
        <f>IF(A23="","",IF($B23=1,Forecast!M23-Setup!$B$8,Forecast!M23))</f>
        <v/>
      </c>
      <c r="N23" s="10">
        <f>IF(A23="","",IF($B23=1,L23-M23,Forecast!O23))</f>
        <v/>
      </c>
      <c r="O23" s="10">
        <f>IF(A23="","",IF($B23=1,N23-Forecast!N23,Forecast!P23))</f>
        <v/>
      </c>
      <c r="P23" s="10">
        <f>IF(A23="","",(Forecast!$Q$5-Forecast!$P$5)+SUM($O$5:O23))</f>
        <v/>
      </c>
    </row>
    <row r="24">
      <c r="A24" s="5">
        <f>IF(Forecast!A24="","",Forecast!A24)</f>
        <v/>
      </c>
      <c r="B24" s="5">
        <f>IF(A24="","",IF(19&gt;=N(Setup!$C$27),1,0))</f>
        <v/>
      </c>
      <c r="C24" s="10">
        <f>IF(A24="","",IF($B24=1,Forecast!B24-Setup!$B$4,Forecast!B24))</f>
        <v/>
      </c>
      <c r="D24" s="10">
        <f>IF(A24="","",IF($B24=1,Forecast!C24-Setup!$B$5,Forecast!C24))</f>
        <v/>
      </c>
      <c r="E24" s="10">
        <f>IF(A24="","",IF($B24=1,Forecast!D24-Setup!$B$6,Forecast!D24))</f>
        <v/>
      </c>
      <c r="F24" s="10">
        <f>IF(A24="","",IF($B24=1,D24-E24,Forecast!E24))</f>
        <v/>
      </c>
      <c r="G24" s="10">
        <f>IF(A24="","",IF($B24=1,Forecast!F24-Setup!$B$7,Forecast!F24))</f>
        <v/>
      </c>
      <c r="H24" s="10">
        <f>IF(A24="","",IF($B24=1,Forecast!G24-N(Setup!$D$27)*Setup!$B$9/12,Forecast!G24))</f>
        <v/>
      </c>
      <c r="I24" s="10">
        <f>IF(A24="","",IF($B24=1,F24-G24-H24,Forecast!H24))</f>
        <v/>
      </c>
      <c r="J24" s="10">
        <f>IF(A24="","",IF($B24=1,MAX(0,I24)*Setup!$B$10,Forecast!I24))</f>
        <v/>
      </c>
      <c r="K24" s="10">
        <f>IF(A24="","",IF($B24=1,I24-J24,Forecast!J24))</f>
        <v/>
      </c>
      <c r="L24" s="10">
        <f>IF(A24="","",IF($B24=1,K24+G24+Forecast!K24,Forecast!L24))</f>
        <v/>
      </c>
      <c r="M24" s="10">
        <f>IF(A24="","",IF($B24=1,Forecast!M24-Setup!$B$8,Forecast!M24))</f>
        <v/>
      </c>
      <c r="N24" s="10">
        <f>IF(A24="","",IF($B24=1,L24-M24,Forecast!O24))</f>
        <v/>
      </c>
      <c r="O24" s="10">
        <f>IF(A24="","",IF($B24=1,N24-Forecast!N24,Forecast!P24))</f>
        <v/>
      </c>
      <c r="P24" s="10">
        <f>IF(A24="","",(Forecast!$Q$5-Forecast!$P$5)+SUM($O$5:O24))</f>
        <v/>
      </c>
    </row>
    <row r="25">
      <c r="A25" s="5">
        <f>IF(Forecast!A25="","",Forecast!A25)</f>
        <v/>
      </c>
      <c r="B25" s="5">
        <f>IF(A25="","",IF(20&gt;=N(Setup!$C$27),1,0))</f>
        <v/>
      </c>
      <c r="C25" s="10">
        <f>IF(A25="","",IF($B25=1,Forecast!B25-Setup!$B$4,Forecast!B25))</f>
        <v/>
      </c>
      <c r="D25" s="10">
        <f>IF(A25="","",IF($B25=1,Forecast!C25-Setup!$B$5,Forecast!C25))</f>
        <v/>
      </c>
      <c r="E25" s="10">
        <f>IF(A25="","",IF($B25=1,Forecast!D25-Setup!$B$6,Forecast!D25))</f>
        <v/>
      </c>
      <c r="F25" s="10">
        <f>IF(A25="","",IF($B25=1,D25-E25,Forecast!E25))</f>
        <v/>
      </c>
      <c r="G25" s="10">
        <f>IF(A25="","",IF($B25=1,Forecast!F25-Setup!$B$7,Forecast!F25))</f>
        <v/>
      </c>
      <c r="H25" s="10">
        <f>IF(A25="","",IF($B25=1,Forecast!G25-N(Setup!$D$27)*Setup!$B$9/12,Forecast!G25))</f>
        <v/>
      </c>
      <c r="I25" s="10">
        <f>IF(A25="","",IF($B25=1,F25-G25-H25,Forecast!H25))</f>
        <v/>
      </c>
      <c r="J25" s="10">
        <f>IF(A25="","",IF($B25=1,MAX(0,I25)*Setup!$B$10,Forecast!I25))</f>
        <v/>
      </c>
      <c r="K25" s="10">
        <f>IF(A25="","",IF($B25=1,I25-J25,Forecast!J25))</f>
        <v/>
      </c>
      <c r="L25" s="10">
        <f>IF(A25="","",IF($B25=1,K25+G25+Forecast!K25,Forecast!L25))</f>
        <v/>
      </c>
      <c r="M25" s="10">
        <f>IF(A25="","",IF($B25=1,Forecast!M25-Setup!$B$8,Forecast!M25))</f>
        <v/>
      </c>
      <c r="N25" s="10">
        <f>IF(A25="","",IF($B25=1,L25-M25,Forecast!O25))</f>
        <v/>
      </c>
      <c r="O25" s="10">
        <f>IF(A25="","",IF($B25=1,N25-Forecast!N25,Forecast!P25))</f>
        <v/>
      </c>
      <c r="P25" s="10">
        <f>IF(A25="","",(Forecast!$Q$5-Forecast!$P$5)+SUM($O$5:O25))</f>
        <v/>
      </c>
    </row>
    <row r="26">
      <c r="A26" s="5">
        <f>IF(Forecast!A26="","",Forecast!A26)</f>
        <v/>
      </c>
      <c r="B26" s="5">
        <f>IF(A26="","",IF(21&gt;=N(Setup!$C$27),1,0))</f>
        <v/>
      </c>
      <c r="C26" s="10">
        <f>IF(A26="","",IF($B26=1,Forecast!B26-Setup!$B$4,Forecast!B26))</f>
        <v/>
      </c>
      <c r="D26" s="10">
        <f>IF(A26="","",IF($B26=1,Forecast!C26-Setup!$B$5,Forecast!C26))</f>
        <v/>
      </c>
      <c r="E26" s="10">
        <f>IF(A26="","",IF($B26=1,Forecast!D26-Setup!$B$6,Forecast!D26))</f>
        <v/>
      </c>
      <c r="F26" s="10">
        <f>IF(A26="","",IF($B26=1,D26-E26,Forecast!E26))</f>
        <v/>
      </c>
      <c r="G26" s="10">
        <f>IF(A26="","",IF($B26=1,Forecast!F26-Setup!$B$7,Forecast!F26))</f>
        <v/>
      </c>
      <c r="H26" s="10">
        <f>IF(A26="","",IF($B26=1,Forecast!G26-N(Setup!$D$27)*Setup!$B$9/12,Forecast!G26))</f>
        <v/>
      </c>
      <c r="I26" s="10">
        <f>IF(A26="","",IF($B26=1,F26-G26-H26,Forecast!H26))</f>
        <v/>
      </c>
      <c r="J26" s="10">
        <f>IF(A26="","",IF($B26=1,MAX(0,I26)*Setup!$B$10,Forecast!I26))</f>
        <v/>
      </c>
      <c r="K26" s="10">
        <f>IF(A26="","",IF($B26=1,I26-J26,Forecast!J26))</f>
        <v/>
      </c>
      <c r="L26" s="10">
        <f>IF(A26="","",IF($B26=1,K26+G26+Forecast!K26,Forecast!L26))</f>
        <v/>
      </c>
      <c r="M26" s="10">
        <f>IF(A26="","",IF($B26=1,Forecast!M26-Setup!$B$8,Forecast!M26))</f>
        <v/>
      </c>
      <c r="N26" s="10">
        <f>IF(A26="","",IF($B26=1,L26-M26,Forecast!O26))</f>
        <v/>
      </c>
      <c r="O26" s="10">
        <f>IF(A26="","",IF($B26=1,N26-Forecast!N26,Forecast!P26))</f>
        <v/>
      </c>
      <c r="P26" s="10">
        <f>IF(A26="","",(Forecast!$Q$5-Forecast!$P$5)+SUM($O$5:O26))</f>
        <v/>
      </c>
    </row>
    <row r="27">
      <c r="A27" s="5">
        <f>IF(Forecast!A27="","",Forecast!A27)</f>
        <v/>
      </c>
      <c r="B27" s="5">
        <f>IF(A27="","",IF(22&gt;=N(Setup!$C$27),1,0))</f>
        <v/>
      </c>
      <c r="C27" s="10">
        <f>IF(A27="","",IF($B27=1,Forecast!B27-Setup!$B$4,Forecast!B27))</f>
        <v/>
      </c>
      <c r="D27" s="10">
        <f>IF(A27="","",IF($B27=1,Forecast!C27-Setup!$B$5,Forecast!C27))</f>
        <v/>
      </c>
      <c r="E27" s="10">
        <f>IF(A27="","",IF($B27=1,Forecast!D27-Setup!$B$6,Forecast!D27))</f>
        <v/>
      </c>
      <c r="F27" s="10">
        <f>IF(A27="","",IF($B27=1,D27-E27,Forecast!E27))</f>
        <v/>
      </c>
      <c r="G27" s="10">
        <f>IF(A27="","",IF($B27=1,Forecast!F27-Setup!$B$7,Forecast!F27))</f>
        <v/>
      </c>
      <c r="H27" s="10">
        <f>IF(A27="","",IF($B27=1,Forecast!G27-N(Setup!$D$27)*Setup!$B$9/12,Forecast!G27))</f>
        <v/>
      </c>
      <c r="I27" s="10">
        <f>IF(A27="","",IF($B27=1,F27-G27-H27,Forecast!H27))</f>
        <v/>
      </c>
      <c r="J27" s="10">
        <f>IF(A27="","",IF($B27=1,MAX(0,I27)*Setup!$B$10,Forecast!I27))</f>
        <v/>
      </c>
      <c r="K27" s="10">
        <f>IF(A27="","",IF($B27=1,I27-J27,Forecast!J27))</f>
        <v/>
      </c>
      <c r="L27" s="10">
        <f>IF(A27="","",IF($B27=1,K27+G27+Forecast!K27,Forecast!L27))</f>
        <v/>
      </c>
      <c r="M27" s="10">
        <f>IF(A27="","",IF($B27=1,Forecast!M27-Setup!$B$8,Forecast!M27))</f>
        <v/>
      </c>
      <c r="N27" s="10">
        <f>IF(A27="","",IF($B27=1,L27-M27,Forecast!O27))</f>
        <v/>
      </c>
      <c r="O27" s="10">
        <f>IF(A27="","",IF($B27=1,N27-Forecast!N27,Forecast!P27))</f>
        <v/>
      </c>
      <c r="P27" s="10">
        <f>IF(A27="","",(Forecast!$Q$5-Forecast!$P$5)+SUM($O$5:O27))</f>
        <v/>
      </c>
    </row>
    <row r="28">
      <c r="A28" s="5">
        <f>IF(Forecast!A28="","",Forecast!A28)</f>
        <v/>
      </c>
      <c r="B28" s="5">
        <f>IF(A28="","",IF(23&gt;=N(Setup!$C$27),1,0))</f>
        <v/>
      </c>
      <c r="C28" s="10">
        <f>IF(A28="","",IF($B28=1,Forecast!B28-Setup!$B$4,Forecast!B28))</f>
        <v/>
      </c>
      <c r="D28" s="10">
        <f>IF(A28="","",IF($B28=1,Forecast!C28-Setup!$B$5,Forecast!C28))</f>
        <v/>
      </c>
      <c r="E28" s="10">
        <f>IF(A28="","",IF($B28=1,Forecast!D28-Setup!$B$6,Forecast!D28))</f>
        <v/>
      </c>
      <c r="F28" s="10">
        <f>IF(A28="","",IF($B28=1,D28-E28,Forecast!E28))</f>
        <v/>
      </c>
      <c r="G28" s="10">
        <f>IF(A28="","",IF($B28=1,Forecast!F28-Setup!$B$7,Forecast!F28))</f>
        <v/>
      </c>
      <c r="H28" s="10">
        <f>IF(A28="","",IF($B28=1,Forecast!G28-N(Setup!$D$27)*Setup!$B$9/12,Forecast!G28))</f>
        <v/>
      </c>
      <c r="I28" s="10">
        <f>IF(A28="","",IF($B28=1,F28-G28-H28,Forecast!H28))</f>
        <v/>
      </c>
      <c r="J28" s="10">
        <f>IF(A28="","",IF($B28=1,MAX(0,I28)*Setup!$B$10,Forecast!I28))</f>
        <v/>
      </c>
      <c r="K28" s="10">
        <f>IF(A28="","",IF($B28=1,I28-J28,Forecast!J28))</f>
        <v/>
      </c>
      <c r="L28" s="10">
        <f>IF(A28="","",IF($B28=1,K28+G28+Forecast!K28,Forecast!L28))</f>
        <v/>
      </c>
      <c r="M28" s="10">
        <f>IF(A28="","",IF($B28=1,Forecast!M28-Setup!$B$8,Forecast!M28))</f>
        <v/>
      </c>
      <c r="N28" s="10">
        <f>IF(A28="","",IF($B28=1,L28-M28,Forecast!O28))</f>
        <v/>
      </c>
      <c r="O28" s="10">
        <f>IF(A28="","",IF($B28=1,N28-Forecast!N28,Forecast!P28))</f>
        <v/>
      </c>
      <c r="P28" s="10">
        <f>IF(A28="","",(Forecast!$Q$5-Forecast!$P$5)+SUM($O$5:O28))</f>
        <v/>
      </c>
    </row>
    <row r="29">
      <c r="A29" s="5">
        <f>IF(Forecast!A29="","",Forecast!A29)</f>
        <v/>
      </c>
      <c r="B29" s="5">
        <f>IF(A29="","",IF(24&gt;=N(Setup!$C$27),1,0))</f>
        <v/>
      </c>
      <c r="C29" s="10">
        <f>IF(A29="","",IF($B29=1,Forecast!B29-Setup!$B$4,Forecast!B29))</f>
        <v/>
      </c>
      <c r="D29" s="10">
        <f>IF(A29="","",IF($B29=1,Forecast!C29-Setup!$B$5,Forecast!C29))</f>
        <v/>
      </c>
      <c r="E29" s="10">
        <f>IF(A29="","",IF($B29=1,Forecast!D29-Setup!$B$6,Forecast!D29))</f>
        <v/>
      </c>
      <c r="F29" s="10">
        <f>IF(A29="","",IF($B29=1,D29-E29,Forecast!E29))</f>
        <v/>
      </c>
      <c r="G29" s="10">
        <f>IF(A29="","",IF($B29=1,Forecast!F29-Setup!$B$7,Forecast!F29))</f>
        <v/>
      </c>
      <c r="H29" s="10">
        <f>IF(A29="","",IF($B29=1,Forecast!G29-N(Setup!$D$27)*Setup!$B$9/12,Forecast!G29))</f>
        <v/>
      </c>
      <c r="I29" s="10">
        <f>IF(A29="","",IF($B29=1,F29-G29-H29,Forecast!H29))</f>
        <v/>
      </c>
      <c r="J29" s="10">
        <f>IF(A29="","",IF($B29=1,MAX(0,I29)*Setup!$B$10,Forecast!I29))</f>
        <v/>
      </c>
      <c r="K29" s="10">
        <f>IF(A29="","",IF($B29=1,I29-J29,Forecast!J29))</f>
        <v/>
      </c>
      <c r="L29" s="10">
        <f>IF(A29="","",IF($B29=1,K29+G29+Forecast!K29,Forecast!L29))</f>
        <v/>
      </c>
      <c r="M29" s="10">
        <f>IF(A29="","",IF($B29=1,Forecast!M29-Setup!$B$8,Forecast!M29))</f>
        <v/>
      </c>
      <c r="N29" s="10">
        <f>IF(A29="","",IF($B29=1,L29-M29,Forecast!O29))</f>
        <v/>
      </c>
      <c r="O29" s="10">
        <f>IF(A29="","",IF($B29=1,N29-Forecast!N29,Forecast!P29))</f>
        <v/>
      </c>
      <c r="P29" s="10">
        <f>IF(A29="","",(Forecast!$Q$5-Forecast!$P$5)+SUM($O$5:O29))</f>
        <v/>
      </c>
    </row>
    <row r="30">
      <c r="A30" s="5">
        <f>IF(Forecast!A30="","",Forecast!A30)</f>
        <v/>
      </c>
      <c r="B30" s="5">
        <f>IF(A30="","",IF(25&gt;=N(Setup!$C$27),1,0))</f>
        <v/>
      </c>
      <c r="C30" s="10">
        <f>IF(A30="","",IF($B30=1,Forecast!B30-Setup!$B$4,Forecast!B30))</f>
        <v/>
      </c>
      <c r="D30" s="10">
        <f>IF(A30="","",IF($B30=1,Forecast!C30-Setup!$B$5,Forecast!C30))</f>
        <v/>
      </c>
      <c r="E30" s="10">
        <f>IF(A30="","",IF($B30=1,Forecast!D30-Setup!$B$6,Forecast!D30))</f>
        <v/>
      </c>
      <c r="F30" s="10">
        <f>IF(A30="","",IF($B30=1,D30-E30,Forecast!E30))</f>
        <v/>
      </c>
      <c r="G30" s="10">
        <f>IF(A30="","",IF($B30=1,Forecast!F30-Setup!$B$7,Forecast!F30))</f>
        <v/>
      </c>
      <c r="H30" s="10">
        <f>IF(A30="","",IF($B30=1,Forecast!G30-N(Setup!$D$27)*Setup!$B$9/12,Forecast!G30))</f>
        <v/>
      </c>
      <c r="I30" s="10">
        <f>IF(A30="","",IF($B30=1,F30-G30-H30,Forecast!H30))</f>
        <v/>
      </c>
      <c r="J30" s="10">
        <f>IF(A30="","",IF($B30=1,MAX(0,I30)*Setup!$B$10,Forecast!I30))</f>
        <v/>
      </c>
      <c r="K30" s="10">
        <f>IF(A30="","",IF($B30=1,I30-J30,Forecast!J30))</f>
        <v/>
      </c>
      <c r="L30" s="10">
        <f>IF(A30="","",IF($B30=1,K30+G30+Forecast!K30,Forecast!L30))</f>
        <v/>
      </c>
      <c r="M30" s="10">
        <f>IF(A30="","",IF($B30=1,Forecast!M30-Setup!$B$8,Forecast!M30))</f>
        <v/>
      </c>
      <c r="N30" s="10">
        <f>IF(A30="","",IF($B30=1,L30-M30,Forecast!O30))</f>
        <v/>
      </c>
      <c r="O30" s="10">
        <f>IF(A30="","",IF($B30=1,N30-Forecast!N30,Forecast!P30))</f>
        <v/>
      </c>
      <c r="P30" s="10">
        <f>IF(A30="","",(Forecast!$Q$5-Forecast!$P$5)+SUM($O$5:O30))</f>
        <v/>
      </c>
    </row>
    <row r="31">
      <c r="A31" s="5">
        <f>IF(Forecast!A31="","",Forecast!A31)</f>
        <v/>
      </c>
      <c r="B31" s="5">
        <f>IF(A31="","",IF(26&gt;=N(Setup!$C$27),1,0))</f>
        <v/>
      </c>
      <c r="C31" s="10">
        <f>IF(A31="","",IF($B31=1,Forecast!B31-Setup!$B$4,Forecast!B31))</f>
        <v/>
      </c>
      <c r="D31" s="10">
        <f>IF(A31="","",IF($B31=1,Forecast!C31-Setup!$B$5,Forecast!C31))</f>
        <v/>
      </c>
      <c r="E31" s="10">
        <f>IF(A31="","",IF($B31=1,Forecast!D31-Setup!$B$6,Forecast!D31))</f>
        <v/>
      </c>
      <c r="F31" s="10">
        <f>IF(A31="","",IF($B31=1,D31-E31,Forecast!E31))</f>
        <v/>
      </c>
      <c r="G31" s="10">
        <f>IF(A31="","",IF($B31=1,Forecast!F31-Setup!$B$7,Forecast!F31))</f>
        <v/>
      </c>
      <c r="H31" s="10">
        <f>IF(A31="","",IF($B31=1,Forecast!G31-N(Setup!$D$27)*Setup!$B$9/12,Forecast!G31))</f>
        <v/>
      </c>
      <c r="I31" s="10">
        <f>IF(A31="","",IF($B31=1,F31-G31-H31,Forecast!H31))</f>
        <v/>
      </c>
      <c r="J31" s="10">
        <f>IF(A31="","",IF($B31=1,MAX(0,I31)*Setup!$B$10,Forecast!I31))</f>
        <v/>
      </c>
      <c r="K31" s="10">
        <f>IF(A31="","",IF($B31=1,I31-J31,Forecast!J31))</f>
        <v/>
      </c>
      <c r="L31" s="10">
        <f>IF(A31="","",IF($B31=1,K31+G31+Forecast!K31,Forecast!L31))</f>
        <v/>
      </c>
      <c r="M31" s="10">
        <f>IF(A31="","",IF($B31=1,Forecast!M31-Setup!$B$8,Forecast!M31))</f>
        <v/>
      </c>
      <c r="N31" s="10">
        <f>IF(A31="","",IF($B31=1,L31-M31,Forecast!O31))</f>
        <v/>
      </c>
      <c r="O31" s="10">
        <f>IF(A31="","",IF($B31=1,N31-Forecast!N31,Forecast!P31))</f>
        <v/>
      </c>
      <c r="P31" s="10">
        <f>IF(A31="","",(Forecast!$Q$5-Forecast!$P$5)+SUM($O$5:O31))</f>
        <v/>
      </c>
    </row>
    <row r="32">
      <c r="A32" s="5">
        <f>IF(Forecast!A32="","",Forecast!A32)</f>
        <v/>
      </c>
      <c r="B32" s="5">
        <f>IF(A32="","",IF(27&gt;=N(Setup!$C$27),1,0))</f>
        <v/>
      </c>
      <c r="C32" s="10">
        <f>IF(A32="","",IF($B32=1,Forecast!B32-Setup!$B$4,Forecast!B32))</f>
        <v/>
      </c>
      <c r="D32" s="10">
        <f>IF(A32="","",IF($B32=1,Forecast!C32-Setup!$B$5,Forecast!C32))</f>
        <v/>
      </c>
      <c r="E32" s="10">
        <f>IF(A32="","",IF($B32=1,Forecast!D32-Setup!$B$6,Forecast!D32))</f>
        <v/>
      </c>
      <c r="F32" s="10">
        <f>IF(A32="","",IF($B32=1,D32-E32,Forecast!E32))</f>
        <v/>
      </c>
      <c r="G32" s="10">
        <f>IF(A32="","",IF($B32=1,Forecast!F32-Setup!$B$7,Forecast!F32))</f>
        <v/>
      </c>
      <c r="H32" s="10">
        <f>IF(A32="","",IF($B32=1,Forecast!G32-N(Setup!$D$27)*Setup!$B$9/12,Forecast!G32))</f>
        <v/>
      </c>
      <c r="I32" s="10">
        <f>IF(A32="","",IF($B32=1,F32-G32-H32,Forecast!H32))</f>
        <v/>
      </c>
      <c r="J32" s="10">
        <f>IF(A32="","",IF($B32=1,MAX(0,I32)*Setup!$B$10,Forecast!I32))</f>
        <v/>
      </c>
      <c r="K32" s="10">
        <f>IF(A32="","",IF($B32=1,I32-J32,Forecast!J32))</f>
        <v/>
      </c>
      <c r="L32" s="10">
        <f>IF(A32="","",IF($B32=1,K32+G32+Forecast!K32,Forecast!L32))</f>
        <v/>
      </c>
      <c r="M32" s="10">
        <f>IF(A32="","",IF($B32=1,Forecast!M32-Setup!$B$8,Forecast!M32))</f>
        <v/>
      </c>
      <c r="N32" s="10">
        <f>IF(A32="","",IF($B32=1,L32-M32,Forecast!O32))</f>
        <v/>
      </c>
      <c r="O32" s="10">
        <f>IF(A32="","",IF($B32=1,N32-Forecast!N32,Forecast!P32))</f>
        <v/>
      </c>
      <c r="P32" s="10">
        <f>IF(A32="","",(Forecast!$Q$5-Forecast!$P$5)+SUM($O$5:O32))</f>
        <v/>
      </c>
    </row>
    <row r="33">
      <c r="A33" s="5">
        <f>IF(Forecast!A33="","",Forecast!A33)</f>
        <v/>
      </c>
      <c r="B33" s="5">
        <f>IF(A33="","",IF(28&gt;=N(Setup!$C$27),1,0))</f>
        <v/>
      </c>
      <c r="C33" s="10">
        <f>IF(A33="","",IF($B33=1,Forecast!B33-Setup!$B$4,Forecast!B33))</f>
        <v/>
      </c>
      <c r="D33" s="10">
        <f>IF(A33="","",IF($B33=1,Forecast!C33-Setup!$B$5,Forecast!C33))</f>
        <v/>
      </c>
      <c r="E33" s="10">
        <f>IF(A33="","",IF($B33=1,Forecast!D33-Setup!$B$6,Forecast!D33))</f>
        <v/>
      </c>
      <c r="F33" s="10">
        <f>IF(A33="","",IF($B33=1,D33-E33,Forecast!E33))</f>
        <v/>
      </c>
      <c r="G33" s="10">
        <f>IF(A33="","",IF($B33=1,Forecast!F33-Setup!$B$7,Forecast!F33))</f>
        <v/>
      </c>
      <c r="H33" s="10">
        <f>IF(A33="","",IF($B33=1,Forecast!G33-N(Setup!$D$27)*Setup!$B$9/12,Forecast!G33))</f>
        <v/>
      </c>
      <c r="I33" s="10">
        <f>IF(A33="","",IF($B33=1,F33-G33-H33,Forecast!H33))</f>
        <v/>
      </c>
      <c r="J33" s="10">
        <f>IF(A33="","",IF($B33=1,MAX(0,I33)*Setup!$B$10,Forecast!I33))</f>
        <v/>
      </c>
      <c r="K33" s="10">
        <f>IF(A33="","",IF($B33=1,I33-J33,Forecast!J33))</f>
        <v/>
      </c>
      <c r="L33" s="10">
        <f>IF(A33="","",IF($B33=1,K33+G33+Forecast!K33,Forecast!L33))</f>
        <v/>
      </c>
      <c r="M33" s="10">
        <f>IF(A33="","",IF($B33=1,Forecast!M33-Setup!$B$8,Forecast!M33))</f>
        <v/>
      </c>
      <c r="N33" s="10">
        <f>IF(A33="","",IF($B33=1,L33-M33,Forecast!O33))</f>
        <v/>
      </c>
      <c r="O33" s="10">
        <f>IF(A33="","",IF($B33=1,N33-Forecast!N33,Forecast!P33))</f>
        <v/>
      </c>
      <c r="P33" s="10">
        <f>IF(A33="","",(Forecast!$Q$5-Forecast!$P$5)+SUM($O$5:O33))</f>
        <v/>
      </c>
    </row>
    <row r="34">
      <c r="A34" s="5">
        <f>IF(Forecast!A34="","",Forecast!A34)</f>
        <v/>
      </c>
      <c r="B34" s="5">
        <f>IF(A34="","",IF(29&gt;=N(Setup!$C$27),1,0))</f>
        <v/>
      </c>
      <c r="C34" s="10">
        <f>IF(A34="","",IF($B34=1,Forecast!B34-Setup!$B$4,Forecast!B34))</f>
        <v/>
      </c>
      <c r="D34" s="10">
        <f>IF(A34="","",IF($B34=1,Forecast!C34-Setup!$B$5,Forecast!C34))</f>
        <v/>
      </c>
      <c r="E34" s="10">
        <f>IF(A34="","",IF($B34=1,Forecast!D34-Setup!$B$6,Forecast!D34))</f>
        <v/>
      </c>
      <c r="F34" s="10">
        <f>IF(A34="","",IF($B34=1,D34-E34,Forecast!E34))</f>
        <v/>
      </c>
      <c r="G34" s="10">
        <f>IF(A34="","",IF($B34=1,Forecast!F34-Setup!$B$7,Forecast!F34))</f>
        <v/>
      </c>
      <c r="H34" s="10">
        <f>IF(A34="","",IF($B34=1,Forecast!G34-N(Setup!$D$27)*Setup!$B$9/12,Forecast!G34))</f>
        <v/>
      </c>
      <c r="I34" s="10">
        <f>IF(A34="","",IF($B34=1,F34-G34-H34,Forecast!H34))</f>
        <v/>
      </c>
      <c r="J34" s="10">
        <f>IF(A34="","",IF($B34=1,MAX(0,I34)*Setup!$B$10,Forecast!I34))</f>
        <v/>
      </c>
      <c r="K34" s="10">
        <f>IF(A34="","",IF($B34=1,I34-J34,Forecast!J34))</f>
        <v/>
      </c>
      <c r="L34" s="10">
        <f>IF(A34="","",IF($B34=1,K34+G34+Forecast!K34,Forecast!L34))</f>
        <v/>
      </c>
      <c r="M34" s="10">
        <f>IF(A34="","",IF($B34=1,Forecast!M34-Setup!$B$8,Forecast!M34))</f>
        <v/>
      </c>
      <c r="N34" s="10">
        <f>IF(A34="","",IF($B34=1,L34-M34,Forecast!O34))</f>
        <v/>
      </c>
      <c r="O34" s="10">
        <f>IF(A34="","",IF($B34=1,N34-Forecast!N34,Forecast!P34))</f>
        <v/>
      </c>
      <c r="P34" s="10">
        <f>IF(A34="","",(Forecast!$Q$5-Forecast!$P$5)+SUM($O$5:O34))</f>
        <v/>
      </c>
    </row>
    <row r="35">
      <c r="A35" s="5">
        <f>IF(Forecast!A35="","",Forecast!A35)</f>
        <v/>
      </c>
      <c r="B35" s="5">
        <f>IF(A35="","",IF(30&gt;=N(Setup!$C$27),1,0))</f>
        <v/>
      </c>
      <c r="C35" s="10">
        <f>IF(A35="","",IF($B35=1,Forecast!B35-Setup!$B$4,Forecast!B35))</f>
        <v/>
      </c>
      <c r="D35" s="10">
        <f>IF(A35="","",IF($B35=1,Forecast!C35-Setup!$B$5,Forecast!C35))</f>
        <v/>
      </c>
      <c r="E35" s="10">
        <f>IF(A35="","",IF($B35=1,Forecast!D35-Setup!$B$6,Forecast!D35))</f>
        <v/>
      </c>
      <c r="F35" s="10">
        <f>IF(A35="","",IF($B35=1,D35-E35,Forecast!E35))</f>
        <v/>
      </c>
      <c r="G35" s="10">
        <f>IF(A35="","",IF($B35=1,Forecast!F35-Setup!$B$7,Forecast!F35))</f>
        <v/>
      </c>
      <c r="H35" s="10">
        <f>IF(A35="","",IF($B35=1,Forecast!G35-N(Setup!$D$27)*Setup!$B$9/12,Forecast!G35))</f>
        <v/>
      </c>
      <c r="I35" s="10">
        <f>IF(A35="","",IF($B35=1,F35-G35-H35,Forecast!H35))</f>
        <v/>
      </c>
      <c r="J35" s="10">
        <f>IF(A35="","",IF($B35=1,MAX(0,I35)*Setup!$B$10,Forecast!I35))</f>
        <v/>
      </c>
      <c r="K35" s="10">
        <f>IF(A35="","",IF($B35=1,I35-J35,Forecast!J35))</f>
        <v/>
      </c>
      <c r="L35" s="10">
        <f>IF(A35="","",IF($B35=1,K35+G35+Forecast!K35,Forecast!L35))</f>
        <v/>
      </c>
      <c r="M35" s="10">
        <f>IF(A35="","",IF($B35=1,Forecast!M35-Setup!$B$8,Forecast!M35))</f>
        <v/>
      </c>
      <c r="N35" s="10">
        <f>IF(A35="","",IF($B35=1,L35-M35,Forecast!O35))</f>
        <v/>
      </c>
      <c r="O35" s="10">
        <f>IF(A35="","",IF($B35=1,N35-Forecast!N35,Forecast!P35))</f>
        <v/>
      </c>
      <c r="P35" s="10">
        <f>IF(A35="","",(Forecast!$Q$5-Forecast!$P$5)+SUM($O$5:O35))</f>
        <v/>
      </c>
    </row>
    <row r="36">
      <c r="A36" s="5">
        <f>IF(Forecast!A36="","",Forecast!A36)</f>
        <v/>
      </c>
      <c r="B36" s="5">
        <f>IF(A36="","",IF(31&gt;=N(Setup!$C$27),1,0))</f>
        <v/>
      </c>
      <c r="C36" s="10">
        <f>IF(A36="","",IF($B36=1,Forecast!B36-Setup!$B$4,Forecast!B36))</f>
        <v/>
      </c>
      <c r="D36" s="10">
        <f>IF(A36="","",IF($B36=1,Forecast!C36-Setup!$B$5,Forecast!C36))</f>
        <v/>
      </c>
      <c r="E36" s="10">
        <f>IF(A36="","",IF($B36=1,Forecast!D36-Setup!$B$6,Forecast!D36))</f>
        <v/>
      </c>
      <c r="F36" s="10">
        <f>IF(A36="","",IF($B36=1,D36-E36,Forecast!E36))</f>
        <v/>
      </c>
      <c r="G36" s="10">
        <f>IF(A36="","",IF($B36=1,Forecast!F36-Setup!$B$7,Forecast!F36))</f>
        <v/>
      </c>
      <c r="H36" s="10">
        <f>IF(A36="","",IF($B36=1,Forecast!G36-N(Setup!$D$27)*Setup!$B$9/12,Forecast!G36))</f>
        <v/>
      </c>
      <c r="I36" s="10">
        <f>IF(A36="","",IF($B36=1,F36-G36-H36,Forecast!H36))</f>
        <v/>
      </c>
      <c r="J36" s="10">
        <f>IF(A36="","",IF($B36=1,MAX(0,I36)*Setup!$B$10,Forecast!I36))</f>
        <v/>
      </c>
      <c r="K36" s="10">
        <f>IF(A36="","",IF($B36=1,I36-J36,Forecast!J36))</f>
        <v/>
      </c>
      <c r="L36" s="10">
        <f>IF(A36="","",IF($B36=1,K36+G36+Forecast!K36,Forecast!L36))</f>
        <v/>
      </c>
      <c r="M36" s="10">
        <f>IF(A36="","",IF($B36=1,Forecast!M36-Setup!$B$8,Forecast!M36))</f>
        <v/>
      </c>
      <c r="N36" s="10">
        <f>IF(A36="","",IF($B36=1,L36-M36,Forecast!O36))</f>
        <v/>
      </c>
      <c r="O36" s="10">
        <f>IF(A36="","",IF($B36=1,N36-Forecast!N36,Forecast!P36))</f>
        <v/>
      </c>
      <c r="P36" s="10">
        <f>IF(A36="","",(Forecast!$Q$5-Forecast!$P$5)+SUM($O$5:O36))</f>
        <v/>
      </c>
    </row>
    <row r="37">
      <c r="A37" s="5">
        <f>IF(Forecast!A37="","",Forecast!A37)</f>
        <v/>
      </c>
      <c r="B37" s="5">
        <f>IF(A37="","",IF(32&gt;=N(Setup!$C$27),1,0))</f>
        <v/>
      </c>
      <c r="C37" s="10">
        <f>IF(A37="","",IF($B37=1,Forecast!B37-Setup!$B$4,Forecast!B37))</f>
        <v/>
      </c>
      <c r="D37" s="10">
        <f>IF(A37="","",IF($B37=1,Forecast!C37-Setup!$B$5,Forecast!C37))</f>
        <v/>
      </c>
      <c r="E37" s="10">
        <f>IF(A37="","",IF($B37=1,Forecast!D37-Setup!$B$6,Forecast!D37))</f>
        <v/>
      </c>
      <c r="F37" s="10">
        <f>IF(A37="","",IF($B37=1,D37-E37,Forecast!E37))</f>
        <v/>
      </c>
      <c r="G37" s="10">
        <f>IF(A37="","",IF($B37=1,Forecast!F37-Setup!$B$7,Forecast!F37))</f>
        <v/>
      </c>
      <c r="H37" s="10">
        <f>IF(A37="","",IF($B37=1,Forecast!G37-N(Setup!$D$27)*Setup!$B$9/12,Forecast!G37))</f>
        <v/>
      </c>
      <c r="I37" s="10">
        <f>IF(A37="","",IF($B37=1,F37-G37-H37,Forecast!H37))</f>
        <v/>
      </c>
      <c r="J37" s="10">
        <f>IF(A37="","",IF($B37=1,MAX(0,I37)*Setup!$B$10,Forecast!I37))</f>
        <v/>
      </c>
      <c r="K37" s="10">
        <f>IF(A37="","",IF($B37=1,I37-J37,Forecast!J37))</f>
        <v/>
      </c>
      <c r="L37" s="10">
        <f>IF(A37="","",IF($B37=1,K37+G37+Forecast!K37,Forecast!L37))</f>
        <v/>
      </c>
      <c r="M37" s="10">
        <f>IF(A37="","",IF($B37=1,Forecast!M37-Setup!$B$8,Forecast!M37))</f>
        <v/>
      </c>
      <c r="N37" s="10">
        <f>IF(A37="","",IF($B37=1,L37-M37,Forecast!O37))</f>
        <v/>
      </c>
      <c r="O37" s="10">
        <f>IF(A37="","",IF($B37=1,N37-Forecast!N37,Forecast!P37))</f>
        <v/>
      </c>
      <c r="P37" s="10">
        <f>IF(A37="","",(Forecast!$Q$5-Forecast!$P$5)+SUM($O$5:O37))</f>
        <v/>
      </c>
    </row>
    <row r="38">
      <c r="A38" s="5">
        <f>IF(Forecast!A38="","",Forecast!A38)</f>
        <v/>
      </c>
      <c r="B38" s="5">
        <f>IF(A38="","",IF(33&gt;=N(Setup!$C$27),1,0))</f>
        <v/>
      </c>
      <c r="C38" s="10">
        <f>IF(A38="","",IF($B38=1,Forecast!B38-Setup!$B$4,Forecast!B38))</f>
        <v/>
      </c>
      <c r="D38" s="10">
        <f>IF(A38="","",IF($B38=1,Forecast!C38-Setup!$B$5,Forecast!C38))</f>
        <v/>
      </c>
      <c r="E38" s="10">
        <f>IF(A38="","",IF($B38=1,Forecast!D38-Setup!$B$6,Forecast!D38))</f>
        <v/>
      </c>
      <c r="F38" s="10">
        <f>IF(A38="","",IF($B38=1,D38-E38,Forecast!E38))</f>
        <v/>
      </c>
      <c r="G38" s="10">
        <f>IF(A38="","",IF($B38=1,Forecast!F38-Setup!$B$7,Forecast!F38))</f>
        <v/>
      </c>
      <c r="H38" s="10">
        <f>IF(A38="","",IF($B38=1,Forecast!G38-N(Setup!$D$27)*Setup!$B$9/12,Forecast!G38))</f>
        <v/>
      </c>
      <c r="I38" s="10">
        <f>IF(A38="","",IF($B38=1,F38-G38-H38,Forecast!H38))</f>
        <v/>
      </c>
      <c r="J38" s="10">
        <f>IF(A38="","",IF($B38=1,MAX(0,I38)*Setup!$B$10,Forecast!I38))</f>
        <v/>
      </c>
      <c r="K38" s="10">
        <f>IF(A38="","",IF($B38=1,I38-J38,Forecast!J38))</f>
        <v/>
      </c>
      <c r="L38" s="10">
        <f>IF(A38="","",IF($B38=1,K38+G38+Forecast!K38,Forecast!L38))</f>
        <v/>
      </c>
      <c r="M38" s="10">
        <f>IF(A38="","",IF($B38=1,Forecast!M38-Setup!$B$8,Forecast!M38))</f>
        <v/>
      </c>
      <c r="N38" s="10">
        <f>IF(A38="","",IF($B38=1,L38-M38,Forecast!O38))</f>
        <v/>
      </c>
      <c r="O38" s="10">
        <f>IF(A38="","",IF($B38=1,N38-Forecast!N38,Forecast!P38))</f>
        <v/>
      </c>
      <c r="P38" s="10">
        <f>IF(A38="","",(Forecast!$Q$5-Forecast!$P$5)+SUM($O$5:O38))</f>
        <v/>
      </c>
    </row>
    <row r="39">
      <c r="A39" s="5">
        <f>IF(Forecast!A39="","",Forecast!A39)</f>
        <v/>
      </c>
      <c r="B39" s="5">
        <f>IF(A39="","",IF(34&gt;=N(Setup!$C$27),1,0))</f>
        <v/>
      </c>
      <c r="C39" s="10">
        <f>IF(A39="","",IF($B39=1,Forecast!B39-Setup!$B$4,Forecast!B39))</f>
        <v/>
      </c>
      <c r="D39" s="10">
        <f>IF(A39="","",IF($B39=1,Forecast!C39-Setup!$B$5,Forecast!C39))</f>
        <v/>
      </c>
      <c r="E39" s="10">
        <f>IF(A39="","",IF($B39=1,Forecast!D39-Setup!$B$6,Forecast!D39))</f>
        <v/>
      </c>
      <c r="F39" s="10">
        <f>IF(A39="","",IF($B39=1,D39-E39,Forecast!E39))</f>
        <v/>
      </c>
      <c r="G39" s="10">
        <f>IF(A39="","",IF($B39=1,Forecast!F39-Setup!$B$7,Forecast!F39))</f>
        <v/>
      </c>
      <c r="H39" s="10">
        <f>IF(A39="","",IF($B39=1,Forecast!G39-N(Setup!$D$27)*Setup!$B$9/12,Forecast!G39))</f>
        <v/>
      </c>
      <c r="I39" s="10">
        <f>IF(A39="","",IF($B39=1,F39-G39-H39,Forecast!H39))</f>
        <v/>
      </c>
      <c r="J39" s="10">
        <f>IF(A39="","",IF($B39=1,MAX(0,I39)*Setup!$B$10,Forecast!I39))</f>
        <v/>
      </c>
      <c r="K39" s="10">
        <f>IF(A39="","",IF($B39=1,I39-J39,Forecast!J39))</f>
        <v/>
      </c>
      <c r="L39" s="10">
        <f>IF(A39="","",IF($B39=1,K39+G39+Forecast!K39,Forecast!L39))</f>
        <v/>
      </c>
      <c r="M39" s="10">
        <f>IF(A39="","",IF($B39=1,Forecast!M39-Setup!$B$8,Forecast!M39))</f>
        <v/>
      </c>
      <c r="N39" s="10">
        <f>IF(A39="","",IF($B39=1,L39-M39,Forecast!O39))</f>
        <v/>
      </c>
      <c r="O39" s="10">
        <f>IF(A39="","",IF($B39=1,N39-Forecast!N39,Forecast!P39))</f>
        <v/>
      </c>
      <c r="P39" s="10">
        <f>IF(A39="","",(Forecast!$Q$5-Forecast!$P$5)+SUM($O$5:O39))</f>
        <v/>
      </c>
    </row>
    <row r="40">
      <c r="A40" s="5">
        <f>IF(Forecast!A40="","",Forecast!A40)</f>
        <v/>
      </c>
      <c r="B40" s="5">
        <f>IF(A40="","",IF(35&gt;=N(Setup!$C$27),1,0))</f>
        <v/>
      </c>
      <c r="C40" s="10">
        <f>IF(A40="","",IF($B40=1,Forecast!B40-Setup!$B$4,Forecast!B40))</f>
        <v/>
      </c>
      <c r="D40" s="10">
        <f>IF(A40="","",IF($B40=1,Forecast!C40-Setup!$B$5,Forecast!C40))</f>
        <v/>
      </c>
      <c r="E40" s="10">
        <f>IF(A40="","",IF($B40=1,Forecast!D40-Setup!$B$6,Forecast!D40))</f>
        <v/>
      </c>
      <c r="F40" s="10">
        <f>IF(A40="","",IF($B40=1,D40-E40,Forecast!E40))</f>
        <v/>
      </c>
      <c r="G40" s="10">
        <f>IF(A40="","",IF($B40=1,Forecast!F40-Setup!$B$7,Forecast!F40))</f>
        <v/>
      </c>
      <c r="H40" s="10">
        <f>IF(A40="","",IF($B40=1,Forecast!G40-N(Setup!$D$27)*Setup!$B$9/12,Forecast!G40))</f>
        <v/>
      </c>
      <c r="I40" s="10">
        <f>IF(A40="","",IF($B40=1,F40-G40-H40,Forecast!H40))</f>
        <v/>
      </c>
      <c r="J40" s="10">
        <f>IF(A40="","",IF($B40=1,MAX(0,I40)*Setup!$B$10,Forecast!I40))</f>
        <v/>
      </c>
      <c r="K40" s="10">
        <f>IF(A40="","",IF($B40=1,I40-J40,Forecast!J40))</f>
        <v/>
      </c>
      <c r="L40" s="10">
        <f>IF(A40="","",IF($B40=1,K40+G40+Forecast!K40,Forecast!L40))</f>
        <v/>
      </c>
      <c r="M40" s="10">
        <f>IF(A40="","",IF($B40=1,Forecast!M40-Setup!$B$8,Forecast!M40))</f>
        <v/>
      </c>
      <c r="N40" s="10">
        <f>IF(A40="","",IF($B40=1,L40-M40,Forecast!O40))</f>
        <v/>
      </c>
      <c r="O40" s="10">
        <f>IF(A40="","",IF($B40=1,N40-Forecast!N40,Forecast!P40))</f>
        <v/>
      </c>
      <c r="P40" s="10">
        <f>IF(A40="","",(Forecast!$Q$5-Forecast!$P$5)+SUM($O$5:O40))</f>
        <v/>
      </c>
    </row>
    <row r="41">
      <c r="A41" s="5">
        <f>IF(Forecast!A41="","",Forecast!A41)</f>
        <v/>
      </c>
      <c r="B41" s="5">
        <f>IF(A41="","",IF(36&gt;=N(Setup!$C$27),1,0))</f>
        <v/>
      </c>
      <c r="C41" s="10">
        <f>IF(A41="","",IF($B41=1,Forecast!B41-Setup!$B$4,Forecast!B41))</f>
        <v/>
      </c>
      <c r="D41" s="10">
        <f>IF(A41="","",IF($B41=1,Forecast!C41-Setup!$B$5,Forecast!C41))</f>
        <v/>
      </c>
      <c r="E41" s="10">
        <f>IF(A41="","",IF($B41=1,Forecast!D41-Setup!$B$6,Forecast!D41))</f>
        <v/>
      </c>
      <c r="F41" s="10">
        <f>IF(A41="","",IF($B41=1,D41-E41,Forecast!E41))</f>
        <v/>
      </c>
      <c r="G41" s="10">
        <f>IF(A41="","",IF($B41=1,Forecast!F41-Setup!$B$7,Forecast!F41))</f>
        <v/>
      </c>
      <c r="H41" s="10">
        <f>IF(A41="","",IF($B41=1,Forecast!G41-N(Setup!$D$27)*Setup!$B$9/12,Forecast!G41))</f>
        <v/>
      </c>
      <c r="I41" s="10">
        <f>IF(A41="","",IF($B41=1,F41-G41-H41,Forecast!H41))</f>
        <v/>
      </c>
      <c r="J41" s="10">
        <f>IF(A41="","",IF($B41=1,MAX(0,I41)*Setup!$B$10,Forecast!I41))</f>
        <v/>
      </c>
      <c r="K41" s="10">
        <f>IF(A41="","",IF($B41=1,I41-J41,Forecast!J41))</f>
        <v/>
      </c>
      <c r="L41" s="10">
        <f>IF(A41="","",IF($B41=1,K41+G41+Forecast!K41,Forecast!L41))</f>
        <v/>
      </c>
      <c r="M41" s="10">
        <f>IF(A41="","",IF($B41=1,Forecast!M41-Setup!$B$8,Forecast!M41))</f>
        <v/>
      </c>
      <c r="N41" s="10">
        <f>IF(A41="","",IF($B41=1,L41-M41,Forecast!O41))</f>
        <v/>
      </c>
      <c r="O41" s="10">
        <f>IF(A41="","",IF($B41=1,N41-Forecast!N41,Forecast!P41))</f>
        <v/>
      </c>
      <c r="P41" s="10">
        <f>IF(A41="","",(Forecast!$Q$5-Forecast!$P$5)+SUM($O$5:O41))</f>
        <v/>
      </c>
    </row>
    <row r="42">
      <c r="A42" s="5">
        <f>IF(Forecast!A42="","",Forecast!A42)</f>
        <v/>
      </c>
      <c r="B42" s="5">
        <f>IF(A42="","",IF(37&gt;=N(Setup!$C$27),1,0))</f>
        <v/>
      </c>
      <c r="C42" s="10">
        <f>IF(A42="","",IF($B42=1,Forecast!B42-Setup!$B$4,Forecast!B42))</f>
        <v/>
      </c>
      <c r="D42" s="10">
        <f>IF(A42="","",IF($B42=1,Forecast!C42-Setup!$B$5,Forecast!C42))</f>
        <v/>
      </c>
      <c r="E42" s="10">
        <f>IF(A42="","",IF($B42=1,Forecast!D42-Setup!$B$6,Forecast!D42))</f>
        <v/>
      </c>
      <c r="F42" s="10">
        <f>IF(A42="","",IF($B42=1,D42-E42,Forecast!E42))</f>
        <v/>
      </c>
      <c r="G42" s="10">
        <f>IF(A42="","",IF($B42=1,Forecast!F42-Setup!$B$7,Forecast!F42))</f>
        <v/>
      </c>
      <c r="H42" s="10">
        <f>IF(A42="","",IF($B42=1,Forecast!G42-N(Setup!$D$27)*Setup!$B$9/12,Forecast!G42))</f>
        <v/>
      </c>
      <c r="I42" s="10">
        <f>IF(A42="","",IF($B42=1,F42-G42-H42,Forecast!H42))</f>
        <v/>
      </c>
      <c r="J42" s="10">
        <f>IF(A42="","",IF($B42=1,MAX(0,I42)*Setup!$B$10,Forecast!I42))</f>
        <v/>
      </c>
      <c r="K42" s="10">
        <f>IF(A42="","",IF($B42=1,I42-J42,Forecast!J42))</f>
        <v/>
      </c>
      <c r="L42" s="10">
        <f>IF(A42="","",IF($B42=1,K42+G42+Forecast!K42,Forecast!L42))</f>
        <v/>
      </c>
      <c r="M42" s="10">
        <f>IF(A42="","",IF($B42=1,Forecast!M42-Setup!$B$8,Forecast!M42))</f>
        <v/>
      </c>
      <c r="N42" s="10">
        <f>IF(A42="","",IF($B42=1,L42-M42,Forecast!O42))</f>
        <v/>
      </c>
      <c r="O42" s="10">
        <f>IF(A42="","",IF($B42=1,N42-Forecast!N42,Forecast!P42))</f>
        <v/>
      </c>
      <c r="P42" s="10">
        <f>IF(A42="","",(Forecast!$Q$5-Forecast!$P$5)+SUM($O$5:O42))</f>
        <v/>
      </c>
    </row>
    <row r="43">
      <c r="A43" s="5">
        <f>IF(Forecast!A43="","",Forecast!A43)</f>
        <v/>
      </c>
      <c r="B43" s="5">
        <f>IF(A43="","",IF(38&gt;=N(Setup!$C$27),1,0))</f>
        <v/>
      </c>
      <c r="C43" s="10">
        <f>IF(A43="","",IF($B43=1,Forecast!B43-Setup!$B$4,Forecast!B43))</f>
        <v/>
      </c>
      <c r="D43" s="10">
        <f>IF(A43="","",IF($B43=1,Forecast!C43-Setup!$B$5,Forecast!C43))</f>
        <v/>
      </c>
      <c r="E43" s="10">
        <f>IF(A43="","",IF($B43=1,Forecast!D43-Setup!$B$6,Forecast!D43))</f>
        <v/>
      </c>
      <c r="F43" s="10">
        <f>IF(A43="","",IF($B43=1,D43-E43,Forecast!E43))</f>
        <v/>
      </c>
      <c r="G43" s="10">
        <f>IF(A43="","",IF($B43=1,Forecast!F43-Setup!$B$7,Forecast!F43))</f>
        <v/>
      </c>
      <c r="H43" s="10">
        <f>IF(A43="","",IF($B43=1,Forecast!G43-N(Setup!$D$27)*Setup!$B$9/12,Forecast!G43))</f>
        <v/>
      </c>
      <c r="I43" s="10">
        <f>IF(A43="","",IF($B43=1,F43-G43-H43,Forecast!H43))</f>
        <v/>
      </c>
      <c r="J43" s="10">
        <f>IF(A43="","",IF($B43=1,MAX(0,I43)*Setup!$B$10,Forecast!I43))</f>
        <v/>
      </c>
      <c r="K43" s="10">
        <f>IF(A43="","",IF($B43=1,I43-J43,Forecast!J43))</f>
        <v/>
      </c>
      <c r="L43" s="10">
        <f>IF(A43="","",IF($B43=1,K43+G43+Forecast!K43,Forecast!L43))</f>
        <v/>
      </c>
      <c r="M43" s="10">
        <f>IF(A43="","",IF($B43=1,Forecast!M43-Setup!$B$8,Forecast!M43))</f>
        <v/>
      </c>
      <c r="N43" s="10">
        <f>IF(A43="","",IF($B43=1,L43-M43,Forecast!O43))</f>
        <v/>
      </c>
      <c r="O43" s="10">
        <f>IF(A43="","",IF($B43=1,N43-Forecast!N43,Forecast!P43))</f>
        <v/>
      </c>
      <c r="P43" s="10">
        <f>IF(A43="","",(Forecast!$Q$5-Forecast!$P$5)+SUM($O$5:O43))</f>
        <v/>
      </c>
    </row>
    <row r="44">
      <c r="A44" s="5">
        <f>IF(Forecast!A44="","",Forecast!A44)</f>
        <v/>
      </c>
      <c r="B44" s="5">
        <f>IF(A44="","",IF(39&gt;=N(Setup!$C$27),1,0))</f>
        <v/>
      </c>
      <c r="C44" s="10">
        <f>IF(A44="","",IF($B44=1,Forecast!B44-Setup!$B$4,Forecast!B44))</f>
        <v/>
      </c>
      <c r="D44" s="10">
        <f>IF(A44="","",IF($B44=1,Forecast!C44-Setup!$B$5,Forecast!C44))</f>
        <v/>
      </c>
      <c r="E44" s="10">
        <f>IF(A44="","",IF($B44=1,Forecast!D44-Setup!$B$6,Forecast!D44))</f>
        <v/>
      </c>
      <c r="F44" s="10">
        <f>IF(A44="","",IF($B44=1,D44-E44,Forecast!E44))</f>
        <v/>
      </c>
      <c r="G44" s="10">
        <f>IF(A44="","",IF($B44=1,Forecast!F44-Setup!$B$7,Forecast!F44))</f>
        <v/>
      </c>
      <c r="H44" s="10">
        <f>IF(A44="","",IF($B44=1,Forecast!G44-N(Setup!$D$27)*Setup!$B$9/12,Forecast!G44))</f>
        <v/>
      </c>
      <c r="I44" s="10">
        <f>IF(A44="","",IF($B44=1,F44-G44-H44,Forecast!H44))</f>
        <v/>
      </c>
      <c r="J44" s="10">
        <f>IF(A44="","",IF($B44=1,MAX(0,I44)*Setup!$B$10,Forecast!I44))</f>
        <v/>
      </c>
      <c r="K44" s="10">
        <f>IF(A44="","",IF($B44=1,I44-J44,Forecast!J44))</f>
        <v/>
      </c>
      <c r="L44" s="10">
        <f>IF(A44="","",IF($B44=1,K44+G44+Forecast!K44,Forecast!L44))</f>
        <v/>
      </c>
      <c r="M44" s="10">
        <f>IF(A44="","",IF($B44=1,Forecast!M44-Setup!$B$8,Forecast!M44))</f>
        <v/>
      </c>
      <c r="N44" s="10">
        <f>IF(A44="","",IF($B44=1,L44-M44,Forecast!O44))</f>
        <v/>
      </c>
      <c r="O44" s="10">
        <f>IF(A44="","",IF($B44=1,N44-Forecast!N44,Forecast!P44))</f>
        <v/>
      </c>
      <c r="P44" s="10">
        <f>IF(A44="","",(Forecast!$Q$5-Forecast!$P$5)+SUM($O$5:O44))</f>
        <v/>
      </c>
    </row>
    <row r="45">
      <c r="A45" s="5">
        <f>IF(Forecast!A45="","",Forecast!A45)</f>
        <v/>
      </c>
      <c r="B45" s="5">
        <f>IF(A45="","",IF(40&gt;=N(Setup!$C$27),1,0))</f>
        <v/>
      </c>
      <c r="C45" s="10">
        <f>IF(A45="","",IF($B45=1,Forecast!B45-Setup!$B$4,Forecast!B45))</f>
        <v/>
      </c>
      <c r="D45" s="10">
        <f>IF(A45="","",IF($B45=1,Forecast!C45-Setup!$B$5,Forecast!C45))</f>
        <v/>
      </c>
      <c r="E45" s="10">
        <f>IF(A45="","",IF($B45=1,Forecast!D45-Setup!$B$6,Forecast!D45))</f>
        <v/>
      </c>
      <c r="F45" s="10">
        <f>IF(A45="","",IF($B45=1,D45-E45,Forecast!E45))</f>
        <v/>
      </c>
      <c r="G45" s="10">
        <f>IF(A45="","",IF($B45=1,Forecast!F45-Setup!$B$7,Forecast!F45))</f>
        <v/>
      </c>
      <c r="H45" s="10">
        <f>IF(A45="","",IF($B45=1,Forecast!G45-N(Setup!$D$27)*Setup!$B$9/12,Forecast!G45))</f>
        <v/>
      </c>
      <c r="I45" s="10">
        <f>IF(A45="","",IF($B45=1,F45-G45-H45,Forecast!H45))</f>
        <v/>
      </c>
      <c r="J45" s="10">
        <f>IF(A45="","",IF($B45=1,MAX(0,I45)*Setup!$B$10,Forecast!I45))</f>
        <v/>
      </c>
      <c r="K45" s="10">
        <f>IF(A45="","",IF($B45=1,I45-J45,Forecast!J45))</f>
        <v/>
      </c>
      <c r="L45" s="10">
        <f>IF(A45="","",IF($B45=1,K45+G45+Forecast!K45,Forecast!L45))</f>
        <v/>
      </c>
      <c r="M45" s="10">
        <f>IF(A45="","",IF($B45=1,Forecast!M45-Setup!$B$8,Forecast!M45))</f>
        <v/>
      </c>
      <c r="N45" s="10">
        <f>IF(A45="","",IF($B45=1,L45-M45,Forecast!O45))</f>
        <v/>
      </c>
      <c r="O45" s="10">
        <f>IF(A45="","",IF($B45=1,N45-Forecast!N45,Forecast!P45))</f>
        <v/>
      </c>
      <c r="P45" s="10">
        <f>IF(A45="","",(Forecast!$Q$5-Forecast!$P$5)+SUM($O$5:O45))</f>
        <v/>
      </c>
    </row>
    <row r="46">
      <c r="A46" s="5">
        <f>IF(Forecast!A46="","",Forecast!A46)</f>
        <v/>
      </c>
      <c r="B46" s="5">
        <f>IF(A46="","",IF(41&gt;=N(Setup!$C$27),1,0))</f>
        <v/>
      </c>
      <c r="C46" s="10">
        <f>IF(A46="","",IF($B46=1,Forecast!B46-Setup!$B$4,Forecast!B46))</f>
        <v/>
      </c>
      <c r="D46" s="10">
        <f>IF(A46="","",IF($B46=1,Forecast!C46-Setup!$B$5,Forecast!C46))</f>
        <v/>
      </c>
      <c r="E46" s="10">
        <f>IF(A46="","",IF($B46=1,Forecast!D46-Setup!$B$6,Forecast!D46))</f>
        <v/>
      </c>
      <c r="F46" s="10">
        <f>IF(A46="","",IF($B46=1,D46-E46,Forecast!E46))</f>
        <v/>
      </c>
      <c r="G46" s="10">
        <f>IF(A46="","",IF($B46=1,Forecast!F46-Setup!$B$7,Forecast!F46))</f>
        <v/>
      </c>
      <c r="H46" s="10">
        <f>IF(A46="","",IF($B46=1,Forecast!G46-N(Setup!$D$27)*Setup!$B$9/12,Forecast!G46))</f>
        <v/>
      </c>
      <c r="I46" s="10">
        <f>IF(A46="","",IF($B46=1,F46-G46-H46,Forecast!H46))</f>
        <v/>
      </c>
      <c r="J46" s="10">
        <f>IF(A46="","",IF($B46=1,MAX(0,I46)*Setup!$B$10,Forecast!I46))</f>
        <v/>
      </c>
      <c r="K46" s="10">
        <f>IF(A46="","",IF($B46=1,I46-J46,Forecast!J46))</f>
        <v/>
      </c>
      <c r="L46" s="10">
        <f>IF(A46="","",IF($B46=1,K46+G46+Forecast!K46,Forecast!L46))</f>
        <v/>
      </c>
      <c r="M46" s="10">
        <f>IF(A46="","",IF($B46=1,Forecast!M46-Setup!$B$8,Forecast!M46))</f>
        <v/>
      </c>
      <c r="N46" s="10">
        <f>IF(A46="","",IF($B46=1,L46-M46,Forecast!O46))</f>
        <v/>
      </c>
      <c r="O46" s="10">
        <f>IF(A46="","",IF($B46=1,N46-Forecast!N46,Forecast!P46))</f>
        <v/>
      </c>
      <c r="P46" s="10">
        <f>IF(A46="","",(Forecast!$Q$5-Forecast!$P$5)+SUM($O$5:O46))</f>
        <v/>
      </c>
    </row>
    <row r="47">
      <c r="A47" s="5">
        <f>IF(Forecast!A47="","",Forecast!A47)</f>
        <v/>
      </c>
      <c r="B47" s="5">
        <f>IF(A47="","",IF(42&gt;=N(Setup!$C$27),1,0))</f>
        <v/>
      </c>
      <c r="C47" s="10">
        <f>IF(A47="","",IF($B47=1,Forecast!B47-Setup!$B$4,Forecast!B47))</f>
        <v/>
      </c>
      <c r="D47" s="10">
        <f>IF(A47="","",IF($B47=1,Forecast!C47-Setup!$B$5,Forecast!C47))</f>
        <v/>
      </c>
      <c r="E47" s="10">
        <f>IF(A47="","",IF($B47=1,Forecast!D47-Setup!$B$6,Forecast!D47))</f>
        <v/>
      </c>
      <c r="F47" s="10">
        <f>IF(A47="","",IF($B47=1,D47-E47,Forecast!E47))</f>
        <v/>
      </c>
      <c r="G47" s="10">
        <f>IF(A47="","",IF($B47=1,Forecast!F47-Setup!$B$7,Forecast!F47))</f>
        <v/>
      </c>
      <c r="H47" s="10">
        <f>IF(A47="","",IF($B47=1,Forecast!G47-N(Setup!$D$27)*Setup!$B$9/12,Forecast!G47))</f>
        <v/>
      </c>
      <c r="I47" s="10">
        <f>IF(A47="","",IF($B47=1,F47-G47-H47,Forecast!H47))</f>
        <v/>
      </c>
      <c r="J47" s="10">
        <f>IF(A47="","",IF($B47=1,MAX(0,I47)*Setup!$B$10,Forecast!I47))</f>
        <v/>
      </c>
      <c r="K47" s="10">
        <f>IF(A47="","",IF($B47=1,I47-J47,Forecast!J47))</f>
        <v/>
      </c>
      <c r="L47" s="10">
        <f>IF(A47="","",IF($B47=1,K47+G47+Forecast!K47,Forecast!L47))</f>
        <v/>
      </c>
      <c r="M47" s="10">
        <f>IF(A47="","",IF($B47=1,Forecast!M47-Setup!$B$8,Forecast!M47))</f>
        <v/>
      </c>
      <c r="N47" s="10">
        <f>IF(A47="","",IF($B47=1,L47-M47,Forecast!O47))</f>
        <v/>
      </c>
      <c r="O47" s="10">
        <f>IF(A47="","",IF($B47=1,N47-Forecast!N47,Forecast!P47))</f>
        <v/>
      </c>
      <c r="P47" s="10">
        <f>IF(A47="","",(Forecast!$Q$5-Forecast!$P$5)+SUM($O$5:O47))</f>
        <v/>
      </c>
    </row>
    <row r="48">
      <c r="A48" s="5">
        <f>IF(Forecast!A48="","",Forecast!A48)</f>
        <v/>
      </c>
      <c r="B48" s="5">
        <f>IF(A48="","",IF(43&gt;=N(Setup!$C$27),1,0))</f>
        <v/>
      </c>
      <c r="C48" s="10">
        <f>IF(A48="","",IF($B48=1,Forecast!B48-Setup!$B$4,Forecast!B48))</f>
        <v/>
      </c>
      <c r="D48" s="10">
        <f>IF(A48="","",IF($B48=1,Forecast!C48-Setup!$B$5,Forecast!C48))</f>
        <v/>
      </c>
      <c r="E48" s="10">
        <f>IF(A48="","",IF($B48=1,Forecast!D48-Setup!$B$6,Forecast!D48))</f>
        <v/>
      </c>
      <c r="F48" s="10">
        <f>IF(A48="","",IF($B48=1,D48-E48,Forecast!E48))</f>
        <v/>
      </c>
      <c r="G48" s="10">
        <f>IF(A48="","",IF($B48=1,Forecast!F48-Setup!$B$7,Forecast!F48))</f>
        <v/>
      </c>
      <c r="H48" s="10">
        <f>IF(A48="","",IF($B48=1,Forecast!G48-N(Setup!$D$27)*Setup!$B$9/12,Forecast!G48))</f>
        <v/>
      </c>
      <c r="I48" s="10">
        <f>IF(A48="","",IF($B48=1,F48-G48-H48,Forecast!H48))</f>
        <v/>
      </c>
      <c r="J48" s="10">
        <f>IF(A48="","",IF($B48=1,MAX(0,I48)*Setup!$B$10,Forecast!I48))</f>
        <v/>
      </c>
      <c r="K48" s="10">
        <f>IF(A48="","",IF($B48=1,I48-J48,Forecast!J48))</f>
        <v/>
      </c>
      <c r="L48" s="10">
        <f>IF(A48="","",IF($B48=1,K48+G48+Forecast!K48,Forecast!L48))</f>
        <v/>
      </c>
      <c r="M48" s="10">
        <f>IF(A48="","",IF($B48=1,Forecast!M48-Setup!$B$8,Forecast!M48))</f>
        <v/>
      </c>
      <c r="N48" s="10">
        <f>IF(A48="","",IF($B48=1,L48-M48,Forecast!O48))</f>
        <v/>
      </c>
      <c r="O48" s="10">
        <f>IF(A48="","",IF($B48=1,N48-Forecast!N48,Forecast!P48))</f>
        <v/>
      </c>
      <c r="P48" s="10">
        <f>IF(A48="","",(Forecast!$Q$5-Forecast!$P$5)+SUM($O$5:O48))</f>
        <v/>
      </c>
    </row>
    <row r="49">
      <c r="A49" s="5">
        <f>IF(Forecast!A49="","",Forecast!A49)</f>
        <v/>
      </c>
      <c r="B49" s="5">
        <f>IF(A49="","",IF(44&gt;=N(Setup!$C$27),1,0))</f>
        <v/>
      </c>
      <c r="C49" s="10">
        <f>IF(A49="","",IF($B49=1,Forecast!B49-Setup!$B$4,Forecast!B49))</f>
        <v/>
      </c>
      <c r="D49" s="10">
        <f>IF(A49="","",IF($B49=1,Forecast!C49-Setup!$B$5,Forecast!C49))</f>
        <v/>
      </c>
      <c r="E49" s="10">
        <f>IF(A49="","",IF($B49=1,Forecast!D49-Setup!$B$6,Forecast!D49))</f>
        <v/>
      </c>
      <c r="F49" s="10">
        <f>IF(A49="","",IF($B49=1,D49-E49,Forecast!E49))</f>
        <v/>
      </c>
      <c r="G49" s="10">
        <f>IF(A49="","",IF($B49=1,Forecast!F49-Setup!$B$7,Forecast!F49))</f>
        <v/>
      </c>
      <c r="H49" s="10">
        <f>IF(A49="","",IF($B49=1,Forecast!G49-N(Setup!$D$27)*Setup!$B$9/12,Forecast!G49))</f>
        <v/>
      </c>
      <c r="I49" s="10">
        <f>IF(A49="","",IF($B49=1,F49-G49-H49,Forecast!H49))</f>
        <v/>
      </c>
      <c r="J49" s="10">
        <f>IF(A49="","",IF($B49=1,MAX(0,I49)*Setup!$B$10,Forecast!I49))</f>
        <v/>
      </c>
      <c r="K49" s="10">
        <f>IF(A49="","",IF($B49=1,I49-J49,Forecast!J49))</f>
        <v/>
      </c>
      <c r="L49" s="10">
        <f>IF(A49="","",IF($B49=1,K49+G49+Forecast!K49,Forecast!L49))</f>
        <v/>
      </c>
      <c r="M49" s="10">
        <f>IF(A49="","",IF($B49=1,Forecast!M49-Setup!$B$8,Forecast!M49))</f>
        <v/>
      </c>
      <c r="N49" s="10">
        <f>IF(A49="","",IF($B49=1,L49-M49,Forecast!O49))</f>
        <v/>
      </c>
      <c r="O49" s="10">
        <f>IF(A49="","",IF($B49=1,N49-Forecast!N49,Forecast!P49))</f>
        <v/>
      </c>
      <c r="P49" s="10">
        <f>IF(A49="","",(Forecast!$Q$5-Forecast!$P$5)+SUM($O$5:O49))</f>
        <v/>
      </c>
    </row>
    <row r="50">
      <c r="A50" s="5">
        <f>IF(Forecast!A50="","",Forecast!A50)</f>
        <v/>
      </c>
      <c r="B50" s="5">
        <f>IF(A50="","",IF(45&gt;=N(Setup!$C$27),1,0))</f>
        <v/>
      </c>
      <c r="C50" s="10">
        <f>IF(A50="","",IF($B50=1,Forecast!B50-Setup!$B$4,Forecast!B50))</f>
        <v/>
      </c>
      <c r="D50" s="10">
        <f>IF(A50="","",IF($B50=1,Forecast!C50-Setup!$B$5,Forecast!C50))</f>
        <v/>
      </c>
      <c r="E50" s="10">
        <f>IF(A50="","",IF($B50=1,Forecast!D50-Setup!$B$6,Forecast!D50))</f>
        <v/>
      </c>
      <c r="F50" s="10">
        <f>IF(A50="","",IF($B50=1,D50-E50,Forecast!E50))</f>
        <v/>
      </c>
      <c r="G50" s="10">
        <f>IF(A50="","",IF($B50=1,Forecast!F50-Setup!$B$7,Forecast!F50))</f>
        <v/>
      </c>
      <c r="H50" s="10">
        <f>IF(A50="","",IF($B50=1,Forecast!G50-N(Setup!$D$27)*Setup!$B$9/12,Forecast!G50))</f>
        <v/>
      </c>
      <c r="I50" s="10">
        <f>IF(A50="","",IF($B50=1,F50-G50-H50,Forecast!H50))</f>
        <v/>
      </c>
      <c r="J50" s="10">
        <f>IF(A50="","",IF($B50=1,MAX(0,I50)*Setup!$B$10,Forecast!I50))</f>
        <v/>
      </c>
      <c r="K50" s="10">
        <f>IF(A50="","",IF($B50=1,I50-J50,Forecast!J50))</f>
        <v/>
      </c>
      <c r="L50" s="10">
        <f>IF(A50="","",IF($B50=1,K50+G50+Forecast!K50,Forecast!L50))</f>
        <v/>
      </c>
      <c r="M50" s="10">
        <f>IF(A50="","",IF($B50=1,Forecast!M50-Setup!$B$8,Forecast!M50))</f>
        <v/>
      </c>
      <c r="N50" s="10">
        <f>IF(A50="","",IF($B50=1,L50-M50,Forecast!O50))</f>
        <v/>
      </c>
      <c r="O50" s="10">
        <f>IF(A50="","",IF($B50=1,N50-Forecast!N50,Forecast!P50))</f>
        <v/>
      </c>
      <c r="P50" s="10">
        <f>IF(A50="","",(Forecast!$Q$5-Forecast!$P$5)+SUM($O$5:O50))</f>
        <v/>
      </c>
    </row>
    <row r="51">
      <c r="A51" s="5">
        <f>IF(Forecast!A51="","",Forecast!A51)</f>
        <v/>
      </c>
      <c r="B51" s="5">
        <f>IF(A51="","",IF(46&gt;=N(Setup!$C$27),1,0))</f>
        <v/>
      </c>
      <c r="C51" s="10">
        <f>IF(A51="","",IF($B51=1,Forecast!B51-Setup!$B$4,Forecast!B51))</f>
        <v/>
      </c>
      <c r="D51" s="10">
        <f>IF(A51="","",IF($B51=1,Forecast!C51-Setup!$B$5,Forecast!C51))</f>
        <v/>
      </c>
      <c r="E51" s="10">
        <f>IF(A51="","",IF($B51=1,Forecast!D51-Setup!$B$6,Forecast!D51))</f>
        <v/>
      </c>
      <c r="F51" s="10">
        <f>IF(A51="","",IF($B51=1,D51-E51,Forecast!E51))</f>
        <v/>
      </c>
      <c r="G51" s="10">
        <f>IF(A51="","",IF($B51=1,Forecast!F51-Setup!$B$7,Forecast!F51))</f>
        <v/>
      </c>
      <c r="H51" s="10">
        <f>IF(A51="","",IF($B51=1,Forecast!G51-N(Setup!$D$27)*Setup!$B$9/12,Forecast!G51))</f>
        <v/>
      </c>
      <c r="I51" s="10">
        <f>IF(A51="","",IF($B51=1,F51-G51-H51,Forecast!H51))</f>
        <v/>
      </c>
      <c r="J51" s="10">
        <f>IF(A51="","",IF($B51=1,MAX(0,I51)*Setup!$B$10,Forecast!I51))</f>
        <v/>
      </c>
      <c r="K51" s="10">
        <f>IF(A51="","",IF($B51=1,I51-J51,Forecast!J51))</f>
        <v/>
      </c>
      <c r="L51" s="10">
        <f>IF(A51="","",IF($B51=1,K51+G51+Forecast!K51,Forecast!L51))</f>
        <v/>
      </c>
      <c r="M51" s="10">
        <f>IF(A51="","",IF($B51=1,Forecast!M51-Setup!$B$8,Forecast!M51))</f>
        <v/>
      </c>
      <c r="N51" s="10">
        <f>IF(A51="","",IF($B51=1,L51-M51,Forecast!O51))</f>
        <v/>
      </c>
      <c r="O51" s="10">
        <f>IF(A51="","",IF($B51=1,N51-Forecast!N51,Forecast!P51))</f>
        <v/>
      </c>
      <c r="P51" s="10">
        <f>IF(A51="","",(Forecast!$Q$5-Forecast!$P$5)+SUM($O$5:O51))</f>
        <v/>
      </c>
    </row>
    <row r="52">
      <c r="A52" s="5">
        <f>IF(Forecast!A52="","",Forecast!A52)</f>
        <v/>
      </c>
      <c r="B52" s="5">
        <f>IF(A52="","",IF(47&gt;=N(Setup!$C$27),1,0))</f>
        <v/>
      </c>
      <c r="C52" s="10">
        <f>IF(A52="","",IF($B52=1,Forecast!B52-Setup!$B$4,Forecast!B52))</f>
        <v/>
      </c>
      <c r="D52" s="10">
        <f>IF(A52="","",IF($B52=1,Forecast!C52-Setup!$B$5,Forecast!C52))</f>
        <v/>
      </c>
      <c r="E52" s="10">
        <f>IF(A52="","",IF($B52=1,Forecast!D52-Setup!$B$6,Forecast!D52))</f>
        <v/>
      </c>
      <c r="F52" s="10">
        <f>IF(A52="","",IF($B52=1,D52-E52,Forecast!E52))</f>
        <v/>
      </c>
      <c r="G52" s="10">
        <f>IF(A52="","",IF($B52=1,Forecast!F52-Setup!$B$7,Forecast!F52))</f>
        <v/>
      </c>
      <c r="H52" s="10">
        <f>IF(A52="","",IF($B52=1,Forecast!G52-N(Setup!$D$27)*Setup!$B$9/12,Forecast!G52))</f>
        <v/>
      </c>
      <c r="I52" s="10">
        <f>IF(A52="","",IF($B52=1,F52-G52-H52,Forecast!H52))</f>
        <v/>
      </c>
      <c r="J52" s="10">
        <f>IF(A52="","",IF($B52=1,MAX(0,I52)*Setup!$B$10,Forecast!I52))</f>
        <v/>
      </c>
      <c r="K52" s="10">
        <f>IF(A52="","",IF($B52=1,I52-J52,Forecast!J52))</f>
        <v/>
      </c>
      <c r="L52" s="10">
        <f>IF(A52="","",IF($B52=1,K52+G52+Forecast!K52,Forecast!L52))</f>
        <v/>
      </c>
      <c r="M52" s="10">
        <f>IF(A52="","",IF($B52=1,Forecast!M52-Setup!$B$8,Forecast!M52))</f>
        <v/>
      </c>
      <c r="N52" s="10">
        <f>IF(A52="","",IF($B52=1,L52-M52,Forecast!O52))</f>
        <v/>
      </c>
      <c r="O52" s="10">
        <f>IF(A52="","",IF($B52=1,N52-Forecast!N52,Forecast!P52))</f>
        <v/>
      </c>
      <c r="P52" s="10">
        <f>IF(A52="","",(Forecast!$Q$5-Forecast!$P$5)+SUM($O$5:O52))</f>
        <v/>
      </c>
    </row>
    <row r="53">
      <c r="A53" s="5">
        <f>IF(Forecast!A53="","",Forecast!A53)</f>
        <v/>
      </c>
      <c r="B53" s="5">
        <f>IF(A53="","",IF(48&gt;=N(Setup!$C$27),1,0))</f>
        <v/>
      </c>
      <c r="C53" s="10">
        <f>IF(A53="","",IF($B53=1,Forecast!B53-Setup!$B$4,Forecast!B53))</f>
        <v/>
      </c>
      <c r="D53" s="10">
        <f>IF(A53="","",IF($B53=1,Forecast!C53-Setup!$B$5,Forecast!C53))</f>
        <v/>
      </c>
      <c r="E53" s="10">
        <f>IF(A53="","",IF($B53=1,Forecast!D53-Setup!$B$6,Forecast!D53))</f>
        <v/>
      </c>
      <c r="F53" s="10">
        <f>IF(A53="","",IF($B53=1,D53-E53,Forecast!E53))</f>
        <v/>
      </c>
      <c r="G53" s="10">
        <f>IF(A53="","",IF($B53=1,Forecast!F53-Setup!$B$7,Forecast!F53))</f>
        <v/>
      </c>
      <c r="H53" s="10">
        <f>IF(A53="","",IF($B53=1,Forecast!G53-N(Setup!$D$27)*Setup!$B$9/12,Forecast!G53))</f>
        <v/>
      </c>
      <c r="I53" s="10">
        <f>IF(A53="","",IF($B53=1,F53-G53-H53,Forecast!H53))</f>
        <v/>
      </c>
      <c r="J53" s="10">
        <f>IF(A53="","",IF($B53=1,MAX(0,I53)*Setup!$B$10,Forecast!I53))</f>
        <v/>
      </c>
      <c r="K53" s="10">
        <f>IF(A53="","",IF($B53=1,I53-J53,Forecast!J53))</f>
        <v/>
      </c>
      <c r="L53" s="10">
        <f>IF(A53="","",IF($B53=1,K53+G53+Forecast!K53,Forecast!L53))</f>
        <v/>
      </c>
      <c r="M53" s="10">
        <f>IF(A53="","",IF($B53=1,Forecast!M53-Setup!$B$8,Forecast!M53))</f>
        <v/>
      </c>
      <c r="N53" s="10">
        <f>IF(A53="","",IF($B53=1,L53-M53,Forecast!O53))</f>
        <v/>
      </c>
      <c r="O53" s="10">
        <f>IF(A53="","",IF($B53=1,N53-Forecast!N53,Forecast!P53))</f>
        <v/>
      </c>
      <c r="P53" s="10">
        <f>IF(A53="","",(Forecast!$Q$5-Forecast!$P$5)+SUM($O$5:O53))</f>
        <v/>
      </c>
    </row>
    <row r="54">
      <c r="A54" s="5">
        <f>IF(Forecast!A54="","",Forecast!A54)</f>
        <v/>
      </c>
      <c r="B54" s="5">
        <f>IF(A54="","",IF(49&gt;=N(Setup!$C$27),1,0))</f>
        <v/>
      </c>
      <c r="C54" s="10">
        <f>IF(A54="","",IF($B54=1,Forecast!B54-Setup!$B$4,Forecast!B54))</f>
        <v/>
      </c>
      <c r="D54" s="10">
        <f>IF(A54="","",IF($B54=1,Forecast!C54-Setup!$B$5,Forecast!C54))</f>
        <v/>
      </c>
      <c r="E54" s="10">
        <f>IF(A54="","",IF($B54=1,Forecast!D54-Setup!$B$6,Forecast!D54))</f>
        <v/>
      </c>
      <c r="F54" s="10">
        <f>IF(A54="","",IF($B54=1,D54-E54,Forecast!E54))</f>
        <v/>
      </c>
      <c r="G54" s="10">
        <f>IF(A54="","",IF($B54=1,Forecast!F54-Setup!$B$7,Forecast!F54))</f>
        <v/>
      </c>
      <c r="H54" s="10">
        <f>IF(A54="","",IF($B54=1,Forecast!G54-N(Setup!$D$27)*Setup!$B$9/12,Forecast!G54))</f>
        <v/>
      </c>
      <c r="I54" s="10">
        <f>IF(A54="","",IF($B54=1,F54-G54-H54,Forecast!H54))</f>
        <v/>
      </c>
      <c r="J54" s="10">
        <f>IF(A54="","",IF($B54=1,MAX(0,I54)*Setup!$B$10,Forecast!I54))</f>
        <v/>
      </c>
      <c r="K54" s="10">
        <f>IF(A54="","",IF($B54=1,I54-J54,Forecast!J54))</f>
        <v/>
      </c>
      <c r="L54" s="10">
        <f>IF(A54="","",IF($B54=1,K54+G54+Forecast!K54,Forecast!L54))</f>
        <v/>
      </c>
      <c r="M54" s="10">
        <f>IF(A54="","",IF($B54=1,Forecast!M54-Setup!$B$8,Forecast!M54))</f>
        <v/>
      </c>
      <c r="N54" s="10">
        <f>IF(A54="","",IF($B54=1,L54-M54,Forecast!O54))</f>
        <v/>
      </c>
      <c r="O54" s="10">
        <f>IF(A54="","",IF($B54=1,N54-Forecast!N54,Forecast!P54))</f>
        <v/>
      </c>
      <c r="P54" s="10">
        <f>IF(A54="","",(Forecast!$Q$5-Forecast!$P$5)+SUM($O$5:O54))</f>
        <v/>
      </c>
    </row>
    <row r="55">
      <c r="A55" s="5">
        <f>IF(Forecast!A55="","",Forecast!A55)</f>
        <v/>
      </c>
      <c r="B55" s="5">
        <f>IF(A55="","",IF(50&gt;=N(Setup!$C$27),1,0))</f>
        <v/>
      </c>
      <c r="C55" s="10">
        <f>IF(A55="","",IF($B55=1,Forecast!B55-Setup!$B$4,Forecast!B55))</f>
        <v/>
      </c>
      <c r="D55" s="10">
        <f>IF(A55="","",IF($B55=1,Forecast!C55-Setup!$B$5,Forecast!C55))</f>
        <v/>
      </c>
      <c r="E55" s="10">
        <f>IF(A55="","",IF($B55=1,Forecast!D55-Setup!$B$6,Forecast!D55))</f>
        <v/>
      </c>
      <c r="F55" s="10">
        <f>IF(A55="","",IF($B55=1,D55-E55,Forecast!E55))</f>
        <v/>
      </c>
      <c r="G55" s="10">
        <f>IF(A55="","",IF($B55=1,Forecast!F55-Setup!$B$7,Forecast!F55))</f>
        <v/>
      </c>
      <c r="H55" s="10">
        <f>IF(A55="","",IF($B55=1,Forecast!G55-N(Setup!$D$27)*Setup!$B$9/12,Forecast!G55))</f>
        <v/>
      </c>
      <c r="I55" s="10">
        <f>IF(A55="","",IF($B55=1,F55-G55-H55,Forecast!H55))</f>
        <v/>
      </c>
      <c r="J55" s="10">
        <f>IF(A55="","",IF($B55=1,MAX(0,I55)*Setup!$B$10,Forecast!I55))</f>
        <v/>
      </c>
      <c r="K55" s="10">
        <f>IF(A55="","",IF($B55=1,I55-J55,Forecast!J55))</f>
        <v/>
      </c>
      <c r="L55" s="10">
        <f>IF(A55="","",IF($B55=1,K55+G55+Forecast!K55,Forecast!L55))</f>
        <v/>
      </c>
      <c r="M55" s="10">
        <f>IF(A55="","",IF($B55=1,Forecast!M55-Setup!$B$8,Forecast!M55))</f>
        <v/>
      </c>
      <c r="N55" s="10">
        <f>IF(A55="","",IF($B55=1,L55-M55,Forecast!O55))</f>
        <v/>
      </c>
      <c r="O55" s="10">
        <f>IF(A55="","",IF($B55=1,N55-Forecast!N55,Forecast!P55))</f>
        <v/>
      </c>
      <c r="P55" s="10">
        <f>IF(A55="","",(Forecast!$Q$5-Forecast!$P$5)+SUM($O$5:O55))</f>
        <v/>
      </c>
    </row>
    <row r="56">
      <c r="A56" s="5">
        <f>IF(Forecast!A56="","",Forecast!A56)</f>
        <v/>
      </c>
      <c r="B56" s="5">
        <f>IF(A56="","",IF(51&gt;=N(Setup!$C$27),1,0))</f>
        <v/>
      </c>
      <c r="C56" s="10">
        <f>IF(A56="","",IF($B56=1,Forecast!B56-Setup!$B$4,Forecast!B56))</f>
        <v/>
      </c>
      <c r="D56" s="10">
        <f>IF(A56="","",IF($B56=1,Forecast!C56-Setup!$B$5,Forecast!C56))</f>
        <v/>
      </c>
      <c r="E56" s="10">
        <f>IF(A56="","",IF($B56=1,Forecast!D56-Setup!$B$6,Forecast!D56))</f>
        <v/>
      </c>
      <c r="F56" s="10">
        <f>IF(A56="","",IF($B56=1,D56-E56,Forecast!E56))</f>
        <v/>
      </c>
      <c r="G56" s="10">
        <f>IF(A56="","",IF($B56=1,Forecast!F56-Setup!$B$7,Forecast!F56))</f>
        <v/>
      </c>
      <c r="H56" s="10">
        <f>IF(A56="","",IF($B56=1,Forecast!G56-N(Setup!$D$27)*Setup!$B$9/12,Forecast!G56))</f>
        <v/>
      </c>
      <c r="I56" s="10">
        <f>IF(A56="","",IF($B56=1,F56-G56-H56,Forecast!H56))</f>
        <v/>
      </c>
      <c r="J56" s="10">
        <f>IF(A56="","",IF($B56=1,MAX(0,I56)*Setup!$B$10,Forecast!I56))</f>
        <v/>
      </c>
      <c r="K56" s="10">
        <f>IF(A56="","",IF($B56=1,I56-J56,Forecast!J56))</f>
        <v/>
      </c>
      <c r="L56" s="10">
        <f>IF(A56="","",IF($B56=1,K56+G56+Forecast!K56,Forecast!L56))</f>
        <v/>
      </c>
      <c r="M56" s="10">
        <f>IF(A56="","",IF($B56=1,Forecast!M56-Setup!$B$8,Forecast!M56))</f>
        <v/>
      </c>
      <c r="N56" s="10">
        <f>IF(A56="","",IF($B56=1,L56-M56,Forecast!O56))</f>
        <v/>
      </c>
      <c r="O56" s="10">
        <f>IF(A56="","",IF($B56=1,N56-Forecast!N56,Forecast!P56))</f>
        <v/>
      </c>
      <c r="P56" s="10">
        <f>IF(A56="","",(Forecast!$Q$5-Forecast!$P$5)+SUM($O$5:O56))</f>
        <v/>
      </c>
    </row>
    <row r="57">
      <c r="A57" s="5">
        <f>IF(Forecast!A57="","",Forecast!A57)</f>
        <v/>
      </c>
      <c r="B57" s="5">
        <f>IF(A57="","",IF(52&gt;=N(Setup!$C$27),1,0))</f>
        <v/>
      </c>
      <c r="C57" s="10">
        <f>IF(A57="","",IF($B57=1,Forecast!B57-Setup!$B$4,Forecast!B57))</f>
        <v/>
      </c>
      <c r="D57" s="10">
        <f>IF(A57="","",IF($B57=1,Forecast!C57-Setup!$B$5,Forecast!C57))</f>
        <v/>
      </c>
      <c r="E57" s="10">
        <f>IF(A57="","",IF($B57=1,Forecast!D57-Setup!$B$6,Forecast!D57))</f>
        <v/>
      </c>
      <c r="F57" s="10">
        <f>IF(A57="","",IF($B57=1,D57-E57,Forecast!E57))</f>
        <v/>
      </c>
      <c r="G57" s="10">
        <f>IF(A57="","",IF($B57=1,Forecast!F57-Setup!$B$7,Forecast!F57))</f>
        <v/>
      </c>
      <c r="H57" s="10">
        <f>IF(A57="","",IF($B57=1,Forecast!G57-N(Setup!$D$27)*Setup!$B$9/12,Forecast!G57))</f>
        <v/>
      </c>
      <c r="I57" s="10">
        <f>IF(A57="","",IF($B57=1,F57-G57-H57,Forecast!H57))</f>
        <v/>
      </c>
      <c r="J57" s="10">
        <f>IF(A57="","",IF($B57=1,MAX(0,I57)*Setup!$B$10,Forecast!I57))</f>
        <v/>
      </c>
      <c r="K57" s="10">
        <f>IF(A57="","",IF($B57=1,I57-J57,Forecast!J57))</f>
        <v/>
      </c>
      <c r="L57" s="10">
        <f>IF(A57="","",IF($B57=1,K57+G57+Forecast!K57,Forecast!L57))</f>
        <v/>
      </c>
      <c r="M57" s="10">
        <f>IF(A57="","",IF($B57=1,Forecast!M57-Setup!$B$8,Forecast!M57))</f>
        <v/>
      </c>
      <c r="N57" s="10">
        <f>IF(A57="","",IF($B57=1,L57-M57,Forecast!O57))</f>
        <v/>
      </c>
      <c r="O57" s="10">
        <f>IF(A57="","",IF($B57=1,N57-Forecast!N57,Forecast!P57))</f>
        <v/>
      </c>
      <c r="P57" s="10">
        <f>IF(A57="","",(Forecast!$Q$5-Forecast!$P$5)+SUM($O$5:O57))</f>
        <v/>
      </c>
    </row>
    <row r="58">
      <c r="A58" s="5">
        <f>IF(Forecast!A58="","",Forecast!A58)</f>
        <v/>
      </c>
      <c r="B58" s="5">
        <f>IF(A58="","",IF(53&gt;=N(Setup!$C$27),1,0))</f>
        <v/>
      </c>
      <c r="C58" s="10">
        <f>IF(A58="","",IF($B58=1,Forecast!B58-Setup!$B$4,Forecast!B58))</f>
        <v/>
      </c>
      <c r="D58" s="10">
        <f>IF(A58="","",IF($B58=1,Forecast!C58-Setup!$B$5,Forecast!C58))</f>
        <v/>
      </c>
      <c r="E58" s="10">
        <f>IF(A58="","",IF($B58=1,Forecast!D58-Setup!$B$6,Forecast!D58))</f>
        <v/>
      </c>
      <c r="F58" s="10">
        <f>IF(A58="","",IF($B58=1,D58-E58,Forecast!E58))</f>
        <v/>
      </c>
      <c r="G58" s="10">
        <f>IF(A58="","",IF($B58=1,Forecast!F58-Setup!$B$7,Forecast!F58))</f>
        <v/>
      </c>
      <c r="H58" s="10">
        <f>IF(A58="","",IF($B58=1,Forecast!G58-N(Setup!$D$27)*Setup!$B$9/12,Forecast!G58))</f>
        <v/>
      </c>
      <c r="I58" s="10">
        <f>IF(A58="","",IF($B58=1,F58-G58-H58,Forecast!H58))</f>
        <v/>
      </c>
      <c r="J58" s="10">
        <f>IF(A58="","",IF($B58=1,MAX(0,I58)*Setup!$B$10,Forecast!I58))</f>
        <v/>
      </c>
      <c r="K58" s="10">
        <f>IF(A58="","",IF($B58=1,I58-J58,Forecast!J58))</f>
        <v/>
      </c>
      <c r="L58" s="10">
        <f>IF(A58="","",IF($B58=1,K58+G58+Forecast!K58,Forecast!L58))</f>
        <v/>
      </c>
      <c r="M58" s="10">
        <f>IF(A58="","",IF($B58=1,Forecast!M58-Setup!$B$8,Forecast!M58))</f>
        <v/>
      </c>
      <c r="N58" s="10">
        <f>IF(A58="","",IF($B58=1,L58-M58,Forecast!O58))</f>
        <v/>
      </c>
      <c r="O58" s="10">
        <f>IF(A58="","",IF($B58=1,N58-Forecast!N58,Forecast!P58))</f>
        <v/>
      </c>
      <c r="P58" s="10">
        <f>IF(A58="","",(Forecast!$Q$5-Forecast!$P$5)+SUM($O$5:O58))</f>
        <v/>
      </c>
    </row>
    <row r="59">
      <c r="A59" s="5">
        <f>IF(Forecast!A59="","",Forecast!A59)</f>
        <v/>
      </c>
      <c r="B59" s="5">
        <f>IF(A59="","",IF(54&gt;=N(Setup!$C$27),1,0))</f>
        <v/>
      </c>
      <c r="C59" s="10">
        <f>IF(A59="","",IF($B59=1,Forecast!B59-Setup!$B$4,Forecast!B59))</f>
        <v/>
      </c>
      <c r="D59" s="10">
        <f>IF(A59="","",IF($B59=1,Forecast!C59-Setup!$B$5,Forecast!C59))</f>
        <v/>
      </c>
      <c r="E59" s="10">
        <f>IF(A59="","",IF($B59=1,Forecast!D59-Setup!$B$6,Forecast!D59))</f>
        <v/>
      </c>
      <c r="F59" s="10">
        <f>IF(A59="","",IF($B59=1,D59-E59,Forecast!E59))</f>
        <v/>
      </c>
      <c r="G59" s="10">
        <f>IF(A59="","",IF($B59=1,Forecast!F59-Setup!$B$7,Forecast!F59))</f>
        <v/>
      </c>
      <c r="H59" s="10">
        <f>IF(A59="","",IF($B59=1,Forecast!G59-N(Setup!$D$27)*Setup!$B$9/12,Forecast!G59))</f>
        <v/>
      </c>
      <c r="I59" s="10">
        <f>IF(A59="","",IF($B59=1,F59-G59-H59,Forecast!H59))</f>
        <v/>
      </c>
      <c r="J59" s="10">
        <f>IF(A59="","",IF($B59=1,MAX(0,I59)*Setup!$B$10,Forecast!I59))</f>
        <v/>
      </c>
      <c r="K59" s="10">
        <f>IF(A59="","",IF($B59=1,I59-J59,Forecast!J59))</f>
        <v/>
      </c>
      <c r="L59" s="10">
        <f>IF(A59="","",IF($B59=1,K59+G59+Forecast!K59,Forecast!L59))</f>
        <v/>
      </c>
      <c r="M59" s="10">
        <f>IF(A59="","",IF($B59=1,Forecast!M59-Setup!$B$8,Forecast!M59))</f>
        <v/>
      </c>
      <c r="N59" s="10">
        <f>IF(A59="","",IF($B59=1,L59-M59,Forecast!O59))</f>
        <v/>
      </c>
      <c r="O59" s="10">
        <f>IF(A59="","",IF($B59=1,N59-Forecast!N59,Forecast!P59))</f>
        <v/>
      </c>
      <c r="P59" s="10">
        <f>IF(A59="","",(Forecast!$Q$5-Forecast!$P$5)+SUM($O$5:O59))</f>
        <v/>
      </c>
    </row>
    <row r="60">
      <c r="A60" s="5">
        <f>IF(Forecast!A60="","",Forecast!A60)</f>
        <v/>
      </c>
      <c r="B60" s="5">
        <f>IF(A60="","",IF(55&gt;=N(Setup!$C$27),1,0))</f>
        <v/>
      </c>
      <c r="C60" s="10">
        <f>IF(A60="","",IF($B60=1,Forecast!B60-Setup!$B$4,Forecast!B60))</f>
        <v/>
      </c>
      <c r="D60" s="10">
        <f>IF(A60="","",IF($B60=1,Forecast!C60-Setup!$B$5,Forecast!C60))</f>
        <v/>
      </c>
      <c r="E60" s="10">
        <f>IF(A60="","",IF($B60=1,Forecast!D60-Setup!$B$6,Forecast!D60))</f>
        <v/>
      </c>
      <c r="F60" s="10">
        <f>IF(A60="","",IF($B60=1,D60-E60,Forecast!E60))</f>
        <v/>
      </c>
      <c r="G60" s="10">
        <f>IF(A60="","",IF($B60=1,Forecast!F60-Setup!$B$7,Forecast!F60))</f>
        <v/>
      </c>
      <c r="H60" s="10">
        <f>IF(A60="","",IF($B60=1,Forecast!G60-N(Setup!$D$27)*Setup!$B$9/12,Forecast!G60))</f>
        <v/>
      </c>
      <c r="I60" s="10">
        <f>IF(A60="","",IF($B60=1,F60-G60-H60,Forecast!H60))</f>
        <v/>
      </c>
      <c r="J60" s="10">
        <f>IF(A60="","",IF($B60=1,MAX(0,I60)*Setup!$B$10,Forecast!I60))</f>
        <v/>
      </c>
      <c r="K60" s="10">
        <f>IF(A60="","",IF($B60=1,I60-J60,Forecast!J60))</f>
        <v/>
      </c>
      <c r="L60" s="10">
        <f>IF(A60="","",IF($B60=1,K60+G60+Forecast!K60,Forecast!L60))</f>
        <v/>
      </c>
      <c r="M60" s="10">
        <f>IF(A60="","",IF($B60=1,Forecast!M60-Setup!$B$8,Forecast!M60))</f>
        <v/>
      </c>
      <c r="N60" s="10">
        <f>IF(A60="","",IF($B60=1,L60-M60,Forecast!O60))</f>
        <v/>
      </c>
      <c r="O60" s="10">
        <f>IF(A60="","",IF($B60=1,N60-Forecast!N60,Forecast!P60))</f>
        <v/>
      </c>
      <c r="P60" s="10">
        <f>IF(A60="","",(Forecast!$Q$5-Forecast!$P$5)+SUM($O$5:O60))</f>
        <v/>
      </c>
    </row>
    <row r="61">
      <c r="A61" s="5">
        <f>IF(Forecast!A61="","",Forecast!A61)</f>
        <v/>
      </c>
      <c r="B61" s="5">
        <f>IF(A61="","",IF(56&gt;=N(Setup!$C$27),1,0))</f>
        <v/>
      </c>
      <c r="C61" s="10">
        <f>IF(A61="","",IF($B61=1,Forecast!B61-Setup!$B$4,Forecast!B61))</f>
        <v/>
      </c>
      <c r="D61" s="10">
        <f>IF(A61="","",IF($B61=1,Forecast!C61-Setup!$B$5,Forecast!C61))</f>
        <v/>
      </c>
      <c r="E61" s="10">
        <f>IF(A61="","",IF($B61=1,Forecast!D61-Setup!$B$6,Forecast!D61))</f>
        <v/>
      </c>
      <c r="F61" s="10">
        <f>IF(A61="","",IF($B61=1,D61-E61,Forecast!E61))</f>
        <v/>
      </c>
      <c r="G61" s="10">
        <f>IF(A61="","",IF($B61=1,Forecast!F61-Setup!$B$7,Forecast!F61))</f>
        <v/>
      </c>
      <c r="H61" s="10">
        <f>IF(A61="","",IF($B61=1,Forecast!G61-N(Setup!$D$27)*Setup!$B$9/12,Forecast!G61))</f>
        <v/>
      </c>
      <c r="I61" s="10">
        <f>IF(A61="","",IF($B61=1,F61-G61-H61,Forecast!H61))</f>
        <v/>
      </c>
      <c r="J61" s="10">
        <f>IF(A61="","",IF($B61=1,MAX(0,I61)*Setup!$B$10,Forecast!I61))</f>
        <v/>
      </c>
      <c r="K61" s="10">
        <f>IF(A61="","",IF($B61=1,I61-J61,Forecast!J61))</f>
        <v/>
      </c>
      <c r="L61" s="10">
        <f>IF(A61="","",IF($B61=1,K61+G61+Forecast!K61,Forecast!L61))</f>
        <v/>
      </c>
      <c r="M61" s="10">
        <f>IF(A61="","",IF($B61=1,Forecast!M61-Setup!$B$8,Forecast!M61))</f>
        <v/>
      </c>
      <c r="N61" s="10">
        <f>IF(A61="","",IF($B61=1,L61-M61,Forecast!O61))</f>
        <v/>
      </c>
      <c r="O61" s="10">
        <f>IF(A61="","",IF($B61=1,N61-Forecast!N61,Forecast!P61))</f>
        <v/>
      </c>
      <c r="P61" s="10">
        <f>IF(A61="","",(Forecast!$Q$5-Forecast!$P$5)+SUM($O$5:O61))</f>
        <v/>
      </c>
    </row>
    <row r="62">
      <c r="A62" s="5">
        <f>IF(Forecast!A62="","",Forecast!A62)</f>
        <v/>
      </c>
      <c r="B62" s="5">
        <f>IF(A62="","",IF(57&gt;=N(Setup!$C$27),1,0))</f>
        <v/>
      </c>
      <c r="C62" s="10">
        <f>IF(A62="","",IF($B62=1,Forecast!B62-Setup!$B$4,Forecast!B62))</f>
        <v/>
      </c>
      <c r="D62" s="10">
        <f>IF(A62="","",IF($B62=1,Forecast!C62-Setup!$B$5,Forecast!C62))</f>
        <v/>
      </c>
      <c r="E62" s="10">
        <f>IF(A62="","",IF($B62=1,Forecast!D62-Setup!$B$6,Forecast!D62))</f>
        <v/>
      </c>
      <c r="F62" s="10">
        <f>IF(A62="","",IF($B62=1,D62-E62,Forecast!E62))</f>
        <v/>
      </c>
      <c r="G62" s="10">
        <f>IF(A62="","",IF($B62=1,Forecast!F62-Setup!$B$7,Forecast!F62))</f>
        <v/>
      </c>
      <c r="H62" s="10">
        <f>IF(A62="","",IF($B62=1,Forecast!G62-N(Setup!$D$27)*Setup!$B$9/12,Forecast!G62))</f>
        <v/>
      </c>
      <c r="I62" s="10">
        <f>IF(A62="","",IF($B62=1,F62-G62-H62,Forecast!H62))</f>
        <v/>
      </c>
      <c r="J62" s="10">
        <f>IF(A62="","",IF($B62=1,MAX(0,I62)*Setup!$B$10,Forecast!I62))</f>
        <v/>
      </c>
      <c r="K62" s="10">
        <f>IF(A62="","",IF($B62=1,I62-J62,Forecast!J62))</f>
        <v/>
      </c>
      <c r="L62" s="10">
        <f>IF(A62="","",IF($B62=1,K62+G62+Forecast!K62,Forecast!L62))</f>
        <v/>
      </c>
      <c r="M62" s="10">
        <f>IF(A62="","",IF($B62=1,Forecast!M62-Setup!$B$8,Forecast!M62))</f>
        <v/>
      </c>
      <c r="N62" s="10">
        <f>IF(A62="","",IF($B62=1,L62-M62,Forecast!O62))</f>
        <v/>
      </c>
      <c r="O62" s="10">
        <f>IF(A62="","",IF($B62=1,N62-Forecast!N62,Forecast!P62))</f>
        <v/>
      </c>
      <c r="P62" s="10">
        <f>IF(A62="","",(Forecast!$Q$5-Forecast!$P$5)+SUM($O$5:O62))</f>
        <v/>
      </c>
    </row>
    <row r="63">
      <c r="A63" s="5">
        <f>IF(Forecast!A63="","",Forecast!A63)</f>
        <v/>
      </c>
      <c r="B63" s="5">
        <f>IF(A63="","",IF(58&gt;=N(Setup!$C$27),1,0))</f>
        <v/>
      </c>
      <c r="C63" s="10">
        <f>IF(A63="","",IF($B63=1,Forecast!B63-Setup!$B$4,Forecast!B63))</f>
        <v/>
      </c>
      <c r="D63" s="10">
        <f>IF(A63="","",IF($B63=1,Forecast!C63-Setup!$B$5,Forecast!C63))</f>
        <v/>
      </c>
      <c r="E63" s="10">
        <f>IF(A63="","",IF($B63=1,Forecast!D63-Setup!$B$6,Forecast!D63))</f>
        <v/>
      </c>
      <c r="F63" s="10">
        <f>IF(A63="","",IF($B63=1,D63-E63,Forecast!E63))</f>
        <v/>
      </c>
      <c r="G63" s="10">
        <f>IF(A63="","",IF($B63=1,Forecast!F63-Setup!$B$7,Forecast!F63))</f>
        <v/>
      </c>
      <c r="H63" s="10">
        <f>IF(A63="","",IF($B63=1,Forecast!G63-N(Setup!$D$27)*Setup!$B$9/12,Forecast!G63))</f>
        <v/>
      </c>
      <c r="I63" s="10">
        <f>IF(A63="","",IF($B63=1,F63-G63-H63,Forecast!H63))</f>
        <v/>
      </c>
      <c r="J63" s="10">
        <f>IF(A63="","",IF($B63=1,MAX(0,I63)*Setup!$B$10,Forecast!I63))</f>
        <v/>
      </c>
      <c r="K63" s="10">
        <f>IF(A63="","",IF($B63=1,I63-J63,Forecast!J63))</f>
        <v/>
      </c>
      <c r="L63" s="10">
        <f>IF(A63="","",IF($B63=1,K63+G63+Forecast!K63,Forecast!L63))</f>
        <v/>
      </c>
      <c r="M63" s="10">
        <f>IF(A63="","",IF($B63=1,Forecast!M63-Setup!$B$8,Forecast!M63))</f>
        <v/>
      </c>
      <c r="N63" s="10">
        <f>IF(A63="","",IF($B63=1,L63-M63,Forecast!O63))</f>
        <v/>
      </c>
      <c r="O63" s="10">
        <f>IF(A63="","",IF($B63=1,N63-Forecast!N63,Forecast!P63))</f>
        <v/>
      </c>
      <c r="P63" s="10">
        <f>IF(A63="","",(Forecast!$Q$5-Forecast!$P$5)+SUM($O$5:O63))</f>
        <v/>
      </c>
    </row>
    <row r="64">
      <c r="A64" s="5">
        <f>IF(Forecast!A64="","",Forecast!A64)</f>
        <v/>
      </c>
      <c r="B64" s="5">
        <f>IF(A64="","",IF(59&gt;=N(Setup!$C$27),1,0))</f>
        <v/>
      </c>
      <c r="C64" s="10">
        <f>IF(A64="","",IF($B64=1,Forecast!B64-Setup!$B$4,Forecast!B64))</f>
        <v/>
      </c>
      <c r="D64" s="10">
        <f>IF(A64="","",IF($B64=1,Forecast!C64-Setup!$B$5,Forecast!C64))</f>
        <v/>
      </c>
      <c r="E64" s="10">
        <f>IF(A64="","",IF($B64=1,Forecast!D64-Setup!$B$6,Forecast!D64))</f>
        <v/>
      </c>
      <c r="F64" s="10">
        <f>IF(A64="","",IF($B64=1,D64-E64,Forecast!E64))</f>
        <v/>
      </c>
      <c r="G64" s="10">
        <f>IF(A64="","",IF($B64=1,Forecast!F64-Setup!$B$7,Forecast!F64))</f>
        <v/>
      </c>
      <c r="H64" s="10">
        <f>IF(A64="","",IF($B64=1,Forecast!G64-N(Setup!$D$27)*Setup!$B$9/12,Forecast!G64))</f>
        <v/>
      </c>
      <c r="I64" s="10">
        <f>IF(A64="","",IF($B64=1,F64-G64-H64,Forecast!H64))</f>
        <v/>
      </c>
      <c r="J64" s="10">
        <f>IF(A64="","",IF($B64=1,MAX(0,I64)*Setup!$B$10,Forecast!I64))</f>
        <v/>
      </c>
      <c r="K64" s="10">
        <f>IF(A64="","",IF($B64=1,I64-J64,Forecast!J64))</f>
        <v/>
      </c>
      <c r="L64" s="10">
        <f>IF(A64="","",IF($B64=1,K64+G64+Forecast!K64,Forecast!L64))</f>
        <v/>
      </c>
      <c r="M64" s="10">
        <f>IF(A64="","",IF($B64=1,Forecast!M64-Setup!$B$8,Forecast!M64))</f>
        <v/>
      </c>
      <c r="N64" s="10">
        <f>IF(A64="","",IF($B64=1,L64-M64,Forecast!O64))</f>
        <v/>
      </c>
      <c r="O64" s="10">
        <f>IF(A64="","",IF($B64=1,N64-Forecast!N64,Forecast!P64))</f>
        <v/>
      </c>
      <c r="P64" s="10">
        <f>IF(A64="","",(Forecast!$Q$5-Forecast!$P$5)+SUM($O$5:O64))</f>
        <v/>
      </c>
    </row>
    <row r="65">
      <c r="A65" s="5">
        <f>IF(Forecast!A65="","",Forecast!A65)</f>
        <v/>
      </c>
      <c r="B65" s="5">
        <f>IF(A65="","",IF(60&gt;=N(Setup!$C$27),1,0))</f>
        <v/>
      </c>
      <c r="C65" s="10">
        <f>IF(A65="","",IF($B65=1,Forecast!B65-Setup!$B$4,Forecast!B65))</f>
        <v/>
      </c>
      <c r="D65" s="10">
        <f>IF(A65="","",IF($B65=1,Forecast!C65-Setup!$B$5,Forecast!C65))</f>
        <v/>
      </c>
      <c r="E65" s="10">
        <f>IF(A65="","",IF($B65=1,Forecast!D65-Setup!$B$6,Forecast!D65))</f>
        <v/>
      </c>
      <c r="F65" s="10">
        <f>IF(A65="","",IF($B65=1,D65-E65,Forecast!E65))</f>
        <v/>
      </c>
      <c r="G65" s="10">
        <f>IF(A65="","",IF($B65=1,Forecast!F65-Setup!$B$7,Forecast!F65))</f>
        <v/>
      </c>
      <c r="H65" s="10">
        <f>IF(A65="","",IF($B65=1,Forecast!G65-N(Setup!$D$27)*Setup!$B$9/12,Forecast!G65))</f>
        <v/>
      </c>
      <c r="I65" s="10">
        <f>IF(A65="","",IF($B65=1,F65-G65-H65,Forecast!H65))</f>
        <v/>
      </c>
      <c r="J65" s="10">
        <f>IF(A65="","",IF($B65=1,MAX(0,I65)*Setup!$B$10,Forecast!I65))</f>
        <v/>
      </c>
      <c r="K65" s="10">
        <f>IF(A65="","",IF($B65=1,I65-J65,Forecast!J65))</f>
        <v/>
      </c>
      <c r="L65" s="10">
        <f>IF(A65="","",IF($B65=1,K65+G65+Forecast!K65,Forecast!L65))</f>
        <v/>
      </c>
      <c r="M65" s="10">
        <f>IF(A65="","",IF($B65=1,Forecast!M65-Setup!$B$8,Forecast!M65))</f>
        <v/>
      </c>
      <c r="N65" s="10">
        <f>IF(A65="","",IF($B65=1,L65-M65,Forecast!O65))</f>
        <v/>
      </c>
      <c r="O65" s="10">
        <f>IF(A65="","",IF($B65=1,N65-Forecast!N65,Forecast!P65))</f>
        <v/>
      </c>
      <c r="P65" s="10">
        <f>IF(A65="","",(Forecast!$Q$5-Forecast!$P$5)+SUM($O$5:O65))</f>
        <v/>
      </c>
    </row>
    <row r="66">
      <c r="A66" s="5">
        <f>IF(Forecast!A66="","",Forecast!A66)</f>
        <v/>
      </c>
      <c r="B66" s="5">
        <f>IF(A66="","",IF(61&gt;=N(Setup!$C$27),1,0))</f>
        <v/>
      </c>
      <c r="C66" s="10">
        <f>IF(A66="","",IF($B66=1,Forecast!B66-Setup!$B$4,Forecast!B66))</f>
        <v/>
      </c>
      <c r="D66" s="10">
        <f>IF(A66="","",IF($B66=1,Forecast!C66-Setup!$B$5,Forecast!C66))</f>
        <v/>
      </c>
      <c r="E66" s="10">
        <f>IF(A66="","",IF($B66=1,Forecast!D66-Setup!$B$6,Forecast!D66))</f>
        <v/>
      </c>
      <c r="F66" s="10">
        <f>IF(A66="","",IF($B66=1,D66-E66,Forecast!E66))</f>
        <v/>
      </c>
      <c r="G66" s="10">
        <f>IF(A66="","",IF($B66=1,Forecast!F66-Setup!$B$7,Forecast!F66))</f>
        <v/>
      </c>
      <c r="H66" s="10">
        <f>IF(A66="","",IF($B66=1,Forecast!G66-N(Setup!$D$27)*Setup!$B$9/12,Forecast!G66))</f>
        <v/>
      </c>
      <c r="I66" s="10">
        <f>IF(A66="","",IF($B66=1,F66-G66-H66,Forecast!H66))</f>
        <v/>
      </c>
      <c r="J66" s="10">
        <f>IF(A66="","",IF($B66=1,MAX(0,I66)*Setup!$B$10,Forecast!I66))</f>
        <v/>
      </c>
      <c r="K66" s="10">
        <f>IF(A66="","",IF($B66=1,I66-J66,Forecast!J66))</f>
        <v/>
      </c>
      <c r="L66" s="10">
        <f>IF(A66="","",IF($B66=1,K66+G66+Forecast!K66,Forecast!L66))</f>
        <v/>
      </c>
      <c r="M66" s="10">
        <f>IF(A66="","",IF($B66=1,Forecast!M66-Setup!$B$8,Forecast!M66))</f>
        <v/>
      </c>
      <c r="N66" s="10">
        <f>IF(A66="","",IF($B66=1,L66-M66,Forecast!O66))</f>
        <v/>
      </c>
      <c r="O66" s="10">
        <f>IF(A66="","",IF($B66=1,N66-Forecast!N66,Forecast!P66))</f>
        <v/>
      </c>
      <c r="P66" s="10">
        <f>IF(A66="","",(Forecast!$Q$5-Forecast!$P$5)+SUM($O$5:O66))</f>
        <v/>
      </c>
    </row>
    <row r="67">
      <c r="A67" s="5">
        <f>IF(Forecast!A67="","",Forecast!A67)</f>
        <v/>
      </c>
      <c r="B67" s="5">
        <f>IF(A67="","",IF(62&gt;=N(Setup!$C$27),1,0))</f>
        <v/>
      </c>
      <c r="C67" s="10">
        <f>IF(A67="","",IF($B67=1,Forecast!B67-Setup!$B$4,Forecast!B67))</f>
        <v/>
      </c>
      <c r="D67" s="10">
        <f>IF(A67="","",IF($B67=1,Forecast!C67-Setup!$B$5,Forecast!C67))</f>
        <v/>
      </c>
      <c r="E67" s="10">
        <f>IF(A67="","",IF($B67=1,Forecast!D67-Setup!$B$6,Forecast!D67))</f>
        <v/>
      </c>
      <c r="F67" s="10">
        <f>IF(A67="","",IF($B67=1,D67-E67,Forecast!E67))</f>
        <v/>
      </c>
      <c r="G67" s="10">
        <f>IF(A67="","",IF($B67=1,Forecast!F67-Setup!$B$7,Forecast!F67))</f>
        <v/>
      </c>
      <c r="H67" s="10">
        <f>IF(A67="","",IF($B67=1,Forecast!G67-N(Setup!$D$27)*Setup!$B$9/12,Forecast!G67))</f>
        <v/>
      </c>
      <c r="I67" s="10">
        <f>IF(A67="","",IF($B67=1,F67-G67-H67,Forecast!H67))</f>
        <v/>
      </c>
      <c r="J67" s="10">
        <f>IF(A67="","",IF($B67=1,MAX(0,I67)*Setup!$B$10,Forecast!I67))</f>
        <v/>
      </c>
      <c r="K67" s="10">
        <f>IF(A67="","",IF($B67=1,I67-J67,Forecast!J67))</f>
        <v/>
      </c>
      <c r="L67" s="10">
        <f>IF(A67="","",IF($B67=1,K67+G67+Forecast!K67,Forecast!L67))</f>
        <v/>
      </c>
      <c r="M67" s="10">
        <f>IF(A67="","",IF($B67=1,Forecast!M67-Setup!$B$8,Forecast!M67))</f>
        <v/>
      </c>
      <c r="N67" s="10">
        <f>IF(A67="","",IF($B67=1,L67-M67,Forecast!O67))</f>
        <v/>
      </c>
      <c r="O67" s="10">
        <f>IF(A67="","",IF($B67=1,N67-Forecast!N67,Forecast!P67))</f>
        <v/>
      </c>
      <c r="P67" s="10">
        <f>IF(A67="","",(Forecast!$Q$5-Forecast!$P$5)+SUM($O$5:O67))</f>
        <v/>
      </c>
    </row>
    <row r="68">
      <c r="A68" s="5">
        <f>IF(Forecast!A68="","",Forecast!A68)</f>
        <v/>
      </c>
      <c r="B68" s="5">
        <f>IF(A68="","",IF(63&gt;=N(Setup!$C$27),1,0))</f>
        <v/>
      </c>
      <c r="C68" s="10">
        <f>IF(A68="","",IF($B68=1,Forecast!B68-Setup!$B$4,Forecast!B68))</f>
        <v/>
      </c>
      <c r="D68" s="10">
        <f>IF(A68="","",IF($B68=1,Forecast!C68-Setup!$B$5,Forecast!C68))</f>
        <v/>
      </c>
      <c r="E68" s="10">
        <f>IF(A68="","",IF($B68=1,Forecast!D68-Setup!$B$6,Forecast!D68))</f>
        <v/>
      </c>
      <c r="F68" s="10">
        <f>IF(A68="","",IF($B68=1,D68-E68,Forecast!E68))</f>
        <v/>
      </c>
      <c r="G68" s="10">
        <f>IF(A68="","",IF($B68=1,Forecast!F68-Setup!$B$7,Forecast!F68))</f>
        <v/>
      </c>
      <c r="H68" s="10">
        <f>IF(A68="","",IF($B68=1,Forecast!G68-N(Setup!$D$27)*Setup!$B$9/12,Forecast!G68))</f>
        <v/>
      </c>
      <c r="I68" s="10">
        <f>IF(A68="","",IF($B68=1,F68-G68-H68,Forecast!H68))</f>
        <v/>
      </c>
      <c r="J68" s="10">
        <f>IF(A68="","",IF($B68=1,MAX(0,I68)*Setup!$B$10,Forecast!I68))</f>
        <v/>
      </c>
      <c r="K68" s="10">
        <f>IF(A68="","",IF($B68=1,I68-J68,Forecast!J68))</f>
        <v/>
      </c>
      <c r="L68" s="10">
        <f>IF(A68="","",IF($B68=1,K68+G68+Forecast!K68,Forecast!L68))</f>
        <v/>
      </c>
      <c r="M68" s="10">
        <f>IF(A68="","",IF($B68=1,Forecast!M68-Setup!$B$8,Forecast!M68))</f>
        <v/>
      </c>
      <c r="N68" s="10">
        <f>IF(A68="","",IF($B68=1,L68-M68,Forecast!O68))</f>
        <v/>
      </c>
      <c r="O68" s="10">
        <f>IF(A68="","",IF($B68=1,N68-Forecast!N68,Forecast!P68))</f>
        <v/>
      </c>
      <c r="P68" s="10">
        <f>IF(A68="","",(Forecast!$Q$5-Forecast!$P$5)+SUM($O$5:O68))</f>
        <v/>
      </c>
    </row>
    <row r="69">
      <c r="A69" s="5">
        <f>IF(Forecast!A69="","",Forecast!A69)</f>
        <v/>
      </c>
      <c r="B69" s="5">
        <f>IF(A69="","",IF(64&gt;=N(Setup!$C$27),1,0))</f>
        <v/>
      </c>
      <c r="C69" s="10">
        <f>IF(A69="","",IF($B69=1,Forecast!B69-Setup!$B$4,Forecast!B69))</f>
        <v/>
      </c>
      <c r="D69" s="10">
        <f>IF(A69="","",IF($B69=1,Forecast!C69-Setup!$B$5,Forecast!C69))</f>
        <v/>
      </c>
      <c r="E69" s="10">
        <f>IF(A69="","",IF($B69=1,Forecast!D69-Setup!$B$6,Forecast!D69))</f>
        <v/>
      </c>
      <c r="F69" s="10">
        <f>IF(A69="","",IF($B69=1,D69-E69,Forecast!E69))</f>
        <v/>
      </c>
      <c r="G69" s="10">
        <f>IF(A69="","",IF($B69=1,Forecast!F69-Setup!$B$7,Forecast!F69))</f>
        <v/>
      </c>
      <c r="H69" s="10">
        <f>IF(A69="","",IF($B69=1,Forecast!G69-N(Setup!$D$27)*Setup!$B$9/12,Forecast!G69))</f>
        <v/>
      </c>
      <c r="I69" s="10">
        <f>IF(A69="","",IF($B69=1,F69-G69-H69,Forecast!H69))</f>
        <v/>
      </c>
      <c r="J69" s="10">
        <f>IF(A69="","",IF($B69=1,MAX(0,I69)*Setup!$B$10,Forecast!I69))</f>
        <v/>
      </c>
      <c r="K69" s="10">
        <f>IF(A69="","",IF($B69=1,I69-J69,Forecast!J69))</f>
        <v/>
      </c>
      <c r="L69" s="10">
        <f>IF(A69="","",IF($B69=1,K69+G69+Forecast!K69,Forecast!L69))</f>
        <v/>
      </c>
      <c r="M69" s="10">
        <f>IF(A69="","",IF($B69=1,Forecast!M69-Setup!$B$8,Forecast!M69))</f>
        <v/>
      </c>
      <c r="N69" s="10">
        <f>IF(A69="","",IF($B69=1,L69-M69,Forecast!O69))</f>
        <v/>
      </c>
      <c r="O69" s="10">
        <f>IF(A69="","",IF($B69=1,N69-Forecast!N69,Forecast!P69))</f>
        <v/>
      </c>
      <c r="P69" s="10">
        <f>IF(A69="","",(Forecast!$Q$5-Forecast!$P$5)+SUM($O$5:O69))</f>
        <v/>
      </c>
    </row>
    <row r="70">
      <c r="A70" s="5">
        <f>IF(Forecast!A70="","",Forecast!A70)</f>
        <v/>
      </c>
      <c r="B70" s="5">
        <f>IF(A70="","",IF(65&gt;=N(Setup!$C$27),1,0))</f>
        <v/>
      </c>
      <c r="C70" s="10">
        <f>IF(A70="","",IF($B70=1,Forecast!B70-Setup!$B$4,Forecast!B70))</f>
        <v/>
      </c>
      <c r="D70" s="10">
        <f>IF(A70="","",IF($B70=1,Forecast!C70-Setup!$B$5,Forecast!C70))</f>
        <v/>
      </c>
      <c r="E70" s="10">
        <f>IF(A70="","",IF($B70=1,Forecast!D70-Setup!$B$6,Forecast!D70))</f>
        <v/>
      </c>
      <c r="F70" s="10">
        <f>IF(A70="","",IF($B70=1,D70-E70,Forecast!E70))</f>
        <v/>
      </c>
      <c r="G70" s="10">
        <f>IF(A70="","",IF($B70=1,Forecast!F70-Setup!$B$7,Forecast!F70))</f>
        <v/>
      </c>
      <c r="H70" s="10">
        <f>IF(A70="","",IF($B70=1,Forecast!G70-N(Setup!$D$27)*Setup!$B$9/12,Forecast!G70))</f>
        <v/>
      </c>
      <c r="I70" s="10">
        <f>IF(A70="","",IF($B70=1,F70-G70-H70,Forecast!H70))</f>
        <v/>
      </c>
      <c r="J70" s="10">
        <f>IF(A70="","",IF($B70=1,MAX(0,I70)*Setup!$B$10,Forecast!I70))</f>
        <v/>
      </c>
      <c r="K70" s="10">
        <f>IF(A70="","",IF($B70=1,I70-J70,Forecast!J70))</f>
        <v/>
      </c>
      <c r="L70" s="10">
        <f>IF(A70="","",IF($B70=1,K70+G70+Forecast!K70,Forecast!L70))</f>
        <v/>
      </c>
      <c r="M70" s="10">
        <f>IF(A70="","",IF($B70=1,Forecast!M70-Setup!$B$8,Forecast!M70))</f>
        <v/>
      </c>
      <c r="N70" s="10">
        <f>IF(A70="","",IF($B70=1,L70-M70,Forecast!O70))</f>
        <v/>
      </c>
      <c r="O70" s="10">
        <f>IF(A70="","",IF($B70=1,N70-Forecast!N70,Forecast!P70))</f>
        <v/>
      </c>
      <c r="P70" s="10">
        <f>IF(A70="","",(Forecast!$Q$5-Forecast!$P$5)+SUM($O$5:O70))</f>
        <v/>
      </c>
    </row>
    <row r="71">
      <c r="A71" s="5">
        <f>IF(Forecast!A71="","",Forecast!A71)</f>
        <v/>
      </c>
      <c r="B71" s="5">
        <f>IF(A71="","",IF(66&gt;=N(Setup!$C$27),1,0))</f>
        <v/>
      </c>
      <c r="C71" s="10">
        <f>IF(A71="","",IF($B71=1,Forecast!B71-Setup!$B$4,Forecast!B71))</f>
        <v/>
      </c>
      <c r="D71" s="10">
        <f>IF(A71="","",IF($B71=1,Forecast!C71-Setup!$B$5,Forecast!C71))</f>
        <v/>
      </c>
      <c r="E71" s="10">
        <f>IF(A71="","",IF($B71=1,Forecast!D71-Setup!$B$6,Forecast!D71))</f>
        <v/>
      </c>
      <c r="F71" s="10">
        <f>IF(A71="","",IF($B71=1,D71-E71,Forecast!E71))</f>
        <v/>
      </c>
      <c r="G71" s="10">
        <f>IF(A71="","",IF($B71=1,Forecast!F71-Setup!$B$7,Forecast!F71))</f>
        <v/>
      </c>
      <c r="H71" s="10">
        <f>IF(A71="","",IF($B71=1,Forecast!G71-N(Setup!$D$27)*Setup!$B$9/12,Forecast!G71))</f>
        <v/>
      </c>
      <c r="I71" s="10">
        <f>IF(A71="","",IF($B71=1,F71-G71-H71,Forecast!H71))</f>
        <v/>
      </c>
      <c r="J71" s="10">
        <f>IF(A71="","",IF($B71=1,MAX(0,I71)*Setup!$B$10,Forecast!I71))</f>
        <v/>
      </c>
      <c r="K71" s="10">
        <f>IF(A71="","",IF($B71=1,I71-J71,Forecast!J71))</f>
        <v/>
      </c>
      <c r="L71" s="10">
        <f>IF(A71="","",IF($B71=1,K71+G71+Forecast!K71,Forecast!L71))</f>
        <v/>
      </c>
      <c r="M71" s="10">
        <f>IF(A71="","",IF($B71=1,Forecast!M71-Setup!$B$8,Forecast!M71))</f>
        <v/>
      </c>
      <c r="N71" s="10">
        <f>IF(A71="","",IF($B71=1,L71-M71,Forecast!O71))</f>
        <v/>
      </c>
      <c r="O71" s="10">
        <f>IF(A71="","",IF($B71=1,N71-Forecast!N71,Forecast!P71))</f>
        <v/>
      </c>
      <c r="P71" s="10">
        <f>IF(A71="","",(Forecast!$Q$5-Forecast!$P$5)+SUM($O$5:O71))</f>
        <v/>
      </c>
    </row>
    <row r="72">
      <c r="A72" s="5">
        <f>IF(Forecast!A72="","",Forecast!A72)</f>
        <v/>
      </c>
      <c r="B72" s="5">
        <f>IF(A72="","",IF(67&gt;=N(Setup!$C$27),1,0))</f>
        <v/>
      </c>
      <c r="C72" s="10">
        <f>IF(A72="","",IF($B72=1,Forecast!B72-Setup!$B$4,Forecast!B72))</f>
        <v/>
      </c>
      <c r="D72" s="10">
        <f>IF(A72="","",IF($B72=1,Forecast!C72-Setup!$B$5,Forecast!C72))</f>
        <v/>
      </c>
      <c r="E72" s="10">
        <f>IF(A72="","",IF($B72=1,Forecast!D72-Setup!$B$6,Forecast!D72))</f>
        <v/>
      </c>
      <c r="F72" s="10">
        <f>IF(A72="","",IF($B72=1,D72-E72,Forecast!E72))</f>
        <v/>
      </c>
      <c r="G72" s="10">
        <f>IF(A72="","",IF($B72=1,Forecast!F72-Setup!$B$7,Forecast!F72))</f>
        <v/>
      </c>
      <c r="H72" s="10">
        <f>IF(A72="","",IF($B72=1,Forecast!G72-N(Setup!$D$27)*Setup!$B$9/12,Forecast!G72))</f>
        <v/>
      </c>
      <c r="I72" s="10">
        <f>IF(A72="","",IF($B72=1,F72-G72-H72,Forecast!H72))</f>
        <v/>
      </c>
      <c r="J72" s="10">
        <f>IF(A72="","",IF($B72=1,MAX(0,I72)*Setup!$B$10,Forecast!I72))</f>
        <v/>
      </c>
      <c r="K72" s="10">
        <f>IF(A72="","",IF($B72=1,I72-J72,Forecast!J72))</f>
        <v/>
      </c>
      <c r="L72" s="10">
        <f>IF(A72="","",IF($B72=1,K72+G72+Forecast!K72,Forecast!L72))</f>
        <v/>
      </c>
      <c r="M72" s="10">
        <f>IF(A72="","",IF($B72=1,Forecast!M72-Setup!$B$8,Forecast!M72))</f>
        <v/>
      </c>
      <c r="N72" s="10">
        <f>IF(A72="","",IF($B72=1,L72-M72,Forecast!O72))</f>
        <v/>
      </c>
      <c r="O72" s="10">
        <f>IF(A72="","",IF($B72=1,N72-Forecast!N72,Forecast!P72))</f>
        <v/>
      </c>
      <c r="P72" s="10">
        <f>IF(A72="","",(Forecast!$Q$5-Forecast!$P$5)+SUM($O$5:O72))</f>
        <v/>
      </c>
    </row>
    <row r="73">
      <c r="A73" s="5">
        <f>IF(Forecast!A73="","",Forecast!A73)</f>
        <v/>
      </c>
      <c r="B73" s="5">
        <f>IF(A73="","",IF(68&gt;=N(Setup!$C$27),1,0))</f>
        <v/>
      </c>
      <c r="C73" s="10">
        <f>IF(A73="","",IF($B73=1,Forecast!B73-Setup!$B$4,Forecast!B73))</f>
        <v/>
      </c>
      <c r="D73" s="10">
        <f>IF(A73="","",IF($B73=1,Forecast!C73-Setup!$B$5,Forecast!C73))</f>
        <v/>
      </c>
      <c r="E73" s="10">
        <f>IF(A73="","",IF($B73=1,Forecast!D73-Setup!$B$6,Forecast!D73))</f>
        <v/>
      </c>
      <c r="F73" s="10">
        <f>IF(A73="","",IF($B73=1,D73-E73,Forecast!E73))</f>
        <v/>
      </c>
      <c r="G73" s="10">
        <f>IF(A73="","",IF($B73=1,Forecast!F73-Setup!$B$7,Forecast!F73))</f>
        <v/>
      </c>
      <c r="H73" s="10">
        <f>IF(A73="","",IF($B73=1,Forecast!G73-N(Setup!$D$27)*Setup!$B$9/12,Forecast!G73))</f>
        <v/>
      </c>
      <c r="I73" s="10">
        <f>IF(A73="","",IF($B73=1,F73-G73-H73,Forecast!H73))</f>
        <v/>
      </c>
      <c r="J73" s="10">
        <f>IF(A73="","",IF($B73=1,MAX(0,I73)*Setup!$B$10,Forecast!I73))</f>
        <v/>
      </c>
      <c r="K73" s="10">
        <f>IF(A73="","",IF($B73=1,I73-J73,Forecast!J73))</f>
        <v/>
      </c>
      <c r="L73" s="10">
        <f>IF(A73="","",IF($B73=1,K73+G73+Forecast!K73,Forecast!L73))</f>
        <v/>
      </c>
      <c r="M73" s="10">
        <f>IF(A73="","",IF($B73=1,Forecast!M73-Setup!$B$8,Forecast!M73))</f>
        <v/>
      </c>
      <c r="N73" s="10">
        <f>IF(A73="","",IF($B73=1,L73-M73,Forecast!O73))</f>
        <v/>
      </c>
      <c r="O73" s="10">
        <f>IF(A73="","",IF($B73=1,N73-Forecast!N73,Forecast!P73))</f>
        <v/>
      </c>
      <c r="P73" s="10">
        <f>IF(A73="","",(Forecast!$Q$5-Forecast!$P$5)+SUM($O$5:O73))</f>
        <v/>
      </c>
    </row>
    <row r="74">
      <c r="A74" s="5">
        <f>IF(Forecast!A74="","",Forecast!A74)</f>
        <v/>
      </c>
      <c r="B74" s="5">
        <f>IF(A74="","",IF(69&gt;=N(Setup!$C$27),1,0))</f>
        <v/>
      </c>
      <c r="C74" s="10">
        <f>IF(A74="","",IF($B74=1,Forecast!B74-Setup!$B$4,Forecast!B74))</f>
        <v/>
      </c>
      <c r="D74" s="10">
        <f>IF(A74="","",IF($B74=1,Forecast!C74-Setup!$B$5,Forecast!C74))</f>
        <v/>
      </c>
      <c r="E74" s="10">
        <f>IF(A74="","",IF($B74=1,Forecast!D74-Setup!$B$6,Forecast!D74))</f>
        <v/>
      </c>
      <c r="F74" s="10">
        <f>IF(A74="","",IF($B74=1,D74-E74,Forecast!E74))</f>
        <v/>
      </c>
      <c r="G74" s="10">
        <f>IF(A74="","",IF($B74=1,Forecast!F74-Setup!$B$7,Forecast!F74))</f>
        <v/>
      </c>
      <c r="H74" s="10">
        <f>IF(A74="","",IF($B74=1,Forecast!G74-N(Setup!$D$27)*Setup!$B$9/12,Forecast!G74))</f>
        <v/>
      </c>
      <c r="I74" s="10">
        <f>IF(A74="","",IF($B74=1,F74-G74-H74,Forecast!H74))</f>
        <v/>
      </c>
      <c r="J74" s="10">
        <f>IF(A74="","",IF($B74=1,MAX(0,I74)*Setup!$B$10,Forecast!I74))</f>
        <v/>
      </c>
      <c r="K74" s="10">
        <f>IF(A74="","",IF($B74=1,I74-J74,Forecast!J74))</f>
        <v/>
      </c>
      <c r="L74" s="10">
        <f>IF(A74="","",IF($B74=1,K74+G74+Forecast!K74,Forecast!L74))</f>
        <v/>
      </c>
      <c r="M74" s="10">
        <f>IF(A74="","",IF($B74=1,Forecast!M74-Setup!$B$8,Forecast!M74))</f>
        <v/>
      </c>
      <c r="N74" s="10">
        <f>IF(A74="","",IF($B74=1,L74-M74,Forecast!O74))</f>
        <v/>
      </c>
      <c r="O74" s="10">
        <f>IF(A74="","",IF($B74=1,N74-Forecast!N74,Forecast!P74))</f>
        <v/>
      </c>
      <c r="P74" s="10">
        <f>IF(A74="","",(Forecast!$Q$5-Forecast!$P$5)+SUM($O$5:O74))</f>
        <v/>
      </c>
    </row>
    <row r="75">
      <c r="A75" s="5">
        <f>IF(Forecast!A75="","",Forecast!A75)</f>
        <v/>
      </c>
      <c r="B75" s="5">
        <f>IF(A75="","",IF(70&gt;=N(Setup!$C$27),1,0))</f>
        <v/>
      </c>
      <c r="C75" s="10">
        <f>IF(A75="","",IF($B75=1,Forecast!B75-Setup!$B$4,Forecast!B75))</f>
        <v/>
      </c>
      <c r="D75" s="10">
        <f>IF(A75="","",IF($B75=1,Forecast!C75-Setup!$B$5,Forecast!C75))</f>
        <v/>
      </c>
      <c r="E75" s="10">
        <f>IF(A75="","",IF($B75=1,Forecast!D75-Setup!$B$6,Forecast!D75))</f>
        <v/>
      </c>
      <c r="F75" s="10">
        <f>IF(A75="","",IF($B75=1,D75-E75,Forecast!E75))</f>
        <v/>
      </c>
      <c r="G75" s="10">
        <f>IF(A75="","",IF($B75=1,Forecast!F75-Setup!$B$7,Forecast!F75))</f>
        <v/>
      </c>
      <c r="H75" s="10">
        <f>IF(A75="","",IF($B75=1,Forecast!G75-N(Setup!$D$27)*Setup!$B$9/12,Forecast!G75))</f>
        <v/>
      </c>
      <c r="I75" s="10">
        <f>IF(A75="","",IF($B75=1,F75-G75-H75,Forecast!H75))</f>
        <v/>
      </c>
      <c r="J75" s="10">
        <f>IF(A75="","",IF($B75=1,MAX(0,I75)*Setup!$B$10,Forecast!I75))</f>
        <v/>
      </c>
      <c r="K75" s="10">
        <f>IF(A75="","",IF($B75=1,I75-J75,Forecast!J75))</f>
        <v/>
      </c>
      <c r="L75" s="10">
        <f>IF(A75="","",IF($B75=1,K75+G75+Forecast!K75,Forecast!L75))</f>
        <v/>
      </c>
      <c r="M75" s="10">
        <f>IF(A75="","",IF($B75=1,Forecast!M75-Setup!$B$8,Forecast!M75))</f>
        <v/>
      </c>
      <c r="N75" s="10">
        <f>IF(A75="","",IF($B75=1,L75-M75,Forecast!O75))</f>
        <v/>
      </c>
      <c r="O75" s="10">
        <f>IF(A75="","",IF($B75=1,N75-Forecast!N75,Forecast!P75))</f>
        <v/>
      </c>
      <c r="P75" s="10">
        <f>IF(A75="","",(Forecast!$Q$5-Forecast!$P$5)+SUM($O$5:O75))</f>
        <v/>
      </c>
    </row>
    <row r="76">
      <c r="A76" s="5">
        <f>IF(Forecast!A76="","",Forecast!A76)</f>
        <v/>
      </c>
      <c r="B76" s="5">
        <f>IF(A76="","",IF(71&gt;=N(Setup!$C$27),1,0))</f>
        <v/>
      </c>
      <c r="C76" s="10">
        <f>IF(A76="","",IF($B76=1,Forecast!B76-Setup!$B$4,Forecast!B76))</f>
        <v/>
      </c>
      <c r="D76" s="10">
        <f>IF(A76="","",IF($B76=1,Forecast!C76-Setup!$B$5,Forecast!C76))</f>
        <v/>
      </c>
      <c r="E76" s="10">
        <f>IF(A76="","",IF($B76=1,Forecast!D76-Setup!$B$6,Forecast!D76))</f>
        <v/>
      </c>
      <c r="F76" s="10">
        <f>IF(A76="","",IF($B76=1,D76-E76,Forecast!E76))</f>
        <v/>
      </c>
      <c r="G76" s="10">
        <f>IF(A76="","",IF($B76=1,Forecast!F76-Setup!$B$7,Forecast!F76))</f>
        <v/>
      </c>
      <c r="H76" s="10">
        <f>IF(A76="","",IF($B76=1,Forecast!G76-N(Setup!$D$27)*Setup!$B$9/12,Forecast!G76))</f>
        <v/>
      </c>
      <c r="I76" s="10">
        <f>IF(A76="","",IF($B76=1,F76-G76-H76,Forecast!H76))</f>
        <v/>
      </c>
      <c r="J76" s="10">
        <f>IF(A76="","",IF($B76=1,MAX(0,I76)*Setup!$B$10,Forecast!I76))</f>
        <v/>
      </c>
      <c r="K76" s="10">
        <f>IF(A76="","",IF($B76=1,I76-J76,Forecast!J76))</f>
        <v/>
      </c>
      <c r="L76" s="10">
        <f>IF(A76="","",IF($B76=1,K76+G76+Forecast!K76,Forecast!L76))</f>
        <v/>
      </c>
      <c r="M76" s="10">
        <f>IF(A76="","",IF($B76=1,Forecast!M76-Setup!$B$8,Forecast!M76))</f>
        <v/>
      </c>
      <c r="N76" s="10">
        <f>IF(A76="","",IF($B76=1,L76-M76,Forecast!O76))</f>
        <v/>
      </c>
      <c r="O76" s="10">
        <f>IF(A76="","",IF($B76=1,N76-Forecast!N76,Forecast!P76))</f>
        <v/>
      </c>
      <c r="P76" s="10">
        <f>IF(A76="","",(Forecast!$Q$5-Forecast!$P$5)+SUM($O$5:O76))</f>
        <v/>
      </c>
    </row>
    <row r="77">
      <c r="A77" s="5">
        <f>IF(Forecast!A77="","",Forecast!A77)</f>
        <v/>
      </c>
      <c r="B77" s="5">
        <f>IF(A77="","",IF(72&gt;=N(Setup!$C$27),1,0))</f>
        <v/>
      </c>
      <c r="C77" s="10">
        <f>IF(A77="","",IF($B77=1,Forecast!B77-Setup!$B$4,Forecast!B77))</f>
        <v/>
      </c>
      <c r="D77" s="10">
        <f>IF(A77="","",IF($B77=1,Forecast!C77-Setup!$B$5,Forecast!C77))</f>
        <v/>
      </c>
      <c r="E77" s="10">
        <f>IF(A77="","",IF($B77=1,Forecast!D77-Setup!$B$6,Forecast!D77))</f>
        <v/>
      </c>
      <c r="F77" s="10">
        <f>IF(A77="","",IF($B77=1,D77-E77,Forecast!E77))</f>
        <v/>
      </c>
      <c r="G77" s="10">
        <f>IF(A77="","",IF($B77=1,Forecast!F77-Setup!$B$7,Forecast!F77))</f>
        <v/>
      </c>
      <c r="H77" s="10">
        <f>IF(A77="","",IF($B77=1,Forecast!G77-N(Setup!$D$27)*Setup!$B$9/12,Forecast!G77))</f>
        <v/>
      </c>
      <c r="I77" s="10">
        <f>IF(A77="","",IF($B77=1,F77-G77-H77,Forecast!H77))</f>
        <v/>
      </c>
      <c r="J77" s="10">
        <f>IF(A77="","",IF($B77=1,MAX(0,I77)*Setup!$B$10,Forecast!I77))</f>
        <v/>
      </c>
      <c r="K77" s="10">
        <f>IF(A77="","",IF($B77=1,I77-J77,Forecast!J77))</f>
        <v/>
      </c>
      <c r="L77" s="10">
        <f>IF(A77="","",IF($B77=1,K77+G77+Forecast!K77,Forecast!L77))</f>
        <v/>
      </c>
      <c r="M77" s="10">
        <f>IF(A77="","",IF($B77=1,Forecast!M77-Setup!$B$8,Forecast!M77))</f>
        <v/>
      </c>
      <c r="N77" s="10">
        <f>IF(A77="","",IF($B77=1,L77-M77,Forecast!O77))</f>
        <v/>
      </c>
      <c r="O77" s="10">
        <f>IF(A77="","",IF($B77=1,N77-Forecast!N77,Forecast!P77))</f>
        <v/>
      </c>
      <c r="P77" s="10">
        <f>IF(A77="","",(Forecast!$Q$5-Forecast!$P$5)+SUM($O$5:O77))</f>
        <v/>
      </c>
    </row>
    <row r="78">
      <c r="A78" s="5">
        <f>IF(Forecast!A78="","",Forecast!A78)</f>
        <v/>
      </c>
      <c r="B78" s="5">
        <f>IF(A78="","",IF(73&gt;=N(Setup!$C$27),1,0))</f>
        <v/>
      </c>
      <c r="C78" s="10">
        <f>IF(A78="","",IF($B78=1,Forecast!B78-Setup!$B$4,Forecast!B78))</f>
        <v/>
      </c>
      <c r="D78" s="10">
        <f>IF(A78="","",IF($B78=1,Forecast!C78-Setup!$B$5,Forecast!C78))</f>
        <v/>
      </c>
      <c r="E78" s="10">
        <f>IF(A78="","",IF($B78=1,Forecast!D78-Setup!$B$6,Forecast!D78))</f>
        <v/>
      </c>
      <c r="F78" s="10">
        <f>IF(A78="","",IF($B78=1,D78-E78,Forecast!E78))</f>
        <v/>
      </c>
      <c r="G78" s="10">
        <f>IF(A78="","",IF($B78=1,Forecast!F78-Setup!$B$7,Forecast!F78))</f>
        <v/>
      </c>
      <c r="H78" s="10">
        <f>IF(A78="","",IF($B78=1,Forecast!G78-N(Setup!$D$27)*Setup!$B$9/12,Forecast!G78))</f>
        <v/>
      </c>
      <c r="I78" s="10">
        <f>IF(A78="","",IF($B78=1,F78-G78-H78,Forecast!H78))</f>
        <v/>
      </c>
      <c r="J78" s="10">
        <f>IF(A78="","",IF($B78=1,MAX(0,I78)*Setup!$B$10,Forecast!I78))</f>
        <v/>
      </c>
      <c r="K78" s="10">
        <f>IF(A78="","",IF($B78=1,I78-J78,Forecast!J78))</f>
        <v/>
      </c>
      <c r="L78" s="10">
        <f>IF(A78="","",IF($B78=1,K78+G78+Forecast!K78,Forecast!L78))</f>
        <v/>
      </c>
      <c r="M78" s="10">
        <f>IF(A78="","",IF($B78=1,Forecast!M78-Setup!$B$8,Forecast!M78))</f>
        <v/>
      </c>
      <c r="N78" s="10">
        <f>IF(A78="","",IF($B78=1,L78-M78,Forecast!O78))</f>
        <v/>
      </c>
      <c r="O78" s="10">
        <f>IF(A78="","",IF($B78=1,N78-Forecast!N78,Forecast!P78))</f>
        <v/>
      </c>
      <c r="P78" s="10">
        <f>IF(A78="","",(Forecast!$Q$5-Forecast!$P$5)+SUM($O$5:O78))</f>
        <v/>
      </c>
    </row>
    <row r="79">
      <c r="A79" s="5">
        <f>IF(Forecast!A79="","",Forecast!A79)</f>
        <v/>
      </c>
      <c r="B79" s="5">
        <f>IF(A79="","",IF(74&gt;=N(Setup!$C$27),1,0))</f>
        <v/>
      </c>
      <c r="C79" s="10">
        <f>IF(A79="","",IF($B79=1,Forecast!B79-Setup!$B$4,Forecast!B79))</f>
        <v/>
      </c>
      <c r="D79" s="10">
        <f>IF(A79="","",IF($B79=1,Forecast!C79-Setup!$B$5,Forecast!C79))</f>
        <v/>
      </c>
      <c r="E79" s="10">
        <f>IF(A79="","",IF($B79=1,Forecast!D79-Setup!$B$6,Forecast!D79))</f>
        <v/>
      </c>
      <c r="F79" s="10">
        <f>IF(A79="","",IF($B79=1,D79-E79,Forecast!E79))</f>
        <v/>
      </c>
      <c r="G79" s="10">
        <f>IF(A79="","",IF($B79=1,Forecast!F79-Setup!$B$7,Forecast!F79))</f>
        <v/>
      </c>
      <c r="H79" s="10">
        <f>IF(A79="","",IF($B79=1,Forecast!G79-N(Setup!$D$27)*Setup!$B$9/12,Forecast!G79))</f>
        <v/>
      </c>
      <c r="I79" s="10">
        <f>IF(A79="","",IF($B79=1,F79-G79-H79,Forecast!H79))</f>
        <v/>
      </c>
      <c r="J79" s="10">
        <f>IF(A79="","",IF($B79=1,MAX(0,I79)*Setup!$B$10,Forecast!I79))</f>
        <v/>
      </c>
      <c r="K79" s="10">
        <f>IF(A79="","",IF($B79=1,I79-J79,Forecast!J79))</f>
        <v/>
      </c>
      <c r="L79" s="10">
        <f>IF(A79="","",IF($B79=1,K79+G79+Forecast!K79,Forecast!L79))</f>
        <v/>
      </c>
      <c r="M79" s="10">
        <f>IF(A79="","",IF($B79=1,Forecast!M79-Setup!$B$8,Forecast!M79))</f>
        <v/>
      </c>
      <c r="N79" s="10">
        <f>IF(A79="","",IF($B79=1,L79-M79,Forecast!O79))</f>
        <v/>
      </c>
      <c r="O79" s="10">
        <f>IF(A79="","",IF($B79=1,N79-Forecast!N79,Forecast!P79))</f>
        <v/>
      </c>
      <c r="P79" s="10">
        <f>IF(A79="","",(Forecast!$Q$5-Forecast!$P$5)+SUM($O$5:O79))</f>
        <v/>
      </c>
    </row>
    <row r="80">
      <c r="A80" s="5">
        <f>IF(Forecast!A80="","",Forecast!A80)</f>
        <v/>
      </c>
      <c r="B80" s="5">
        <f>IF(A80="","",IF(75&gt;=N(Setup!$C$27),1,0))</f>
        <v/>
      </c>
      <c r="C80" s="10">
        <f>IF(A80="","",IF($B80=1,Forecast!B80-Setup!$B$4,Forecast!B80))</f>
        <v/>
      </c>
      <c r="D80" s="10">
        <f>IF(A80="","",IF($B80=1,Forecast!C80-Setup!$B$5,Forecast!C80))</f>
        <v/>
      </c>
      <c r="E80" s="10">
        <f>IF(A80="","",IF($B80=1,Forecast!D80-Setup!$B$6,Forecast!D80))</f>
        <v/>
      </c>
      <c r="F80" s="10">
        <f>IF(A80="","",IF($B80=1,D80-E80,Forecast!E80))</f>
        <v/>
      </c>
      <c r="G80" s="10">
        <f>IF(A80="","",IF($B80=1,Forecast!F80-Setup!$B$7,Forecast!F80))</f>
        <v/>
      </c>
      <c r="H80" s="10">
        <f>IF(A80="","",IF($B80=1,Forecast!G80-N(Setup!$D$27)*Setup!$B$9/12,Forecast!G80))</f>
        <v/>
      </c>
      <c r="I80" s="10">
        <f>IF(A80="","",IF($B80=1,F80-G80-H80,Forecast!H80))</f>
        <v/>
      </c>
      <c r="J80" s="10">
        <f>IF(A80="","",IF($B80=1,MAX(0,I80)*Setup!$B$10,Forecast!I80))</f>
        <v/>
      </c>
      <c r="K80" s="10">
        <f>IF(A80="","",IF($B80=1,I80-J80,Forecast!J80))</f>
        <v/>
      </c>
      <c r="L80" s="10">
        <f>IF(A80="","",IF($B80=1,K80+G80+Forecast!K80,Forecast!L80))</f>
        <v/>
      </c>
      <c r="M80" s="10">
        <f>IF(A80="","",IF($B80=1,Forecast!M80-Setup!$B$8,Forecast!M80))</f>
        <v/>
      </c>
      <c r="N80" s="10">
        <f>IF(A80="","",IF($B80=1,L80-M80,Forecast!O80))</f>
        <v/>
      </c>
      <c r="O80" s="10">
        <f>IF(A80="","",IF($B80=1,N80-Forecast!N80,Forecast!P80))</f>
        <v/>
      </c>
      <c r="P80" s="10">
        <f>IF(A80="","",(Forecast!$Q$5-Forecast!$P$5)+SUM($O$5:O80))</f>
        <v/>
      </c>
    </row>
    <row r="81">
      <c r="A81" s="5">
        <f>IF(Forecast!A81="","",Forecast!A81)</f>
        <v/>
      </c>
      <c r="B81" s="5">
        <f>IF(A81="","",IF(76&gt;=N(Setup!$C$27),1,0))</f>
        <v/>
      </c>
      <c r="C81" s="10">
        <f>IF(A81="","",IF($B81=1,Forecast!B81-Setup!$B$4,Forecast!B81))</f>
        <v/>
      </c>
      <c r="D81" s="10">
        <f>IF(A81="","",IF($B81=1,Forecast!C81-Setup!$B$5,Forecast!C81))</f>
        <v/>
      </c>
      <c r="E81" s="10">
        <f>IF(A81="","",IF($B81=1,Forecast!D81-Setup!$B$6,Forecast!D81))</f>
        <v/>
      </c>
      <c r="F81" s="10">
        <f>IF(A81="","",IF($B81=1,D81-E81,Forecast!E81))</f>
        <v/>
      </c>
      <c r="G81" s="10">
        <f>IF(A81="","",IF($B81=1,Forecast!F81-Setup!$B$7,Forecast!F81))</f>
        <v/>
      </c>
      <c r="H81" s="10">
        <f>IF(A81="","",IF($B81=1,Forecast!G81-N(Setup!$D$27)*Setup!$B$9/12,Forecast!G81))</f>
        <v/>
      </c>
      <c r="I81" s="10">
        <f>IF(A81="","",IF($B81=1,F81-G81-H81,Forecast!H81))</f>
        <v/>
      </c>
      <c r="J81" s="10">
        <f>IF(A81="","",IF($B81=1,MAX(0,I81)*Setup!$B$10,Forecast!I81))</f>
        <v/>
      </c>
      <c r="K81" s="10">
        <f>IF(A81="","",IF($B81=1,I81-J81,Forecast!J81))</f>
        <v/>
      </c>
      <c r="L81" s="10">
        <f>IF(A81="","",IF($B81=1,K81+G81+Forecast!K81,Forecast!L81))</f>
        <v/>
      </c>
      <c r="M81" s="10">
        <f>IF(A81="","",IF($B81=1,Forecast!M81-Setup!$B$8,Forecast!M81))</f>
        <v/>
      </c>
      <c r="N81" s="10">
        <f>IF(A81="","",IF($B81=1,L81-M81,Forecast!O81))</f>
        <v/>
      </c>
      <c r="O81" s="10">
        <f>IF(A81="","",IF($B81=1,N81-Forecast!N81,Forecast!P81))</f>
        <v/>
      </c>
      <c r="P81" s="10">
        <f>IF(A81="","",(Forecast!$Q$5-Forecast!$P$5)+SUM($O$5:O81))</f>
        <v/>
      </c>
    </row>
    <row r="82">
      <c r="A82" s="5">
        <f>IF(Forecast!A82="","",Forecast!A82)</f>
        <v/>
      </c>
      <c r="B82" s="5">
        <f>IF(A82="","",IF(77&gt;=N(Setup!$C$27),1,0))</f>
        <v/>
      </c>
      <c r="C82" s="10">
        <f>IF(A82="","",IF($B82=1,Forecast!B82-Setup!$B$4,Forecast!B82))</f>
        <v/>
      </c>
      <c r="D82" s="10">
        <f>IF(A82="","",IF($B82=1,Forecast!C82-Setup!$B$5,Forecast!C82))</f>
        <v/>
      </c>
      <c r="E82" s="10">
        <f>IF(A82="","",IF($B82=1,Forecast!D82-Setup!$B$6,Forecast!D82))</f>
        <v/>
      </c>
      <c r="F82" s="10">
        <f>IF(A82="","",IF($B82=1,D82-E82,Forecast!E82))</f>
        <v/>
      </c>
      <c r="G82" s="10">
        <f>IF(A82="","",IF($B82=1,Forecast!F82-Setup!$B$7,Forecast!F82))</f>
        <v/>
      </c>
      <c r="H82" s="10">
        <f>IF(A82="","",IF($B82=1,Forecast!G82-N(Setup!$D$27)*Setup!$B$9/12,Forecast!G82))</f>
        <v/>
      </c>
      <c r="I82" s="10">
        <f>IF(A82="","",IF($B82=1,F82-G82-H82,Forecast!H82))</f>
        <v/>
      </c>
      <c r="J82" s="10">
        <f>IF(A82="","",IF($B82=1,MAX(0,I82)*Setup!$B$10,Forecast!I82))</f>
        <v/>
      </c>
      <c r="K82" s="10">
        <f>IF(A82="","",IF($B82=1,I82-J82,Forecast!J82))</f>
        <v/>
      </c>
      <c r="L82" s="10">
        <f>IF(A82="","",IF($B82=1,K82+G82+Forecast!K82,Forecast!L82))</f>
        <v/>
      </c>
      <c r="M82" s="10">
        <f>IF(A82="","",IF($B82=1,Forecast!M82-Setup!$B$8,Forecast!M82))</f>
        <v/>
      </c>
      <c r="N82" s="10">
        <f>IF(A82="","",IF($B82=1,L82-M82,Forecast!O82))</f>
        <v/>
      </c>
      <c r="O82" s="10">
        <f>IF(A82="","",IF($B82=1,N82-Forecast!N82,Forecast!P82))</f>
        <v/>
      </c>
      <c r="P82" s="10">
        <f>IF(A82="","",(Forecast!$Q$5-Forecast!$P$5)+SUM($O$5:O82))</f>
        <v/>
      </c>
    </row>
    <row r="83">
      <c r="A83" s="5">
        <f>IF(Forecast!A83="","",Forecast!A83)</f>
        <v/>
      </c>
      <c r="B83" s="5">
        <f>IF(A83="","",IF(78&gt;=N(Setup!$C$27),1,0))</f>
        <v/>
      </c>
      <c r="C83" s="10">
        <f>IF(A83="","",IF($B83=1,Forecast!B83-Setup!$B$4,Forecast!B83))</f>
        <v/>
      </c>
      <c r="D83" s="10">
        <f>IF(A83="","",IF($B83=1,Forecast!C83-Setup!$B$5,Forecast!C83))</f>
        <v/>
      </c>
      <c r="E83" s="10">
        <f>IF(A83="","",IF($B83=1,Forecast!D83-Setup!$B$6,Forecast!D83))</f>
        <v/>
      </c>
      <c r="F83" s="10">
        <f>IF(A83="","",IF($B83=1,D83-E83,Forecast!E83))</f>
        <v/>
      </c>
      <c r="G83" s="10">
        <f>IF(A83="","",IF($B83=1,Forecast!F83-Setup!$B$7,Forecast!F83))</f>
        <v/>
      </c>
      <c r="H83" s="10">
        <f>IF(A83="","",IF($B83=1,Forecast!G83-N(Setup!$D$27)*Setup!$B$9/12,Forecast!G83))</f>
        <v/>
      </c>
      <c r="I83" s="10">
        <f>IF(A83="","",IF($B83=1,F83-G83-H83,Forecast!H83))</f>
        <v/>
      </c>
      <c r="J83" s="10">
        <f>IF(A83="","",IF($B83=1,MAX(0,I83)*Setup!$B$10,Forecast!I83))</f>
        <v/>
      </c>
      <c r="K83" s="10">
        <f>IF(A83="","",IF($B83=1,I83-J83,Forecast!J83))</f>
        <v/>
      </c>
      <c r="L83" s="10">
        <f>IF(A83="","",IF($B83=1,K83+G83+Forecast!K83,Forecast!L83))</f>
        <v/>
      </c>
      <c r="M83" s="10">
        <f>IF(A83="","",IF($B83=1,Forecast!M83-Setup!$B$8,Forecast!M83))</f>
        <v/>
      </c>
      <c r="N83" s="10">
        <f>IF(A83="","",IF($B83=1,L83-M83,Forecast!O83))</f>
        <v/>
      </c>
      <c r="O83" s="10">
        <f>IF(A83="","",IF($B83=1,N83-Forecast!N83,Forecast!P83))</f>
        <v/>
      </c>
      <c r="P83" s="10">
        <f>IF(A83="","",(Forecast!$Q$5-Forecast!$P$5)+SUM($O$5:O83))</f>
        <v/>
      </c>
    </row>
    <row r="84">
      <c r="A84" s="5">
        <f>IF(Forecast!A84="","",Forecast!A84)</f>
        <v/>
      </c>
      <c r="B84" s="5">
        <f>IF(A84="","",IF(79&gt;=N(Setup!$C$27),1,0))</f>
        <v/>
      </c>
      <c r="C84" s="10">
        <f>IF(A84="","",IF($B84=1,Forecast!B84-Setup!$B$4,Forecast!B84))</f>
        <v/>
      </c>
      <c r="D84" s="10">
        <f>IF(A84="","",IF($B84=1,Forecast!C84-Setup!$B$5,Forecast!C84))</f>
        <v/>
      </c>
      <c r="E84" s="10">
        <f>IF(A84="","",IF($B84=1,Forecast!D84-Setup!$B$6,Forecast!D84))</f>
        <v/>
      </c>
      <c r="F84" s="10">
        <f>IF(A84="","",IF($B84=1,D84-E84,Forecast!E84))</f>
        <v/>
      </c>
      <c r="G84" s="10">
        <f>IF(A84="","",IF($B84=1,Forecast!F84-Setup!$B$7,Forecast!F84))</f>
        <v/>
      </c>
      <c r="H84" s="10">
        <f>IF(A84="","",IF($B84=1,Forecast!G84-N(Setup!$D$27)*Setup!$B$9/12,Forecast!G84))</f>
        <v/>
      </c>
      <c r="I84" s="10">
        <f>IF(A84="","",IF($B84=1,F84-G84-H84,Forecast!H84))</f>
        <v/>
      </c>
      <c r="J84" s="10">
        <f>IF(A84="","",IF($B84=1,MAX(0,I84)*Setup!$B$10,Forecast!I84))</f>
        <v/>
      </c>
      <c r="K84" s="10">
        <f>IF(A84="","",IF($B84=1,I84-J84,Forecast!J84))</f>
        <v/>
      </c>
      <c r="L84" s="10">
        <f>IF(A84="","",IF($B84=1,K84+G84+Forecast!K84,Forecast!L84))</f>
        <v/>
      </c>
      <c r="M84" s="10">
        <f>IF(A84="","",IF($B84=1,Forecast!M84-Setup!$B$8,Forecast!M84))</f>
        <v/>
      </c>
      <c r="N84" s="10">
        <f>IF(A84="","",IF($B84=1,L84-M84,Forecast!O84))</f>
        <v/>
      </c>
      <c r="O84" s="10">
        <f>IF(A84="","",IF($B84=1,N84-Forecast!N84,Forecast!P84))</f>
        <v/>
      </c>
      <c r="P84" s="10">
        <f>IF(A84="","",(Forecast!$Q$5-Forecast!$P$5)+SUM($O$5:O84))</f>
        <v/>
      </c>
    </row>
    <row r="85">
      <c r="A85" s="5">
        <f>IF(Forecast!A85="","",Forecast!A85)</f>
        <v/>
      </c>
      <c r="B85" s="5">
        <f>IF(A85="","",IF(80&gt;=N(Setup!$C$27),1,0))</f>
        <v/>
      </c>
      <c r="C85" s="10">
        <f>IF(A85="","",IF($B85=1,Forecast!B85-Setup!$B$4,Forecast!B85))</f>
        <v/>
      </c>
      <c r="D85" s="10">
        <f>IF(A85="","",IF($B85=1,Forecast!C85-Setup!$B$5,Forecast!C85))</f>
        <v/>
      </c>
      <c r="E85" s="10">
        <f>IF(A85="","",IF($B85=1,Forecast!D85-Setup!$B$6,Forecast!D85))</f>
        <v/>
      </c>
      <c r="F85" s="10">
        <f>IF(A85="","",IF($B85=1,D85-E85,Forecast!E85))</f>
        <v/>
      </c>
      <c r="G85" s="10">
        <f>IF(A85="","",IF($B85=1,Forecast!F85-Setup!$B$7,Forecast!F85))</f>
        <v/>
      </c>
      <c r="H85" s="10">
        <f>IF(A85="","",IF($B85=1,Forecast!G85-N(Setup!$D$27)*Setup!$B$9/12,Forecast!G85))</f>
        <v/>
      </c>
      <c r="I85" s="10">
        <f>IF(A85="","",IF($B85=1,F85-G85-H85,Forecast!H85))</f>
        <v/>
      </c>
      <c r="J85" s="10">
        <f>IF(A85="","",IF($B85=1,MAX(0,I85)*Setup!$B$10,Forecast!I85))</f>
        <v/>
      </c>
      <c r="K85" s="10">
        <f>IF(A85="","",IF($B85=1,I85-J85,Forecast!J85))</f>
        <v/>
      </c>
      <c r="L85" s="10">
        <f>IF(A85="","",IF($B85=1,K85+G85+Forecast!K85,Forecast!L85))</f>
        <v/>
      </c>
      <c r="M85" s="10">
        <f>IF(A85="","",IF($B85=1,Forecast!M85-Setup!$B$8,Forecast!M85))</f>
        <v/>
      </c>
      <c r="N85" s="10">
        <f>IF(A85="","",IF($B85=1,L85-M85,Forecast!O85))</f>
        <v/>
      </c>
      <c r="O85" s="10">
        <f>IF(A85="","",IF($B85=1,N85-Forecast!N85,Forecast!P85))</f>
        <v/>
      </c>
      <c r="P85" s="10">
        <f>IF(A85="","",(Forecast!$Q$5-Forecast!$P$5)+SUM($O$5:O85))</f>
        <v/>
      </c>
    </row>
    <row r="86">
      <c r="A86" s="5">
        <f>IF(Forecast!A86="","",Forecast!A86)</f>
        <v/>
      </c>
      <c r="B86" s="5">
        <f>IF(A86="","",IF(81&gt;=N(Setup!$C$27),1,0))</f>
        <v/>
      </c>
      <c r="C86" s="10">
        <f>IF(A86="","",IF($B86=1,Forecast!B86-Setup!$B$4,Forecast!B86))</f>
        <v/>
      </c>
      <c r="D86" s="10">
        <f>IF(A86="","",IF($B86=1,Forecast!C86-Setup!$B$5,Forecast!C86))</f>
        <v/>
      </c>
      <c r="E86" s="10">
        <f>IF(A86="","",IF($B86=1,Forecast!D86-Setup!$B$6,Forecast!D86))</f>
        <v/>
      </c>
      <c r="F86" s="10">
        <f>IF(A86="","",IF($B86=1,D86-E86,Forecast!E86))</f>
        <v/>
      </c>
      <c r="G86" s="10">
        <f>IF(A86="","",IF($B86=1,Forecast!F86-Setup!$B$7,Forecast!F86))</f>
        <v/>
      </c>
      <c r="H86" s="10">
        <f>IF(A86="","",IF($B86=1,Forecast!G86-N(Setup!$D$27)*Setup!$B$9/12,Forecast!G86))</f>
        <v/>
      </c>
      <c r="I86" s="10">
        <f>IF(A86="","",IF($B86=1,F86-G86-H86,Forecast!H86))</f>
        <v/>
      </c>
      <c r="J86" s="10">
        <f>IF(A86="","",IF($B86=1,MAX(0,I86)*Setup!$B$10,Forecast!I86))</f>
        <v/>
      </c>
      <c r="K86" s="10">
        <f>IF(A86="","",IF($B86=1,I86-J86,Forecast!J86))</f>
        <v/>
      </c>
      <c r="L86" s="10">
        <f>IF(A86="","",IF($B86=1,K86+G86+Forecast!K86,Forecast!L86))</f>
        <v/>
      </c>
      <c r="M86" s="10">
        <f>IF(A86="","",IF($B86=1,Forecast!M86-Setup!$B$8,Forecast!M86))</f>
        <v/>
      </c>
      <c r="N86" s="10">
        <f>IF(A86="","",IF($B86=1,L86-M86,Forecast!O86))</f>
        <v/>
      </c>
      <c r="O86" s="10">
        <f>IF(A86="","",IF($B86=1,N86-Forecast!N86,Forecast!P86))</f>
        <v/>
      </c>
      <c r="P86" s="10">
        <f>IF(A86="","",(Forecast!$Q$5-Forecast!$P$5)+SUM($O$5:O86))</f>
        <v/>
      </c>
    </row>
    <row r="87">
      <c r="A87" s="5">
        <f>IF(Forecast!A87="","",Forecast!A87)</f>
        <v/>
      </c>
      <c r="B87" s="5">
        <f>IF(A87="","",IF(82&gt;=N(Setup!$C$27),1,0))</f>
        <v/>
      </c>
      <c r="C87" s="10">
        <f>IF(A87="","",IF($B87=1,Forecast!B87-Setup!$B$4,Forecast!B87))</f>
        <v/>
      </c>
      <c r="D87" s="10">
        <f>IF(A87="","",IF($B87=1,Forecast!C87-Setup!$B$5,Forecast!C87))</f>
        <v/>
      </c>
      <c r="E87" s="10">
        <f>IF(A87="","",IF($B87=1,Forecast!D87-Setup!$B$6,Forecast!D87))</f>
        <v/>
      </c>
      <c r="F87" s="10">
        <f>IF(A87="","",IF($B87=1,D87-E87,Forecast!E87))</f>
        <v/>
      </c>
      <c r="G87" s="10">
        <f>IF(A87="","",IF($B87=1,Forecast!F87-Setup!$B$7,Forecast!F87))</f>
        <v/>
      </c>
      <c r="H87" s="10">
        <f>IF(A87="","",IF($B87=1,Forecast!G87-N(Setup!$D$27)*Setup!$B$9/12,Forecast!G87))</f>
        <v/>
      </c>
      <c r="I87" s="10">
        <f>IF(A87="","",IF($B87=1,F87-G87-H87,Forecast!H87))</f>
        <v/>
      </c>
      <c r="J87" s="10">
        <f>IF(A87="","",IF($B87=1,MAX(0,I87)*Setup!$B$10,Forecast!I87))</f>
        <v/>
      </c>
      <c r="K87" s="10">
        <f>IF(A87="","",IF($B87=1,I87-J87,Forecast!J87))</f>
        <v/>
      </c>
      <c r="L87" s="10">
        <f>IF(A87="","",IF($B87=1,K87+G87+Forecast!K87,Forecast!L87))</f>
        <v/>
      </c>
      <c r="M87" s="10">
        <f>IF(A87="","",IF($B87=1,Forecast!M87-Setup!$B$8,Forecast!M87))</f>
        <v/>
      </c>
      <c r="N87" s="10">
        <f>IF(A87="","",IF($B87=1,L87-M87,Forecast!O87))</f>
        <v/>
      </c>
      <c r="O87" s="10">
        <f>IF(A87="","",IF($B87=1,N87-Forecast!N87,Forecast!P87))</f>
        <v/>
      </c>
      <c r="P87" s="10">
        <f>IF(A87="","",(Forecast!$Q$5-Forecast!$P$5)+SUM($O$5:O87))</f>
        <v/>
      </c>
    </row>
    <row r="88">
      <c r="A88" s="5">
        <f>IF(Forecast!A88="","",Forecast!A88)</f>
        <v/>
      </c>
      <c r="B88" s="5">
        <f>IF(A88="","",IF(83&gt;=N(Setup!$C$27),1,0))</f>
        <v/>
      </c>
      <c r="C88" s="10">
        <f>IF(A88="","",IF($B88=1,Forecast!B88-Setup!$B$4,Forecast!B88))</f>
        <v/>
      </c>
      <c r="D88" s="10">
        <f>IF(A88="","",IF($B88=1,Forecast!C88-Setup!$B$5,Forecast!C88))</f>
        <v/>
      </c>
      <c r="E88" s="10">
        <f>IF(A88="","",IF($B88=1,Forecast!D88-Setup!$B$6,Forecast!D88))</f>
        <v/>
      </c>
      <c r="F88" s="10">
        <f>IF(A88="","",IF($B88=1,D88-E88,Forecast!E88))</f>
        <v/>
      </c>
      <c r="G88" s="10">
        <f>IF(A88="","",IF($B88=1,Forecast!F88-Setup!$B$7,Forecast!F88))</f>
        <v/>
      </c>
      <c r="H88" s="10">
        <f>IF(A88="","",IF($B88=1,Forecast!G88-N(Setup!$D$27)*Setup!$B$9/12,Forecast!G88))</f>
        <v/>
      </c>
      <c r="I88" s="10">
        <f>IF(A88="","",IF($B88=1,F88-G88-H88,Forecast!H88))</f>
        <v/>
      </c>
      <c r="J88" s="10">
        <f>IF(A88="","",IF($B88=1,MAX(0,I88)*Setup!$B$10,Forecast!I88))</f>
        <v/>
      </c>
      <c r="K88" s="10">
        <f>IF(A88="","",IF($B88=1,I88-J88,Forecast!J88))</f>
        <v/>
      </c>
      <c r="L88" s="10">
        <f>IF(A88="","",IF($B88=1,K88+G88+Forecast!K88,Forecast!L88))</f>
        <v/>
      </c>
      <c r="M88" s="10">
        <f>IF(A88="","",IF($B88=1,Forecast!M88-Setup!$B$8,Forecast!M88))</f>
        <v/>
      </c>
      <c r="N88" s="10">
        <f>IF(A88="","",IF($B88=1,L88-M88,Forecast!O88))</f>
        <v/>
      </c>
      <c r="O88" s="10">
        <f>IF(A88="","",IF($B88=1,N88-Forecast!N88,Forecast!P88))</f>
        <v/>
      </c>
      <c r="P88" s="10">
        <f>IF(A88="","",(Forecast!$Q$5-Forecast!$P$5)+SUM($O$5:O88))</f>
        <v/>
      </c>
    </row>
    <row r="89">
      <c r="A89" s="5">
        <f>IF(Forecast!A89="","",Forecast!A89)</f>
        <v/>
      </c>
      <c r="B89" s="5">
        <f>IF(A89="","",IF(84&gt;=N(Setup!$C$27),1,0))</f>
        <v/>
      </c>
      <c r="C89" s="10">
        <f>IF(A89="","",IF($B89=1,Forecast!B89-Setup!$B$4,Forecast!B89))</f>
        <v/>
      </c>
      <c r="D89" s="10">
        <f>IF(A89="","",IF($B89=1,Forecast!C89-Setup!$B$5,Forecast!C89))</f>
        <v/>
      </c>
      <c r="E89" s="10">
        <f>IF(A89="","",IF($B89=1,Forecast!D89-Setup!$B$6,Forecast!D89))</f>
        <v/>
      </c>
      <c r="F89" s="10">
        <f>IF(A89="","",IF($B89=1,D89-E89,Forecast!E89))</f>
        <v/>
      </c>
      <c r="G89" s="10">
        <f>IF(A89="","",IF($B89=1,Forecast!F89-Setup!$B$7,Forecast!F89))</f>
        <v/>
      </c>
      <c r="H89" s="10">
        <f>IF(A89="","",IF($B89=1,Forecast!G89-N(Setup!$D$27)*Setup!$B$9/12,Forecast!G89))</f>
        <v/>
      </c>
      <c r="I89" s="10">
        <f>IF(A89="","",IF($B89=1,F89-G89-H89,Forecast!H89))</f>
        <v/>
      </c>
      <c r="J89" s="10">
        <f>IF(A89="","",IF($B89=1,MAX(0,I89)*Setup!$B$10,Forecast!I89))</f>
        <v/>
      </c>
      <c r="K89" s="10">
        <f>IF(A89="","",IF($B89=1,I89-J89,Forecast!J89))</f>
        <v/>
      </c>
      <c r="L89" s="10">
        <f>IF(A89="","",IF($B89=1,K89+G89+Forecast!K89,Forecast!L89))</f>
        <v/>
      </c>
      <c r="M89" s="10">
        <f>IF(A89="","",IF($B89=1,Forecast!M89-Setup!$B$8,Forecast!M89))</f>
        <v/>
      </c>
      <c r="N89" s="10">
        <f>IF(A89="","",IF($B89=1,L89-M89,Forecast!O89))</f>
        <v/>
      </c>
      <c r="O89" s="10">
        <f>IF(A89="","",IF($B89=1,N89-Forecast!N89,Forecast!P89))</f>
        <v/>
      </c>
      <c r="P89" s="10">
        <f>IF(A89="","",(Forecast!$Q$5-Forecast!$P$5)+SUM($O$5:O89))</f>
        <v/>
      </c>
    </row>
    <row r="90">
      <c r="A90" s="5">
        <f>IF(Forecast!A90="","",Forecast!A90)</f>
        <v/>
      </c>
      <c r="B90" s="5">
        <f>IF(A90="","",IF(85&gt;=N(Setup!$C$27),1,0))</f>
        <v/>
      </c>
      <c r="C90" s="10">
        <f>IF(A90="","",IF($B90=1,Forecast!B90-Setup!$B$4,Forecast!B90))</f>
        <v/>
      </c>
      <c r="D90" s="10">
        <f>IF(A90="","",IF($B90=1,Forecast!C90-Setup!$B$5,Forecast!C90))</f>
        <v/>
      </c>
      <c r="E90" s="10">
        <f>IF(A90="","",IF($B90=1,Forecast!D90-Setup!$B$6,Forecast!D90))</f>
        <v/>
      </c>
      <c r="F90" s="10">
        <f>IF(A90="","",IF($B90=1,D90-E90,Forecast!E90))</f>
        <v/>
      </c>
      <c r="G90" s="10">
        <f>IF(A90="","",IF($B90=1,Forecast!F90-Setup!$B$7,Forecast!F90))</f>
        <v/>
      </c>
      <c r="H90" s="10">
        <f>IF(A90="","",IF($B90=1,Forecast!G90-N(Setup!$D$27)*Setup!$B$9/12,Forecast!G90))</f>
        <v/>
      </c>
      <c r="I90" s="10">
        <f>IF(A90="","",IF($B90=1,F90-G90-H90,Forecast!H90))</f>
        <v/>
      </c>
      <c r="J90" s="10">
        <f>IF(A90="","",IF($B90=1,MAX(0,I90)*Setup!$B$10,Forecast!I90))</f>
        <v/>
      </c>
      <c r="K90" s="10">
        <f>IF(A90="","",IF($B90=1,I90-J90,Forecast!J90))</f>
        <v/>
      </c>
      <c r="L90" s="10">
        <f>IF(A90="","",IF($B90=1,K90+G90+Forecast!K90,Forecast!L90))</f>
        <v/>
      </c>
      <c r="M90" s="10">
        <f>IF(A90="","",IF($B90=1,Forecast!M90-Setup!$B$8,Forecast!M90))</f>
        <v/>
      </c>
      <c r="N90" s="10">
        <f>IF(A90="","",IF($B90=1,L90-M90,Forecast!O90))</f>
        <v/>
      </c>
      <c r="O90" s="10">
        <f>IF(A90="","",IF($B90=1,N90-Forecast!N90,Forecast!P90))</f>
        <v/>
      </c>
      <c r="P90" s="10">
        <f>IF(A90="","",(Forecast!$Q$5-Forecast!$P$5)+SUM($O$5:O90))</f>
        <v/>
      </c>
    </row>
    <row r="91">
      <c r="A91" s="5">
        <f>IF(Forecast!A91="","",Forecast!A91)</f>
        <v/>
      </c>
      <c r="B91" s="5">
        <f>IF(A91="","",IF(86&gt;=N(Setup!$C$27),1,0))</f>
        <v/>
      </c>
      <c r="C91" s="10">
        <f>IF(A91="","",IF($B91=1,Forecast!B91-Setup!$B$4,Forecast!B91))</f>
        <v/>
      </c>
      <c r="D91" s="10">
        <f>IF(A91="","",IF($B91=1,Forecast!C91-Setup!$B$5,Forecast!C91))</f>
        <v/>
      </c>
      <c r="E91" s="10">
        <f>IF(A91="","",IF($B91=1,Forecast!D91-Setup!$B$6,Forecast!D91))</f>
        <v/>
      </c>
      <c r="F91" s="10">
        <f>IF(A91="","",IF($B91=1,D91-E91,Forecast!E91))</f>
        <v/>
      </c>
      <c r="G91" s="10">
        <f>IF(A91="","",IF($B91=1,Forecast!F91-Setup!$B$7,Forecast!F91))</f>
        <v/>
      </c>
      <c r="H91" s="10">
        <f>IF(A91="","",IF($B91=1,Forecast!G91-N(Setup!$D$27)*Setup!$B$9/12,Forecast!G91))</f>
        <v/>
      </c>
      <c r="I91" s="10">
        <f>IF(A91="","",IF($B91=1,F91-G91-H91,Forecast!H91))</f>
        <v/>
      </c>
      <c r="J91" s="10">
        <f>IF(A91="","",IF($B91=1,MAX(0,I91)*Setup!$B$10,Forecast!I91))</f>
        <v/>
      </c>
      <c r="K91" s="10">
        <f>IF(A91="","",IF($B91=1,I91-J91,Forecast!J91))</f>
        <v/>
      </c>
      <c r="L91" s="10">
        <f>IF(A91="","",IF($B91=1,K91+G91+Forecast!K91,Forecast!L91))</f>
        <v/>
      </c>
      <c r="M91" s="10">
        <f>IF(A91="","",IF($B91=1,Forecast!M91-Setup!$B$8,Forecast!M91))</f>
        <v/>
      </c>
      <c r="N91" s="10">
        <f>IF(A91="","",IF($B91=1,L91-M91,Forecast!O91))</f>
        <v/>
      </c>
      <c r="O91" s="10">
        <f>IF(A91="","",IF($B91=1,N91-Forecast!N91,Forecast!P91))</f>
        <v/>
      </c>
      <c r="P91" s="10">
        <f>IF(A91="","",(Forecast!$Q$5-Forecast!$P$5)+SUM($O$5:O91))</f>
        <v/>
      </c>
    </row>
    <row r="92">
      <c r="A92" s="5">
        <f>IF(Forecast!A92="","",Forecast!A92)</f>
        <v/>
      </c>
      <c r="B92" s="5">
        <f>IF(A92="","",IF(87&gt;=N(Setup!$C$27),1,0))</f>
        <v/>
      </c>
      <c r="C92" s="10">
        <f>IF(A92="","",IF($B92=1,Forecast!B92-Setup!$B$4,Forecast!B92))</f>
        <v/>
      </c>
      <c r="D92" s="10">
        <f>IF(A92="","",IF($B92=1,Forecast!C92-Setup!$B$5,Forecast!C92))</f>
        <v/>
      </c>
      <c r="E92" s="10">
        <f>IF(A92="","",IF($B92=1,Forecast!D92-Setup!$B$6,Forecast!D92))</f>
        <v/>
      </c>
      <c r="F92" s="10">
        <f>IF(A92="","",IF($B92=1,D92-E92,Forecast!E92))</f>
        <v/>
      </c>
      <c r="G92" s="10">
        <f>IF(A92="","",IF($B92=1,Forecast!F92-Setup!$B$7,Forecast!F92))</f>
        <v/>
      </c>
      <c r="H92" s="10">
        <f>IF(A92="","",IF($B92=1,Forecast!G92-N(Setup!$D$27)*Setup!$B$9/12,Forecast!G92))</f>
        <v/>
      </c>
      <c r="I92" s="10">
        <f>IF(A92="","",IF($B92=1,F92-G92-H92,Forecast!H92))</f>
        <v/>
      </c>
      <c r="J92" s="10">
        <f>IF(A92="","",IF($B92=1,MAX(0,I92)*Setup!$B$10,Forecast!I92))</f>
        <v/>
      </c>
      <c r="K92" s="10">
        <f>IF(A92="","",IF($B92=1,I92-J92,Forecast!J92))</f>
        <v/>
      </c>
      <c r="L92" s="10">
        <f>IF(A92="","",IF($B92=1,K92+G92+Forecast!K92,Forecast!L92))</f>
        <v/>
      </c>
      <c r="M92" s="10">
        <f>IF(A92="","",IF($B92=1,Forecast!M92-Setup!$B$8,Forecast!M92))</f>
        <v/>
      </c>
      <c r="N92" s="10">
        <f>IF(A92="","",IF($B92=1,L92-M92,Forecast!O92))</f>
        <v/>
      </c>
      <c r="O92" s="10">
        <f>IF(A92="","",IF($B92=1,N92-Forecast!N92,Forecast!P92))</f>
        <v/>
      </c>
      <c r="P92" s="10">
        <f>IF(A92="","",(Forecast!$Q$5-Forecast!$P$5)+SUM($O$5:O92))</f>
        <v/>
      </c>
    </row>
    <row r="93">
      <c r="A93" s="5">
        <f>IF(Forecast!A93="","",Forecast!A93)</f>
        <v/>
      </c>
      <c r="B93" s="5">
        <f>IF(A93="","",IF(88&gt;=N(Setup!$C$27),1,0))</f>
        <v/>
      </c>
      <c r="C93" s="10">
        <f>IF(A93="","",IF($B93=1,Forecast!B93-Setup!$B$4,Forecast!B93))</f>
        <v/>
      </c>
      <c r="D93" s="10">
        <f>IF(A93="","",IF($B93=1,Forecast!C93-Setup!$B$5,Forecast!C93))</f>
        <v/>
      </c>
      <c r="E93" s="10">
        <f>IF(A93="","",IF($B93=1,Forecast!D93-Setup!$B$6,Forecast!D93))</f>
        <v/>
      </c>
      <c r="F93" s="10">
        <f>IF(A93="","",IF($B93=1,D93-E93,Forecast!E93))</f>
        <v/>
      </c>
      <c r="G93" s="10">
        <f>IF(A93="","",IF($B93=1,Forecast!F93-Setup!$B$7,Forecast!F93))</f>
        <v/>
      </c>
      <c r="H93" s="10">
        <f>IF(A93="","",IF($B93=1,Forecast!G93-N(Setup!$D$27)*Setup!$B$9/12,Forecast!G93))</f>
        <v/>
      </c>
      <c r="I93" s="10">
        <f>IF(A93="","",IF($B93=1,F93-G93-H93,Forecast!H93))</f>
        <v/>
      </c>
      <c r="J93" s="10">
        <f>IF(A93="","",IF($B93=1,MAX(0,I93)*Setup!$B$10,Forecast!I93))</f>
        <v/>
      </c>
      <c r="K93" s="10">
        <f>IF(A93="","",IF($B93=1,I93-J93,Forecast!J93))</f>
        <v/>
      </c>
      <c r="L93" s="10">
        <f>IF(A93="","",IF($B93=1,K93+G93+Forecast!K93,Forecast!L93))</f>
        <v/>
      </c>
      <c r="M93" s="10">
        <f>IF(A93="","",IF($B93=1,Forecast!M93-Setup!$B$8,Forecast!M93))</f>
        <v/>
      </c>
      <c r="N93" s="10">
        <f>IF(A93="","",IF($B93=1,L93-M93,Forecast!O93))</f>
        <v/>
      </c>
      <c r="O93" s="10">
        <f>IF(A93="","",IF($B93=1,N93-Forecast!N93,Forecast!P93))</f>
        <v/>
      </c>
      <c r="P93" s="10">
        <f>IF(A93="","",(Forecast!$Q$5-Forecast!$P$5)+SUM($O$5:O93))</f>
        <v/>
      </c>
    </row>
    <row r="94">
      <c r="A94" s="5">
        <f>IF(Forecast!A94="","",Forecast!A94)</f>
        <v/>
      </c>
      <c r="B94" s="5">
        <f>IF(A94="","",IF(89&gt;=N(Setup!$C$27),1,0))</f>
        <v/>
      </c>
      <c r="C94" s="10">
        <f>IF(A94="","",IF($B94=1,Forecast!B94-Setup!$B$4,Forecast!B94))</f>
        <v/>
      </c>
      <c r="D94" s="10">
        <f>IF(A94="","",IF($B94=1,Forecast!C94-Setup!$B$5,Forecast!C94))</f>
        <v/>
      </c>
      <c r="E94" s="10">
        <f>IF(A94="","",IF($B94=1,Forecast!D94-Setup!$B$6,Forecast!D94))</f>
        <v/>
      </c>
      <c r="F94" s="10">
        <f>IF(A94="","",IF($B94=1,D94-E94,Forecast!E94))</f>
        <v/>
      </c>
      <c r="G94" s="10">
        <f>IF(A94="","",IF($B94=1,Forecast!F94-Setup!$B$7,Forecast!F94))</f>
        <v/>
      </c>
      <c r="H94" s="10">
        <f>IF(A94="","",IF($B94=1,Forecast!G94-N(Setup!$D$27)*Setup!$B$9/12,Forecast!G94))</f>
        <v/>
      </c>
      <c r="I94" s="10">
        <f>IF(A94="","",IF($B94=1,F94-G94-H94,Forecast!H94))</f>
        <v/>
      </c>
      <c r="J94" s="10">
        <f>IF(A94="","",IF($B94=1,MAX(0,I94)*Setup!$B$10,Forecast!I94))</f>
        <v/>
      </c>
      <c r="K94" s="10">
        <f>IF(A94="","",IF($B94=1,I94-J94,Forecast!J94))</f>
        <v/>
      </c>
      <c r="L94" s="10">
        <f>IF(A94="","",IF($B94=1,K94+G94+Forecast!K94,Forecast!L94))</f>
        <v/>
      </c>
      <c r="M94" s="10">
        <f>IF(A94="","",IF($B94=1,Forecast!M94-Setup!$B$8,Forecast!M94))</f>
        <v/>
      </c>
      <c r="N94" s="10">
        <f>IF(A94="","",IF($B94=1,L94-M94,Forecast!O94))</f>
        <v/>
      </c>
      <c r="O94" s="10">
        <f>IF(A94="","",IF($B94=1,N94-Forecast!N94,Forecast!P94))</f>
        <v/>
      </c>
      <c r="P94" s="10">
        <f>IF(A94="","",(Forecast!$Q$5-Forecast!$P$5)+SUM($O$5:O94))</f>
        <v/>
      </c>
    </row>
    <row r="95">
      <c r="A95" s="5">
        <f>IF(Forecast!A95="","",Forecast!A95)</f>
        <v/>
      </c>
      <c r="B95" s="5">
        <f>IF(A95="","",IF(90&gt;=N(Setup!$C$27),1,0))</f>
        <v/>
      </c>
      <c r="C95" s="10">
        <f>IF(A95="","",IF($B95=1,Forecast!B95-Setup!$B$4,Forecast!B95))</f>
        <v/>
      </c>
      <c r="D95" s="10">
        <f>IF(A95="","",IF($B95=1,Forecast!C95-Setup!$B$5,Forecast!C95))</f>
        <v/>
      </c>
      <c r="E95" s="10">
        <f>IF(A95="","",IF($B95=1,Forecast!D95-Setup!$B$6,Forecast!D95))</f>
        <v/>
      </c>
      <c r="F95" s="10">
        <f>IF(A95="","",IF($B95=1,D95-E95,Forecast!E95))</f>
        <v/>
      </c>
      <c r="G95" s="10">
        <f>IF(A95="","",IF($B95=1,Forecast!F95-Setup!$B$7,Forecast!F95))</f>
        <v/>
      </c>
      <c r="H95" s="10">
        <f>IF(A95="","",IF($B95=1,Forecast!G95-N(Setup!$D$27)*Setup!$B$9/12,Forecast!G95))</f>
        <v/>
      </c>
      <c r="I95" s="10">
        <f>IF(A95="","",IF($B95=1,F95-G95-H95,Forecast!H95))</f>
        <v/>
      </c>
      <c r="J95" s="10">
        <f>IF(A95="","",IF($B95=1,MAX(0,I95)*Setup!$B$10,Forecast!I95))</f>
        <v/>
      </c>
      <c r="K95" s="10">
        <f>IF(A95="","",IF($B95=1,I95-J95,Forecast!J95))</f>
        <v/>
      </c>
      <c r="L95" s="10">
        <f>IF(A95="","",IF($B95=1,K95+G95+Forecast!K95,Forecast!L95))</f>
        <v/>
      </c>
      <c r="M95" s="10">
        <f>IF(A95="","",IF($B95=1,Forecast!M95-Setup!$B$8,Forecast!M95))</f>
        <v/>
      </c>
      <c r="N95" s="10">
        <f>IF(A95="","",IF($B95=1,L95-M95,Forecast!O95))</f>
        <v/>
      </c>
      <c r="O95" s="10">
        <f>IF(A95="","",IF($B95=1,N95-Forecast!N95,Forecast!P95))</f>
        <v/>
      </c>
      <c r="P95" s="10">
        <f>IF(A95="","",(Forecast!$Q$5-Forecast!$P$5)+SUM($O$5:O95))</f>
        <v/>
      </c>
    </row>
    <row r="96">
      <c r="A96" s="5">
        <f>IF(Forecast!A96="","",Forecast!A96)</f>
        <v/>
      </c>
      <c r="B96" s="5">
        <f>IF(A96="","",IF(91&gt;=N(Setup!$C$27),1,0))</f>
        <v/>
      </c>
      <c r="C96" s="10">
        <f>IF(A96="","",IF($B96=1,Forecast!B96-Setup!$B$4,Forecast!B96))</f>
        <v/>
      </c>
      <c r="D96" s="10">
        <f>IF(A96="","",IF($B96=1,Forecast!C96-Setup!$B$5,Forecast!C96))</f>
        <v/>
      </c>
      <c r="E96" s="10">
        <f>IF(A96="","",IF($B96=1,Forecast!D96-Setup!$B$6,Forecast!D96))</f>
        <v/>
      </c>
      <c r="F96" s="10">
        <f>IF(A96="","",IF($B96=1,D96-E96,Forecast!E96))</f>
        <v/>
      </c>
      <c r="G96" s="10">
        <f>IF(A96="","",IF($B96=1,Forecast!F96-Setup!$B$7,Forecast!F96))</f>
        <v/>
      </c>
      <c r="H96" s="10">
        <f>IF(A96="","",IF($B96=1,Forecast!G96-N(Setup!$D$27)*Setup!$B$9/12,Forecast!G96))</f>
        <v/>
      </c>
      <c r="I96" s="10">
        <f>IF(A96="","",IF($B96=1,F96-G96-H96,Forecast!H96))</f>
        <v/>
      </c>
      <c r="J96" s="10">
        <f>IF(A96="","",IF($B96=1,MAX(0,I96)*Setup!$B$10,Forecast!I96))</f>
        <v/>
      </c>
      <c r="K96" s="10">
        <f>IF(A96="","",IF($B96=1,I96-J96,Forecast!J96))</f>
        <v/>
      </c>
      <c r="L96" s="10">
        <f>IF(A96="","",IF($B96=1,K96+G96+Forecast!K96,Forecast!L96))</f>
        <v/>
      </c>
      <c r="M96" s="10">
        <f>IF(A96="","",IF($B96=1,Forecast!M96-Setup!$B$8,Forecast!M96))</f>
        <v/>
      </c>
      <c r="N96" s="10">
        <f>IF(A96="","",IF($B96=1,L96-M96,Forecast!O96))</f>
        <v/>
      </c>
      <c r="O96" s="10">
        <f>IF(A96="","",IF($B96=1,N96-Forecast!N96,Forecast!P96))</f>
        <v/>
      </c>
      <c r="P96" s="10">
        <f>IF(A96="","",(Forecast!$Q$5-Forecast!$P$5)+SUM($O$5:O96))</f>
        <v/>
      </c>
    </row>
    <row r="97">
      <c r="A97" s="5">
        <f>IF(Forecast!A97="","",Forecast!A97)</f>
        <v/>
      </c>
      <c r="B97" s="5">
        <f>IF(A97="","",IF(92&gt;=N(Setup!$C$27),1,0))</f>
        <v/>
      </c>
      <c r="C97" s="10">
        <f>IF(A97="","",IF($B97=1,Forecast!B97-Setup!$B$4,Forecast!B97))</f>
        <v/>
      </c>
      <c r="D97" s="10">
        <f>IF(A97="","",IF($B97=1,Forecast!C97-Setup!$B$5,Forecast!C97))</f>
        <v/>
      </c>
      <c r="E97" s="10">
        <f>IF(A97="","",IF($B97=1,Forecast!D97-Setup!$B$6,Forecast!D97))</f>
        <v/>
      </c>
      <c r="F97" s="10">
        <f>IF(A97="","",IF($B97=1,D97-E97,Forecast!E97))</f>
        <v/>
      </c>
      <c r="G97" s="10">
        <f>IF(A97="","",IF($B97=1,Forecast!F97-Setup!$B$7,Forecast!F97))</f>
        <v/>
      </c>
      <c r="H97" s="10">
        <f>IF(A97="","",IF($B97=1,Forecast!G97-N(Setup!$D$27)*Setup!$B$9/12,Forecast!G97))</f>
        <v/>
      </c>
      <c r="I97" s="10">
        <f>IF(A97="","",IF($B97=1,F97-G97-H97,Forecast!H97))</f>
        <v/>
      </c>
      <c r="J97" s="10">
        <f>IF(A97="","",IF($B97=1,MAX(0,I97)*Setup!$B$10,Forecast!I97))</f>
        <v/>
      </c>
      <c r="K97" s="10">
        <f>IF(A97="","",IF($B97=1,I97-J97,Forecast!J97))</f>
        <v/>
      </c>
      <c r="L97" s="10">
        <f>IF(A97="","",IF($B97=1,K97+G97+Forecast!K97,Forecast!L97))</f>
        <v/>
      </c>
      <c r="M97" s="10">
        <f>IF(A97="","",IF($B97=1,Forecast!M97-Setup!$B$8,Forecast!M97))</f>
        <v/>
      </c>
      <c r="N97" s="10">
        <f>IF(A97="","",IF($B97=1,L97-M97,Forecast!O97))</f>
        <v/>
      </c>
      <c r="O97" s="10">
        <f>IF(A97="","",IF($B97=1,N97-Forecast!N97,Forecast!P97))</f>
        <v/>
      </c>
      <c r="P97" s="10">
        <f>IF(A97="","",(Forecast!$Q$5-Forecast!$P$5)+SUM($O$5:O97))</f>
        <v/>
      </c>
    </row>
    <row r="98">
      <c r="A98" s="5">
        <f>IF(Forecast!A98="","",Forecast!A98)</f>
        <v/>
      </c>
      <c r="B98" s="5">
        <f>IF(A98="","",IF(93&gt;=N(Setup!$C$27),1,0))</f>
        <v/>
      </c>
      <c r="C98" s="10">
        <f>IF(A98="","",IF($B98=1,Forecast!B98-Setup!$B$4,Forecast!B98))</f>
        <v/>
      </c>
      <c r="D98" s="10">
        <f>IF(A98="","",IF($B98=1,Forecast!C98-Setup!$B$5,Forecast!C98))</f>
        <v/>
      </c>
      <c r="E98" s="10">
        <f>IF(A98="","",IF($B98=1,Forecast!D98-Setup!$B$6,Forecast!D98))</f>
        <v/>
      </c>
      <c r="F98" s="10">
        <f>IF(A98="","",IF($B98=1,D98-E98,Forecast!E98))</f>
        <v/>
      </c>
      <c r="G98" s="10">
        <f>IF(A98="","",IF($B98=1,Forecast!F98-Setup!$B$7,Forecast!F98))</f>
        <v/>
      </c>
      <c r="H98" s="10">
        <f>IF(A98="","",IF($B98=1,Forecast!G98-N(Setup!$D$27)*Setup!$B$9/12,Forecast!G98))</f>
        <v/>
      </c>
      <c r="I98" s="10">
        <f>IF(A98="","",IF($B98=1,F98-G98-H98,Forecast!H98))</f>
        <v/>
      </c>
      <c r="J98" s="10">
        <f>IF(A98="","",IF($B98=1,MAX(0,I98)*Setup!$B$10,Forecast!I98))</f>
        <v/>
      </c>
      <c r="K98" s="10">
        <f>IF(A98="","",IF($B98=1,I98-J98,Forecast!J98))</f>
        <v/>
      </c>
      <c r="L98" s="10">
        <f>IF(A98="","",IF($B98=1,K98+G98+Forecast!K98,Forecast!L98))</f>
        <v/>
      </c>
      <c r="M98" s="10">
        <f>IF(A98="","",IF($B98=1,Forecast!M98-Setup!$B$8,Forecast!M98))</f>
        <v/>
      </c>
      <c r="N98" s="10">
        <f>IF(A98="","",IF($B98=1,L98-M98,Forecast!O98))</f>
        <v/>
      </c>
      <c r="O98" s="10">
        <f>IF(A98="","",IF($B98=1,N98-Forecast!N98,Forecast!P98))</f>
        <v/>
      </c>
      <c r="P98" s="10">
        <f>IF(A98="","",(Forecast!$Q$5-Forecast!$P$5)+SUM($O$5:O98))</f>
        <v/>
      </c>
    </row>
    <row r="99">
      <c r="A99" s="5">
        <f>IF(Forecast!A99="","",Forecast!A99)</f>
        <v/>
      </c>
      <c r="B99" s="5">
        <f>IF(A99="","",IF(94&gt;=N(Setup!$C$27),1,0))</f>
        <v/>
      </c>
      <c r="C99" s="10">
        <f>IF(A99="","",IF($B99=1,Forecast!B99-Setup!$B$4,Forecast!B99))</f>
        <v/>
      </c>
      <c r="D99" s="10">
        <f>IF(A99="","",IF($B99=1,Forecast!C99-Setup!$B$5,Forecast!C99))</f>
        <v/>
      </c>
      <c r="E99" s="10">
        <f>IF(A99="","",IF($B99=1,Forecast!D99-Setup!$B$6,Forecast!D99))</f>
        <v/>
      </c>
      <c r="F99" s="10">
        <f>IF(A99="","",IF($B99=1,D99-E99,Forecast!E99))</f>
        <v/>
      </c>
      <c r="G99" s="10">
        <f>IF(A99="","",IF($B99=1,Forecast!F99-Setup!$B$7,Forecast!F99))</f>
        <v/>
      </c>
      <c r="H99" s="10">
        <f>IF(A99="","",IF($B99=1,Forecast!G99-N(Setup!$D$27)*Setup!$B$9/12,Forecast!G99))</f>
        <v/>
      </c>
      <c r="I99" s="10">
        <f>IF(A99="","",IF($B99=1,F99-G99-H99,Forecast!H99))</f>
        <v/>
      </c>
      <c r="J99" s="10">
        <f>IF(A99="","",IF($B99=1,MAX(0,I99)*Setup!$B$10,Forecast!I99))</f>
        <v/>
      </c>
      <c r="K99" s="10">
        <f>IF(A99="","",IF($B99=1,I99-J99,Forecast!J99))</f>
        <v/>
      </c>
      <c r="L99" s="10">
        <f>IF(A99="","",IF($B99=1,K99+G99+Forecast!K99,Forecast!L99))</f>
        <v/>
      </c>
      <c r="M99" s="10">
        <f>IF(A99="","",IF($B99=1,Forecast!M99-Setup!$B$8,Forecast!M99))</f>
        <v/>
      </c>
      <c r="N99" s="10">
        <f>IF(A99="","",IF($B99=1,L99-M99,Forecast!O99))</f>
        <v/>
      </c>
      <c r="O99" s="10">
        <f>IF(A99="","",IF($B99=1,N99-Forecast!N99,Forecast!P99))</f>
        <v/>
      </c>
      <c r="P99" s="10">
        <f>IF(A99="","",(Forecast!$Q$5-Forecast!$P$5)+SUM($O$5:O99))</f>
        <v/>
      </c>
    </row>
    <row r="100">
      <c r="A100" s="5">
        <f>IF(Forecast!A100="","",Forecast!A100)</f>
        <v/>
      </c>
      <c r="B100" s="5">
        <f>IF(A100="","",IF(95&gt;=N(Setup!$C$27),1,0))</f>
        <v/>
      </c>
      <c r="C100" s="10">
        <f>IF(A100="","",IF($B100=1,Forecast!B100-Setup!$B$4,Forecast!B100))</f>
        <v/>
      </c>
      <c r="D100" s="10">
        <f>IF(A100="","",IF($B100=1,Forecast!C100-Setup!$B$5,Forecast!C100))</f>
        <v/>
      </c>
      <c r="E100" s="10">
        <f>IF(A100="","",IF($B100=1,Forecast!D100-Setup!$B$6,Forecast!D100))</f>
        <v/>
      </c>
      <c r="F100" s="10">
        <f>IF(A100="","",IF($B100=1,D100-E100,Forecast!E100))</f>
        <v/>
      </c>
      <c r="G100" s="10">
        <f>IF(A100="","",IF($B100=1,Forecast!F100-Setup!$B$7,Forecast!F100))</f>
        <v/>
      </c>
      <c r="H100" s="10">
        <f>IF(A100="","",IF($B100=1,Forecast!G100-N(Setup!$D$27)*Setup!$B$9/12,Forecast!G100))</f>
        <v/>
      </c>
      <c r="I100" s="10">
        <f>IF(A100="","",IF($B100=1,F100-G100-H100,Forecast!H100))</f>
        <v/>
      </c>
      <c r="J100" s="10">
        <f>IF(A100="","",IF($B100=1,MAX(0,I100)*Setup!$B$10,Forecast!I100))</f>
        <v/>
      </c>
      <c r="K100" s="10">
        <f>IF(A100="","",IF($B100=1,I100-J100,Forecast!J100))</f>
        <v/>
      </c>
      <c r="L100" s="10">
        <f>IF(A100="","",IF($B100=1,K100+G100+Forecast!K100,Forecast!L100))</f>
        <v/>
      </c>
      <c r="M100" s="10">
        <f>IF(A100="","",IF($B100=1,Forecast!M100-Setup!$B$8,Forecast!M100))</f>
        <v/>
      </c>
      <c r="N100" s="10">
        <f>IF(A100="","",IF($B100=1,L100-M100,Forecast!O100))</f>
        <v/>
      </c>
      <c r="O100" s="10">
        <f>IF(A100="","",IF($B100=1,N100-Forecast!N100,Forecast!P100))</f>
        <v/>
      </c>
      <c r="P100" s="10">
        <f>IF(A100="","",(Forecast!$Q$5-Forecast!$P$5)+SUM($O$5:O100))</f>
        <v/>
      </c>
    </row>
    <row r="101">
      <c r="A101" s="5">
        <f>IF(Forecast!A101="","",Forecast!A101)</f>
        <v/>
      </c>
      <c r="B101" s="5">
        <f>IF(A101="","",IF(96&gt;=N(Setup!$C$27),1,0))</f>
        <v/>
      </c>
      <c r="C101" s="10">
        <f>IF(A101="","",IF($B101=1,Forecast!B101-Setup!$B$4,Forecast!B101))</f>
        <v/>
      </c>
      <c r="D101" s="10">
        <f>IF(A101="","",IF($B101=1,Forecast!C101-Setup!$B$5,Forecast!C101))</f>
        <v/>
      </c>
      <c r="E101" s="10">
        <f>IF(A101="","",IF($B101=1,Forecast!D101-Setup!$B$6,Forecast!D101))</f>
        <v/>
      </c>
      <c r="F101" s="10">
        <f>IF(A101="","",IF($B101=1,D101-E101,Forecast!E101))</f>
        <v/>
      </c>
      <c r="G101" s="10">
        <f>IF(A101="","",IF($B101=1,Forecast!F101-Setup!$B$7,Forecast!F101))</f>
        <v/>
      </c>
      <c r="H101" s="10">
        <f>IF(A101="","",IF($B101=1,Forecast!G101-N(Setup!$D$27)*Setup!$B$9/12,Forecast!G101))</f>
        <v/>
      </c>
      <c r="I101" s="10">
        <f>IF(A101="","",IF($B101=1,F101-G101-H101,Forecast!H101))</f>
        <v/>
      </c>
      <c r="J101" s="10">
        <f>IF(A101="","",IF($B101=1,MAX(0,I101)*Setup!$B$10,Forecast!I101))</f>
        <v/>
      </c>
      <c r="K101" s="10">
        <f>IF(A101="","",IF($B101=1,I101-J101,Forecast!J101))</f>
        <v/>
      </c>
      <c r="L101" s="10">
        <f>IF(A101="","",IF($B101=1,K101+G101+Forecast!K101,Forecast!L101))</f>
        <v/>
      </c>
      <c r="M101" s="10">
        <f>IF(A101="","",IF($B101=1,Forecast!M101-Setup!$B$8,Forecast!M101))</f>
        <v/>
      </c>
      <c r="N101" s="10">
        <f>IF(A101="","",IF($B101=1,L101-M101,Forecast!O101))</f>
        <v/>
      </c>
      <c r="O101" s="10">
        <f>IF(A101="","",IF($B101=1,N101-Forecast!N101,Forecast!P101))</f>
        <v/>
      </c>
      <c r="P101" s="10">
        <f>IF(A101="","",(Forecast!$Q$5-Forecast!$P$5)+SUM($O$5:O101))</f>
        <v/>
      </c>
    </row>
    <row r="102">
      <c r="A102" s="5">
        <f>IF(Forecast!A102="","",Forecast!A102)</f>
        <v/>
      </c>
      <c r="B102" s="5">
        <f>IF(A102="","",IF(97&gt;=N(Setup!$C$27),1,0))</f>
        <v/>
      </c>
      <c r="C102" s="10">
        <f>IF(A102="","",IF($B102=1,Forecast!B102-Setup!$B$4,Forecast!B102))</f>
        <v/>
      </c>
      <c r="D102" s="10">
        <f>IF(A102="","",IF($B102=1,Forecast!C102-Setup!$B$5,Forecast!C102))</f>
        <v/>
      </c>
      <c r="E102" s="10">
        <f>IF(A102="","",IF($B102=1,Forecast!D102-Setup!$B$6,Forecast!D102))</f>
        <v/>
      </c>
      <c r="F102" s="10">
        <f>IF(A102="","",IF($B102=1,D102-E102,Forecast!E102))</f>
        <v/>
      </c>
      <c r="G102" s="10">
        <f>IF(A102="","",IF($B102=1,Forecast!F102-Setup!$B$7,Forecast!F102))</f>
        <v/>
      </c>
      <c r="H102" s="10">
        <f>IF(A102="","",IF($B102=1,Forecast!G102-N(Setup!$D$27)*Setup!$B$9/12,Forecast!G102))</f>
        <v/>
      </c>
      <c r="I102" s="10">
        <f>IF(A102="","",IF($B102=1,F102-G102-H102,Forecast!H102))</f>
        <v/>
      </c>
      <c r="J102" s="10">
        <f>IF(A102="","",IF($B102=1,MAX(0,I102)*Setup!$B$10,Forecast!I102))</f>
        <v/>
      </c>
      <c r="K102" s="10">
        <f>IF(A102="","",IF($B102=1,I102-J102,Forecast!J102))</f>
        <v/>
      </c>
      <c r="L102" s="10">
        <f>IF(A102="","",IF($B102=1,K102+G102+Forecast!K102,Forecast!L102))</f>
        <v/>
      </c>
      <c r="M102" s="10">
        <f>IF(A102="","",IF($B102=1,Forecast!M102-Setup!$B$8,Forecast!M102))</f>
        <v/>
      </c>
      <c r="N102" s="10">
        <f>IF(A102="","",IF($B102=1,L102-M102,Forecast!O102))</f>
        <v/>
      </c>
      <c r="O102" s="10">
        <f>IF(A102="","",IF($B102=1,N102-Forecast!N102,Forecast!P102))</f>
        <v/>
      </c>
      <c r="P102" s="10">
        <f>IF(A102="","",(Forecast!$Q$5-Forecast!$P$5)+SUM($O$5:O102))</f>
        <v/>
      </c>
    </row>
    <row r="103">
      <c r="A103" s="5">
        <f>IF(Forecast!A103="","",Forecast!A103)</f>
        <v/>
      </c>
      <c r="B103" s="5">
        <f>IF(A103="","",IF(98&gt;=N(Setup!$C$27),1,0))</f>
        <v/>
      </c>
      <c r="C103" s="10">
        <f>IF(A103="","",IF($B103=1,Forecast!B103-Setup!$B$4,Forecast!B103))</f>
        <v/>
      </c>
      <c r="D103" s="10">
        <f>IF(A103="","",IF($B103=1,Forecast!C103-Setup!$B$5,Forecast!C103))</f>
        <v/>
      </c>
      <c r="E103" s="10">
        <f>IF(A103="","",IF($B103=1,Forecast!D103-Setup!$B$6,Forecast!D103))</f>
        <v/>
      </c>
      <c r="F103" s="10">
        <f>IF(A103="","",IF($B103=1,D103-E103,Forecast!E103))</f>
        <v/>
      </c>
      <c r="G103" s="10">
        <f>IF(A103="","",IF($B103=1,Forecast!F103-Setup!$B$7,Forecast!F103))</f>
        <v/>
      </c>
      <c r="H103" s="10">
        <f>IF(A103="","",IF($B103=1,Forecast!G103-N(Setup!$D$27)*Setup!$B$9/12,Forecast!G103))</f>
        <v/>
      </c>
      <c r="I103" s="10">
        <f>IF(A103="","",IF($B103=1,F103-G103-H103,Forecast!H103))</f>
        <v/>
      </c>
      <c r="J103" s="10">
        <f>IF(A103="","",IF($B103=1,MAX(0,I103)*Setup!$B$10,Forecast!I103))</f>
        <v/>
      </c>
      <c r="K103" s="10">
        <f>IF(A103="","",IF($B103=1,I103-J103,Forecast!J103))</f>
        <v/>
      </c>
      <c r="L103" s="10">
        <f>IF(A103="","",IF($B103=1,K103+G103+Forecast!K103,Forecast!L103))</f>
        <v/>
      </c>
      <c r="M103" s="10">
        <f>IF(A103="","",IF($B103=1,Forecast!M103-Setup!$B$8,Forecast!M103))</f>
        <v/>
      </c>
      <c r="N103" s="10">
        <f>IF(A103="","",IF($B103=1,L103-M103,Forecast!O103))</f>
        <v/>
      </c>
      <c r="O103" s="10">
        <f>IF(A103="","",IF($B103=1,N103-Forecast!N103,Forecast!P103))</f>
        <v/>
      </c>
      <c r="P103" s="10">
        <f>IF(A103="","",(Forecast!$Q$5-Forecast!$P$5)+SUM($O$5:O103))</f>
        <v/>
      </c>
    </row>
    <row r="104">
      <c r="A104" s="5">
        <f>IF(Forecast!A104="","",Forecast!A104)</f>
        <v/>
      </c>
      <c r="B104" s="5">
        <f>IF(A104="","",IF(99&gt;=N(Setup!$C$27),1,0))</f>
        <v/>
      </c>
      <c r="C104" s="10">
        <f>IF(A104="","",IF($B104=1,Forecast!B104-Setup!$B$4,Forecast!B104))</f>
        <v/>
      </c>
      <c r="D104" s="10">
        <f>IF(A104="","",IF($B104=1,Forecast!C104-Setup!$B$5,Forecast!C104))</f>
        <v/>
      </c>
      <c r="E104" s="10">
        <f>IF(A104="","",IF($B104=1,Forecast!D104-Setup!$B$6,Forecast!D104))</f>
        <v/>
      </c>
      <c r="F104" s="10">
        <f>IF(A104="","",IF($B104=1,D104-E104,Forecast!E104))</f>
        <v/>
      </c>
      <c r="G104" s="10">
        <f>IF(A104="","",IF($B104=1,Forecast!F104-Setup!$B$7,Forecast!F104))</f>
        <v/>
      </c>
      <c r="H104" s="10">
        <f>IF(A104="","",IF($B104=1,Forecast!G104-N(Setup!$D$27)*Setup!$B$9/12,Forecast!G104))</f>
        <v/>
      </c>
      <c r="I104" s="10">
        <f>IF(A104="","",IF($B104=1,F104-G104-H104,Forecast!H104))</f>
        <v/>
      </c>
      <c r="J104" s="10">
        <f>IF(A104="","",IF($B104=1,MAX(0,I104)*Setup!$B$10,Forecast!I104))</f>
        <v/>
      </c>
      <c r="K104" s="10">
        <f>IF(A104="","",IF($B104=1,I104-J104,Forecast!J104))</f>
        <v/>
      </c>
      <c r="L104" s="10">
        <f>IF(A104="","",IF($B104=1,K104+G104+Forecast!K104,Forecast!L104))</f>
        <v/>
      </c>
      <c r="M104" s="10">
        <f>IF(A104="","",IF($B104=1,Forecast!M104-Setup!$B$8,Forecast!M104))</f>
        <v/>
      </c>
      <c r="N104" s="10">
        <f>IF(A104="","",IF($B104=1,L104-M104,Forecast!O104))</f>
        <v/>
      </c>
      <c r="O104" s="10">
        <f>IF(A104="","",IF($B104=1,N104-Forecast!N104,Forecast!P104))</f>
        <v/>
      </c>
      <c r="P104" s="10">
        <f>IF(A104="","",(Forecast!$Q$5-Forecast!$P$5)+SUM($O$5:O104))</f>
        <v/>
      </c>
    </row>
    <row r="105">
      <c r="A105" s="5">
        <f>IF(Forecast!A105="","",Forecast!A105)</f>
        <v/>
      </c>
      <c r="B105" s="5">
        <f>IF(A105="","",IF(100&gt;=N(Setup!$C$27),1,0))</f>
        <v/>
      </c>
      <c r="C105" s="10">
        <f>IF(A105="","",IF($B105=1,Forecast!B105-Setup!$B$4,Forecast!B105))</f>
        <v/>
      </c>
      <c r="D105" s="10">
        <f>IF(A105="","",IF($B105=1,Forecast!C105-Setup!$B$5,Forecast!C105))</f>
        <v/>
      </c>
      <c r="E105" s="10">
        <f>IF(A105="","",IF($B105=1,Forecast!D105-Setup!$B$6,Forecast!D105))</f>
        <v/>
      </c>
      <c r="F105" s="10">
        <f>IF(A105="","",IF($B105=1,D105-E105,Forecast!E105))</f>
        <v/>
      </c>
      <c r="G105" s="10">
        <f>IF(A105="","",IF($B105=1,Forecast!F105-Setup!$B$7,Forecast!F105))</f>
        <v/>
      </c>
      <c r="H105" s="10">
        <f>IF(A105="","",IF($B105=1,Forecast!G105-N(Setup!$D$27)*Setup!$B$9/12,Forecast!G105))</f>
        <v/>
      </c>
      <c r="I105" s="10">
        <f>IF(A105="","",IF($B105=1,F105-G105-H105,Forecast!H105))</f>
        <v/>
      </c>
      <c r="J105" s="10">
        <f>IF(A105="","",IF($B105=1,MAX(0,I105)*Setup!$B$10,Forecast!I105))</f>
        <v/>
      </c>
      <c r="K105" s="10">
        <f>IF(A105="","",IF($B105=1,I105-J105,Forecast!J105))</f>
        <v/>
      </c>
      <c r="L105" s="10">
        <f>IF(A105="","",IF($B105=1,K105+G105+Forecast!K105,Forecast!L105))</f>
        <v/>
      </c>
      <c r="M105" s="10">
        <f>IF(A105="","",IF($B105=1,Forecast!M105-Setup!$B$8,Forecast!M105))</f>
        <v/>
      </c>
      <c r="N105" s="10">
        <f>IF(A105="","",IF($B105=1,L105-M105,Forecast!O105))</f>
        <v/>
      </c>
      <c r="O105" s="10">
        <f>IF(A105="","",IF($B105=1,N105-Forecast!N105,Forecast!P105))</f>
        <v/>
      </c>
      <c r="P105" s="10">
        <f>IF(A105="","",(Forecast!$Q$5-Forecast!$P$5)+SUM($O$5:O105))</f>
        <v/>
      </c>
    </row>
    <row r="106">
      <c r="A106" s="5">
        <f>IF(Forecast!A106="","",Forecast!A106)</f>
        <v/>
      </c>
      <c r="B106" s="5">
        <f>IF(A106="","",IF(101&gt;=N(Setup!$C$27),1,0))</f>
        <v/>
      </c>
      <c r="C106" s="10">
        <f>IF(A106="","",IF($B106=1,Forecast!B106-Setup!$B$4,Forecast!B106))</f>
        <v/>
      </c>
      <c r="D106" s="10">
        <f>IF(A106="","",IF($B106=1,Forecast!C106-Setup!$B$5,Forecast!C106))</f>
        <v/>
      </c>
      <c r="E106" s="10">
        <f>IF(A106="","",IF($B106=1,Forecast!D106-Setup!$B$6,Forecast!D106))</f>
        <v/>
      </c>
      <c r="F106" s="10">
        <f>IF(A106="","",IF($B106=1,D106-E106,Forecast!E106))</f>
        <v/>
      </c>
      <c r="G106" s="10">
        <f>IF(A106="","",IF($B106=1,Forecast!F106-Setup!$B$7,Forecast!F106))</f>
        <v/>
      </c>
      <c r="H106" s="10">
        <f>IF(A106="","",IF($B106=1,Forecast!G106-N(Setup!$D$27)*Setup!$B$9/12,Forecast!G106))</f>
        <v/>
      </c>
      <c r="I106" s="10">
        <f>IF(A106="","",IF($B106=1,F106-G106-H106,Forecast!H106))</f>
        <v/>
      </c>
      <c r="J106" s="10">
        <f>IF(A106="","",IF($B106=1,MAX(0,I106)*Setup!$B$10,Forecast!I106))</f>
        <v/>
      </c>
      <c r="K106" s="10">
        <f>IF(A106="","",IF($B106=1,I106-J106,Forecast!J106))</f>
        <v/>
      </c>
      <c r="L106" s="10">
        <f>IF(A106="","",IF($B106=1,K106+G106+Forecast!K106,Forecast!L106))</f>
        <v/>
      </c>
      <c r="M106" s="10">
        <f>IF(A106="","",IF($B106=1,Forecast!M106-Setup!$B$8,Forecast!M106))</f>
        <v/>
      </c>
      <c r="N106" s="10">
        <f>IF(A106="","",IF($B106=1,L106-M106,Forecast!O106))</f>
        <v/>
      </c>
      <c r="O106" s="10">
        <f>IF(A106="","",IF($B106=1,N106-Forecast!N106,Forecast!P106))</f>
        <v/>
      </c>
      <c r="P106" s="10">
        <f>IF(A106="","",(Forecast!$Q$5-Forecast!$P$5)+SUM($O$5:O106))</f>
        <v/>
      </c>
    </row>
    <row r="107">
      <c r="A107" s="5">
        <f>IF(Forecast!A107="","",Forecast!A107)</f>
        <v/>
      </c>
      <c r="B107" s="5">
        <f>IF(A107="","",IF(102&gt;=N(Setup!$C$27),1,0))</f>
        <v/>
      </c>
      <c r="C107" s="10">
        <f>IF(A107="","",IF($B107=1,Forecast!B107-Setup!$B$4,Forecast!B107))</f>
        <v/>
      </c>
      <c r="D107" s="10">
        <f>IF(A107="","",IF($B107=1,Forecast!C107-Setup!$B$5,Forecast!C107))</f>
        <v/>
      </c>
      <c r="E107" s="10">
        <f>IF(A107="","",IF($B107=1,Forecast!D107-Setup!$B$6,Forecast!D107))</f>
        <v/>
      </c>
      <c r="F107" s="10">
        <f>IF(A107="","",IF($B107=1,D107-E107,Forecast!E107))</f>
        <v/>
      </c>
      <c r="G107" s="10">
        <f>IF(A107="","",IF($B107=1,Forecast!F107-Setup!$B$7,Forecast!F107))</f>
        <v/>
      </c>
      <c r="H107" s="10">
        <f>IF(A107="","",IF($B107=1,Forecast!G107-N(Setup!$D$27)*Setup!$B$9/12,Forecast!G107))</f>
        <v/>
      </c>
      <c r="I107" s="10">
        <f>IF(A107="","",IF($B107=1,F107-G107-H107,Forecast!H107))</f>
        <v/>
      </c>
      <c r="J107" s="10">
        <f>IF(A107="","",IF($B107=1,MAX(0,I107)*Setup!$B$10,Forecast!I107))</f>
        <v/>
      </c>
      <c r="K107" s="10">
        <f>IF(A107="","",IF($B107=1,I107-J107,Forecast!J107))</f>
        <v/>
      </c>
      <c r="L107" s="10">
        <f>IF(A107="","",IF($B107=1,K107+G107+Forecast!K107,Forecast!L107))</f>
        <v/>
      </c>
      <c r="M107" s="10">
        <f>IF(A107="","",IF($B107=1,Forecast!M107-Setup!$B$8,Forecast!M107))</f>
        <v/>
      </c>
      <c r="N107" s="10">
        <f>IF(A107="","",IF($B107=1,L107-M107,Forecast!O107))</f>
        <v/>
      </c>
      <c r="O107" s="10">
        <f>IF(A107="","",IF($B107=1,N107-Forecast!N107,Forecast!P107))</f>
        <v/>
      </c>
      <c r="P107" s="10">
        <f>IF(A107="","",(Forecast!$Q$5-Forecast!$P$5)+SUM($O$5:O107))</f>
        <v/>
      </c>
    </row>
    <row r="108">
      <c r="A108" s="5">
        <f>IF(Forecast!A108="","",Forecast!A108)</f>
        <v/>
      </c>
      <c r="B108" s="5">
        <f>IF(A108="","",IF(103&gt;=N(Setup!$C$27),1,0))</f>
        <v/>
      </c>
      <c r="C108" s="10">
        <f>IF(A108="","",IF($B108=1,Forecast!B108-Setup!$B$4,Forecast!B108))</f>
        <v/>
      </c>
      <c r="D108" s="10">
        <f>IF(A108="","",IF($B108=1,Forecast!C108-Setup!$B$5,Forecast!C108))</f>
        <v/>
      </c>
      <c r="E108" s="10">
        <f>IF(A108="","",IF($B108=1,Forecast!D108-Setup!$B$6,Forecast!D108))</f>
        <v/>
      </c>
      <c r="F108" s="10">
        <f>IF(A108="","",IF($B108=1,D108-E108,Forecast!E108))</f>
        <v/>
      </c>
      <c r="G108" s="10">
        <f>IF(A108="","",IF($B108=1,Forecast!F108-Setup!$B$7,Forecast!F108))</f>
        <v/>
      </c>
      <c r="H108" s="10">
        <f>IF(A108="","",IF($B108=1,Forecast!G108-N(Setup!$D$27)*Setup!$B$9/12,Forecast!G108))</f>
        <v/>
      </c>
      <c r="I108" s="10">
        <f>IF(A108="","",IF($B108=1,F108-G108-H108,Forecast!H108))</f>
        <v/>
      </c>
      <c r="J108" s="10">
        <f>IF(A108="","",IF($B108=1,MAX(0,I108)*Setup!$B$10,Forecast!I108))</f>
        <v/>
      </c>
      <c r="K108" s="10">
        <f>IF(A108="","",IF($B108=1,I108-J108,Forecast!J108))</f>
        <v/>
      </c>
      <c r="L108" s="10">
        <f>IF(A108="","",IF($B108=1,K108+G108+Forecast!K108,Forecast!L108))</f>
        <v/>
      </c>
      <c r="M108" s="10">
        <f>IF(A108="","",IF($B108=1,Forecast!M108-Setup!$B$8,Forecast!M108))</f>
        <v/>
      </c>
      <c r="N108" s="10">
        <f>IF(A108="","",IF($B108=1,L108-M108,Forecast!O108))</f>
        <v/>
      </c>
      <c r="O108" s="10">
        <f>IF(A108="","",IF($B108=1,N108-Forecast!N108,Forecast!P108))</f>
        <v/>
      </c>
      <c r="P108" s="10">
        <f>IF(A108="","",(Forecast!$Q$5-Forecast!$P$5)+SUM($O$5:O108))</f>
        <v/>
      </c>
    </row>
    <row r="109">
      <c r="A109" s="5">
        <f>IF(Forecast!A109="","",Forecast!A109)</f>
        <v/>
      </c>
      <c r="B109" s="5">
        <f>IF(A109="","",IF(104&gt;=N(Setup!$C$27),1,0))</f>
        <v/>
      </c>
      <c r="C109" s="10">
        <f>IF(A109="","",IF($B109=1,Forecast!B109-Setup!$B$4,Forecast!B109))</f>
        <v/>
      </c>
      <c r="D109" s="10">
        <f>IF(A109="","",IF($B109=1,Forecast!C109-Setup!$B$5,Forecast!C109))</f>
        <v/>
      </c>
      <c r="E109" s="10">
        <f>IF(A109="","",IF($B109=1,Forecast!D109-Setup!$B$6,Forecast!D109))</f>
        <v/>
      </c>
      <c r="F109" s="10">
        <f>IF(A109="","",IF($B109=1,D109-E109,Forecast!E109))</f>
        <v/>
      </c>
      <c r="G109" s="10">
        <f>IF(A109="","",IF($B109=1,Forecast!F109-Setup!$B$7,Forecast!F109))</f>
        <v/>
      </c>
      <c r="H109" s="10">
        <f>IF(A109="","",IF($B109=1,Forecast!G109-N(Setup!$D$27)*Setup!$B$9/12,Forecast!G109))</f>
        <v/>
      </c>
      <c r="I109" s="10">
        <f>IF(A109="","",IF($B109=1,F109-G109-H109,Forecast!H109))</f>
        <v/>
      </c>
      <c r="J109" s="10">
        <f>IF(A109="","",IF($B109=1,MAX(0,I109)*Setup!$B$10,Forecast!I109))</f>
        <v/>
      </c>
      <c r="K109" s="10">
        <f>IF(A109="","",IF($B109=1,I109-J109,Forecast!J109))</f>
        <v/>
      </c>
      <c r="L109" s="10">
        <f>IF(A109="","",IF($B109=1,K109+G109+Forecast!K109,Forecast!L109))</f>
        <v/>
      </c>
      <c r="M109" s="10">
        <f>IF(A109="","",IF($B109=1,Forecast!M109-Setup!$B$8,Forecast!M109))</f>
        <v/>
      </c>
      <c r="N109" s="10">
        <f>IF(A109="","",IF($B109=1,L109-M109,Forecast!O109))</f>
        <v/>
      </c>
      <c r="O109" s="10">
        <f>IF(A109="","",IF($B109=1,N109-Forecast!N109,Forecast!P109))</f>
        <v/>
      </c>
      <c r="P109" s="10">
        <f>IF(A109="","",(Forecast!$Q$5-Forecast!$P$5)+SUM($O$5:O109))</f>
        <v/>
      </c>
    </row>
    <row r="110">
      <c r="A110" s="5">
        <f>IF(Forecast!A110="","",Forecast!A110)</f>
        <v/>
      </c>
      <c r="B110" s="5">
        <f>IF(A110="","",IF(105&gt;=N(Setup!$C$27),1,0))</f>
        <v/>
      </c>
      <c r="C110" s="10">
        <f>IF(A110="","",IF($B110=1,Forecast!B110-Setup!$B$4,Forecast!B110))</f>
        <v/>
      </c>
      <c r="D110" s="10">
        <f>IF(A110="","",IF($B110=1,Forecast!C110-Setup!$B$5,Forecast!C110))</f>
        <v/>
      </c>
      <c r="E110" s="10">
        <f>IF(A110="","",IF($B110=1,Forecast!D110-Setup!$B$6,Forecast!D110))</f>
        <v/>
      </c>
      <c r="F110" s="10">
        <f>IF(A110="","",IF($B110=1,D110-E110,Forecast!E110))</f>
        <v/>
      </c>
      <c r="G110" s="10">
        <f>IF(A110="","",IF($B110=1,Forecast!F110-Setup!$B$7,Forecast!F110))</f>
        <v/>
      </c>
      <c r="H110" s="10">
        <f>IF(A110="","",IF($B110=1,Forecast!G110-N(Setup!$D$27)*Setup!$B$9/12,Forecast!G110))</f>
        <v/>
      </c>
      <c r="I110" s="10">
        <f>IF(A110="","",IF($B110=1,F110-G110-H110,Forecast!H110))</f>
        <v/>
      </c>
      <c r="J110" s="10">
        <f>IF(A110="","",IF($B110=1,MAX(0,I110)*Setup!$B$10,Forecast!I110))</f>
        <v/>
      </c>
      <c r="K110" s="10">
        <f>IF(A110="","",IF($B110=1,I110-J110,Forecast!J110))</f>
        <v/>
      </c>
      <c r="L110" s="10">
        <f>IF(A110="","",IF($B110=1,K110+G110+Forecast!K110,Forecast!L110))</f>
        <v/>
      </c>
      <c r="M110" s="10">
        <f>IF(A110="","",IF($B110=1,Forecast!M110-Setup!$B$8,Forecast!M110))</f>
        <v/>
      </c>
      <c r="N110" s="10">
        <f>IF(A110="","",IF($B110=1,L110-M110,Forecast!O110))</f>
        <v/>
      </c>
      <c r="O110" s="10">
        <f>IF(A110="","",IF($B110=1,N110-Forecast!N110,Forecast!P110))</f>
        <v/>
      </c>
      <c r="P110" s="10">
        <f>IF(A110="","",(Forecast!$Q$5-Forecast!$P$5)+SUM($O$5:O110))</f>
        <v/>
      </c>
    </row>
    <row r="111">
      <c r="A111" s="5">
        <f>IF(Forecast!A111="","",Forecast!A111)</f>
        <v/>
      </c>
      <c r="B111" s="5">
        <f>IF(A111="","",IF(106&gt;=N(Setup!$C$27),1,0))</f>
        <v/>
      </c>
      <c r="C111" s="10">
        <f>IF(A111="","",IF($B111=1,Forecast!B111-Setup!$B$4,Forecast!B111))</f>
        <v/>
      </c>
      <c r="D111" s="10">
        <f>IF(A111="","",IF($B111=1,Forecast!C111-Setup!$B$5,Forecast!C111))</f>
        <v/>
      </c>
      <c r="E111" s="10">
        <f>IF(A111="","",IF($B111=1,Forecast!D111-Setup!$B$6,Forecast!D111))</f>
        <v/>
      </c>
      <c r="F111" s="10">
        <f>IF(A111="","",IF($B111=1,D111-E111,Forecast!E111))</f>
        <v/>
      </c>
      <c r="G111" s="10">
        <f>IF(A111="","",IF($B111=1,Forecast!F111-Setup!$B$7,Forecast!F111))</f>
        <v/>
      </c>
      <c r="H111" s="10">
        <f>IF(A111="","",IF($B111=1,Forecast!G111-N(Setup!$D$27)*Setup!$B$9/12,Forecast!G111))</f>
        <v/>
      </c>
      <c r="I111" s="10">
        <f>IF(A111="","",IF($B111=1,F111-G111-H111,Forecast!H111))</f>
        <v/>
      </c>
      <c r="J111" s="10">
        <f>IF(A111="","",IF($B111=1,MAX(0,I111)*Setup!$B$10,Forecast!I111))</f>
        <v/>
      </c>
      <c r="K111" s="10">
        <f>IF(A111="","",IF($B111=1,I111-J111,Forecast!J111))</f>
        <v/>
      </c>
      <c r="L111" s="10">
        <f>IF(A111="","",IF($B111=1,K111+G111+Forecast!K111,Forecast!L111))</f>
        <v/>
      </c>
      <c r="M111" s="10">
        <f>IF(A111="","",IF($B111=1,Forecast!M111-Setup!$B$8,Forecast!M111))</f>
        <v/>
      </c>
      <c r="N111" s="10">
        <f>IF(A111="","",IF($B111=1,L111-M111,Forecast!O111))</f>
        <v/>
      </c>
      <c r="O111" s="10">
        <f>IF(A111="","",IF($B111=1,N111-Forecast!N111,Forecast!P111))</f>
        <v/>
      </c>
      <c r="P111" s="10">
        <f>IF(A111="","",(Forecast!$Q$5-Forecast!$P$5)+SUM($O$5:O111))</f>
        <v/>
      </c>
    </row>
    <row r="112">
      <c r="A112" s="5">
        <f>IF(Forecast!A112="","",Forecast!A112)</f>
        <v/>
      </c>
      <c r="B112" s="5">
        <f>IF(A112="","",IF(107&gt;=N(Setup!$C$27),1,0))</f>
        <v/>
      </c>
      <c r="C112" s="10">
        <f>IF(A112="","",IF($B112=1,Forecast!B112-Setup!$B$4,Forecast!B112))</f>
        <v/>
      </c>
      <c r="D112" s="10">
        <f>IF(A112="","",IF($B112=1,Forecast!C112-Setup!$B$5,Forecast!C112))</f>
        <v/>
      </c>
      <c r="E112" s="10">
        <f>IF(A112="","",IF($B112=1,Forecast!D112-Setup!$B$6,Forecast!D112))</f>
        <v/>
      </c>
      <c r="F112" s="10">
        <f>IF(A112="","",IF($B112=1,D112-E112,Forecast!E112))</f>
        <v/>
      </c>
      <c r="G112" s="10">
        <f>IF(A112="","",IF($B112=1,Forecast!F112-Setup!$B$7,Forecast!F112))</f>
        <v/>
      </c>
      <c r="H112" s="10">
        <f>IF(A112="","",IF($B112=1,Forecast!G112-N(Setup!$D$27)*Setup!$B$9/12,Forecast!G112))</f>
        <v/>
      </c>
      <c r="I112" s="10">
        <f>IF(A112="","",IF($B112=1,F112-G112-H112,Forecast!H112))</f>
        <v/>
      </c>
      <c r="J112" s="10">
        <f>IF(A112="","",IF($B112=1,MAX(0,I112)*Setup!$B$10,Forecast!I112))</f>
        <v/>
      </c>
      <c r="K112" s="10">
        <f>IF(A112="","",IF($B112=1,I112-J112,Forecast!J112))</f>
        <v/>
      </c>
      <c r="L112" s="10">
        <f>IF(A112="","",IF($B112=1,K112+G112+Forecast!K112,Forecast!L112))</f>
        <v/>
      </c>
      <c r="M112" s="10">
        <f>IF(A112="","",IF($B112=1,Forecast!M112-Setup!$B$8,Forecast!M112))</f>
        <v/>
      </c>
      <c r="N112" s="10">
        <f>IF(A112="","",IF($B112=1,L112-M112,Forecast!O112))</f>
        <v/>
      </c>
      <c r="O112" s="10">
        <f>IF(A112="","",IF($B112=1,N112-Forecast!N112,Forecast!P112))</f>
        <v/>
      </c>
      <c r="P112" s="10">
        <f>IF(A112="","",(Forecast!$Q$5-Forecast!$P$5)+SUM($O$5:O112))</f>
        <v/>
      </c>
    </row>
    <row r="113">
      <c r="A113" s="5">
        <f>IF(Forecast!A113="","",Forecast!A113)</f>
        <v/>
      </c>
      <c r="B113" s="5">
        <f>IF(A113="","",IF(108&gt;=N(Setup!$C$27),1,0))</f>
        <v/>
      </c>
      <c r="C113" s="10">
        <f>IF(A113="","",IF($B113=1,Forecast!B113-Setup!$B$4,Forecast!B113))</f>
        <v/>
      </c>
      <c r="D113" s="10">
        <f>IF(A113="","",IF($B113=1,Forecast!C113-Setup!$B$5,Forecast!C113))</f>
        <v/>
      </c>
      <c r="E113" s="10">
        <f>IF(A113="","",IF($B113=1,Forecast!D113-Setup!$B$6,Forecast!D113))</f>
        <v/>
      </c>
      <c r="F113" s="10">
        <f>IF(A113="","",IF($B113=1,D113-E113,Forecast!E113))</f>
        <v/>
      </c>
      <c r="G113" s="10">
        <f>IF(A113="","",IF($B113=1,Forecast!F113-Setup!$B$7,Forecast!F113))</f>
        <v/>
      </c>
      <c r="H113" s="10">
        <f>IF(A113="","",IF($B113=1,Forecast!G113-N(Setup!$D$27)*Setup!$B$9/12,Forecast!G113))</f>
        <v/>
      </c>
      <c r="I113" s="10">
        <f>IF(A113="","",IF($B113=1,F113-G113-H113,Forecast!H113))</f>
        <v/>
      </c>
      <c r="J113" s="10">
        <f>IF(A113="","",IF($B113=1,MAX(0,I113)*Setup!$B$10,Forecast!I113))</f>
        <v/>
      </c>
      <c r="K113" s="10">
        <f>IF(A113="","",IF($B113=1,I113-J113,Forecast!J113))</f>
        <v/>
      </c>
      <c r="L113" s="10">
        <f>IF(A113="","",IF($B113=1,K113+G113+Forecast!K113,Forecast!L113))</f>
        <v/>
      </c>
      <c r="M113" s="10">
        <f>IF(A113="","",IF($B113=1,Forecast!M113-Setup!$B$8,Forecast!M113))</f>
        <v/>
      </c>
      <c r="N113" s="10">
        <f>IF(A113="","",IF($B113=1,L113-M113,Forecast!O113))</f>
        <v/>
      </c>
      <c r="O113" s="10">
        <f>IF(A113="","",IF($B113=1,N113-Forecast!N113,Forecast!P113))</f>
        <v/>
      </c>
      <c r="P113" s="10">
        <f>IF(A113="","",(Forecast!$Q$5-Forecast!$P$5)+SUM($O$5:O113))</f>
        <v/>
      </c>
    </row>
    <row r="114">
      <c r="A114" s="5">
        <f>IF(Forecast!A114="","",Forecast!A114)</f>
        <v/>
      </c>
      <c r="B114" s="5">
        <f>IF(A114="","",IF(109&gt;=N(Setup!$C$27),1,0))</f>
        <v/>
      </c>
      <c r="C114" s="10">
        <f>IF(A114="","",IF($B114=1,Forecast!B114-Setup!$B$4,Forecast!B114))</f>
        <v/>
      </c>
      <c r="D114" s="10">
        <f>IF(A114="","",IF($B114=1,Forecast!C114-Setup!$B$5,Forecast!C114))</f>
        <v/>
      </c>
      <c r="E114" s="10">
        <f>IF(A114="","",IF($B114=1,Forecast!D114-Setup!$B$6,Forecast!D114))</f>
        <v/>
      </c>
      <c r="F114" s="10">
        <f>IF(A114="","",IF($B114=1,D114-E114,Forecast!E114))</f>
        <v/>
      </c>
      <c r="G114" s="10">
        <f>IF(A114="","",IF($B114=1,Forecast!F114-Setup!$B$7,Forecast!F114))</f>
        <v/>
      </c>
      <c r="H114" s="10">
        <f>IF(A114="","",IF($B114=1,Forecast!G114-N(Setup!$D$27)*Setup!$B$9/12,Forecast!G114))</f>
        <v/>
      </c>
      <c r="I114" s="10">
        <f>IF(A114="","",IF($B114=1,F114-G114-H114,Forecast!H114))</f>
        <v/>
      </c>
      <c r="J114" s="10">
        <f>IF(A114="","",IF($B114=1,MAX(0,I114)*Setup!$B$10,Forecast!I114))</f>
        <v/>
      </c>
      <c r="K114" s="10">
        <f>IF(A114="","",IF($B114=1,I114-J114,Forecast!J114))</f>
        <v/>
      </c>
      <c r="L114" s="10">
        <f>IF(A114="","",IF($B114=1,K114+G114+Forecast!K114,Forecast!L114))</f>
        <v/>
      </c>
      <c r="M114" s="10">
        <f>IF(A114="","",IF($B114=1,Forecast!M114-Setup!$B$8,Forecast!M114))</f>
        <v/>
      </c>
      <c r="N114" s="10">
        <f>IF(A114="","",IF($B114=1,L114-M114,Forecast!O114))</f>
        <v/>
      </c>
      <c r="O114" s="10">
        <f>IF(A114="","",IF($B114=1,N114-Forecast!N114,Forecast!P114))</f>
        <v/>
      </c>
      <c r="P114" s="10">
        <f>IF(A114="","",(Forecast!$Q$5-Forecast!$P$5)+SUM($O$5:O114))</f>
        <v/>
      </c>
    </row>
    <row r="115">
      <c r="A115" s="5">
        <f>IF(Forecast!A115="","",Forecast!A115)</f>
        <v/>
      </c>
      <c r="B115" s="5">
        <f>IF(A115="","",IF(110&gt;=N(Setup!$C$27),1,0))</f>
        <v/>
      </c>
      <c r="C115" s="10">
        <f>IF(A115="","",IF($B115=1,Forecast!B115-Setup!$B$4,Forecast!B115))</f>
        <v/>
      </c>
      <c r="D115" s="10">
        <f>IF(A115="","",IF($B115=1,Forecast!C115-Setup!$B$5,Forecast!C115))</f>
        <v/>
      </c>
      <c r="E115" s="10">
        <f>IF(A115="","",IF($B115=1,Forecast!D115-Setup!$B$6,Forecast!D115))</f>
        <v/>
      </c>
      <c r="F115" s="10">
        <f>IF(A115="","",IF($B115=1,D115-E115,Forecast!E115))</f>
        <v/>
      </c>
      <c r="G115" s="10">
        <f>IF(A115="","",IF($B115=1,Forecast!F115-Setup!$B$7,Forecast!F115))</f>
        <v/>
      </c>
      <c r="H115" s="10">
        <f>IF(A115="","",IF($B115=1,Forecast!G115-N(Setup!$D$27)*Setup!$B$9/12,Forecast!G115))</f>
        <v/>
      </c>
      <c r="I115" s="10">
        <f>IF(A115="","",IF($B115=1,F115-G115-H115,Forecast!H115))</f>
        <v/>
      </c>
      <c r="J115" s="10">
        <f>IF(A115="","",IF($B115=1,MAX(0,I115)*Setup!$B$10,Forecast!I115))</f>
        <v/>
      </c>
      <c r="K115" s="10">
        <f>IF(A115="","",IF($B115=1,I115-J115,Forecast!J115))</f>
        <v/>
      </c>
      <c r="L115" s="10">
        <f>IF(A115="","",IF($B115=1,K115+G115+Forecast!K115,Forecast!L115))</f>
        <v/>
      </c>
      <c r="M115" s="10">
        <f>IF(A115="","",IF($B115=1,Forecast!M115-Setup!$B$8,Forecast!M115))</f>
        <v/>
      </c>
      <c r="N115" s="10">
        <f>IF(A115="","",IF($B115=1,L115-M115,Forecast!O115))</f>
        <v/>
      </c>
      <c r="O115" s="10">
        <f>IF(A115="","",IF($B115=1,N115-Forecast!N115,Forecast!P115))</f>
        <v/>
      </c>
      <c r="P115" s="10">
        <f>IF(A115="","",(Forecast!$Q$5-Forecast!$P$5)+SUM($O$5:O115))</f>
        <v/>
      </c>
    </row>
    <row r="116">
      <c r="A116" s="5">
        <f>IF(Forecast!A116="","",Forecast!A116)</f>
        <v/>
      </c>
      <c r="B116" s="5">
        <f>IF(A116="","",IF(111&gt;=N(Setup!$C$27),1,0))</f>
        <v/>
      </c>
      <c r="C116" s="10">
        <f>IF(A116="","",IF($B116=1,Forecast!B116-Setup!$B$4,Forecast!B116))</f>
        <v/>
      </c>
      <c r="D116" s="10">
        <f>IF(A116="","",IF($B116=1,Forecast!C116-Setup!$B$5,Forecast!C116))</f>
        <v/>
      </c>
      <c r="E116" s="10">
        <f>IF(A116="","",IF($B116=1,Forecast!D116-Setup!$B$6,Forecast!D116))</f>
        <v/>
      </c>
      <c r="F116" s="10">
        <f>IF(A116="","",IF($B116=1,D116-E116,Forecast!E116))</f>
        <v/>
      </c>
      <c r="G116" s="10">
        <f>IF(A116="","",IF($B116=1,Forecast!F116-Setup!$B$7,Forecast!F116))</f>
        <v/>
      </c>
      <c r="H116" s="10">
        <f>IF(A116="","",IF($B116=1,Forecast!G116-N(Setup!$D$27)*Setup!$B$9/12,Forecast!G116))</f>
        <v/>
      </c>
      <c r="I116" s="10">
        <f>IF(A116="","",IF($B116=1,F116-G116-H116,Forecast!H116))</f>
        <v/>
      </c>
      <c r="J116" s="10">
        <f>IF(A116="","",IF($B116=1,MAX(0,I116)*Setup!$B$10,Forecast!I116))</f>
        <v/>
      </c>
      <c r="K116" s="10">
        <f>IF(A116="","",IF($B116=1,I116-J116,Forecast!J116))</f>
        <v/>
      </c>
      <c r="L116" s="10">
        <f>IF(A116="","",IF($B116=1,K116+G116+Forecast!K116,Forecast!L116))</f>
        <v/>
      </c>
      <c r="M116" s="10">
        <f>IF(A116="","",IF($B116=1,Forecast!M116-Setup!$B$8,Forecast!M116))</f>
        <v/>
      </c>
      <c r="N116" s="10">
        <f>IF(A116="","",IF($B116=1,L116-M116,Forecast!O116))</f>
        <v/>
      </c>
      <c r="O116" s="10">
        <f>IF(A116="","",IF($B116=1,N116-Forecast!N116,Forecast!P116))</f>
        <v/>
      </c>
      <c r="P116" s="10">
        <f>IF(A116="","",(Forecast!$Q$5-Forecast!$P$5)+SUM($O$5:O116))</f>
        <v/>
      </c>
    </row>
    <row r="117">
      <c r="A117" s="5">
        <f>IF(Forecast!A117="","",Forecast!A117)</f>
        <v/>
      </c>
      <c r="B117" s="5">
        <f>IF(A117="","",IF(112&gt;=N(Setup!$C$27),1,0))</f>
        <v/>
      </c>
      <c r="C117" s="10">
        <f>IF(A117="","",IF($B117=1,Forecast!B117-Setup!$B$4,Forecast!B117))</f>
        <v/>
      </c>
      <c r="D117" s="10">
        <f>IF(A117="","",IF($B117=1,Forecast!C117-Setup!$B$5,Forecast!C117))</f>
        <v/>
      </c>
      <c r="E117" s="10">
        <f>IF(A117="","",IF($B117=1,Forecast!D117-Setup!$B$6,Forecast!D117))</f>
        <v/>
      </c>
      <c r="F117" s="10">
        <f>IF(A117="","",IF($B117=1,D117-E117,Forecast!E117))</f>
        <v/>
      </c>
      <c r="G117" s="10">
        <f>IF(A117="","",IF($B117=1,Forecast!F117-Setup!$B$7,Forecast!F117))</f>
        <v/>
      </c>
      <c r="H117" s="10">
        <f>IF(A117="","",IF($B117=1,Forecast!G117-N(Setup!$D$27)*Setup!$B$9/12,Forecast!G117))</f>
        <v/>
      </c>
      <c r="I117" s="10">
        <f>IF(A117="","",IF($B117=1,F117-G117-H117,Forecast!H117))</f>
        <v/>
      </c>
      <c r="J117" s="10">
        <f>IF(A117="","",IF($B117=1,MAX(0,I117)*Setup!$B$10,Forecast!I117))</f>
        <v/>
      </c>
      <c r="K117" s="10">
        <f>IF(A117="","",IF($B117=1,I117-J117,Forecast!J117))</f>
        <v/>
      </c>
      <c r="L117" s="10">
        <f>IF(A117="","",IF($B117=1,K117+G117+Forecast!K117,Forecast!L117))</f>
        <v/>
      </c>
      <c r="M117" s="10">
        <f>IF(A117="","",IF($B117=1,Forecast!M117-Setup!$B$8,Forecast!M117))</f>
        <v/>
      </c>
      <c r="N117" s="10">
        <f>IF(A117="","",IF($B117=1,L117-M117,Forecast!O117))</f>
        <v/>
      </c>
      <c r="O117" s="10">
        <f>IF(A117="","",IF($B117=1,N117-Forecast!N117,Forecast!P117))</f>
        <v/>
      </c>
      <c r="P117" s="10">
        <f>IF(A117="","",(Forecast!$Q$5-Forecast!$P$5)+SUM($O$5:O117))</f>
        <v/>
      </c>
    </row>
    <row r="118">
      <c r="A118" s="5">
        <f>IF(Forecast!A118="","",Forecast!A118)</f>
        <v/>
      </c>
      <c r="B118" s="5">
        <f>IF(A118="","",IF(113&gt;=N(Setup!$C$27),1,0))</f>
        <v/>
      </c>
      <c r="C118" s="10">
        <f>IF(A118="","",IF($B118=1,Forecast!B118-Setup!$B$4,Forecast!B118))</f>
        <v/>
      </c>
      <c r="D118" s="10">
        <f>IF(A118="","",IF($B118=1,Forecast!C118-Setup!$B$5,Forecast!C118))</f>
        <v/>
      </c>
      <c r="E118" s="10">
        <f>IF(A118="","",IF($B118=1,Forecast!D118-Setup!$B$6,Forecast!D118))</f>
        <v/>
      </c>
      <c r="F118" s="10">
        <f>IF(A118="","",IF($B118=1,D118-E118,Forecast!E118))</f>
        <v/>
      </c>
      <c r="G118" s="10">
        <f>IF(A118="","",IF($B118=1,Forecast!F118-Setup!$B$7,Forecast!F118))</f>
        <v/>
      </c>
      <c r="H118" s="10">
        <f>IF(A118="","",IF($B118=1,Forecast!G118-N(Setup!$D$27)*Setup!$B$9/12,Forecast!G118))</f>
        <v/>
      </c>
      <c r="I118" s="10">
        <f>IF(A118="","",IF($B118=1,F118-G118-H118,Forecast!H118))</f>
        <v/>
      </c>
      <c r="J118" s="10">
        <f>IF(A118="","",IF($B118=1,MAX(0,I118)*Setup!$B$10,Forecast!I118))</f>
        <v/>
      </c>
      <c r="K118" s="10">
        <f>IF(A118="","",IF($B118=1,I118-J118,Forecast!J118))</f>
        <v/>
      </c>
      <c r="L118" s="10">
        <f>IF(A118="","",IF($B118=1,K118+G118+Forecast!K118,Forecast!L118))</f>
        <v/>
      </c>
      <c r="M118" s="10">
        <f>IF(A118="","",IF($B118=1,Forecast!M118-Setup!$B$8,Forecast!M118))</f>
        <v/>
      </c>
      <c r="N118" s="10">
        <f>IF(A118="","",IF($B118=1,L118-M118,Forecast!O118))</f>
        <v/>
      </c>
      <c r="O118" s="10">
        <f>IF(A118="","",IF($B118=1,N118-Forecast!N118,Forecast!P118))</f>
        <v/>
      </c>
      <c r="P118" s="10">
        <f>IF(A118="","",(Forecast!$Q$5-Forecast!$P$5)+SUM($O$5:O118))</f>
        <v/>
      </c>
    </row>
    <row r="119">
      <c r="A119" s="5">
        <f>IF(Forecast!A119="","",Forecast!A119)</f>
        <v/>
      </c>
      <c r="B119" s="5">
        <f>IF(A119="","",IF(114&gt;=N(Setup!$C$27),1,0))</f>
        <v/>
      </c>
      <c r="C119" s="10">
        <f>IF(A119="","",IF($B119=1,Forecast!B119-Setup!$B$4,Forecast!B119))</f>
        <v/>
      </c>
      <c r="D119" s="10">
        <f>IF(A119="","",IF($B119=1,Forecast!C119-Setup!$B$5,Forecast!C119))</f>
        <v/>
      </c>
      <c r="E119" s="10">
        <f>IF(A119="","",IF($B119=1,Forecast!D119-Setup!$B$6,Forecast!D119))</f>
        <v/>
      </c>
      <c r="F119" s="10">
        <f>IF(A119="","",IF($B119=1,D119-E119,Forecast!E119))</f>
        <v/>
      </c>
      <c r="G119" s="10">
        <f>IF(A119="","",IF($B119=1,Forecast!F119-Setup!$B$7,Forecast!F119))</f>
        <v/>
      </c>
      <c r="H119" s="10">
        <f>IF(A119="","",IF($B119=1,Forecast!G119-N(Setup!$D$27)*Setup!$B$9/12,Forecast!G119))</f>
        <v/>
      </c>
      <c r="I119" s="10">
        <f>IF(A119="","",IF($B119=1,F119-G119-H119,Forecast!H119))</f>
        <v/>
      </c>
      <c r="J119" s="10">
        <f>IF(A119="","",IF($B119=1,MAX(0,I119)*Setup!$B$10,Forecast!I119))</f>
        <v/>
      </c>
      <c r="K119" s="10">
        <f>IF(A119="","",IF($B119=1,I119-J119,Forecast!J119))</f>
        <v/>
      </c>
      <c r="L119" s="10">
        <f>IF(A119="","",IF($B119=1,K119+G119+Forecast!K119,Forecast!L119))</f>
        <v/>
      </c>
      <c r="M119" s="10">
        <f>IF(A119="","",IF($B119=1,Forecast!M119-Setup!$B$8,Forecast!M119))</f>
        <v/>
      </c>
      <c r="N119" s="10">
        <f>IF(A119="","",IF($B119=1,L119-M119,Forecast!O119))</f>
        <v/>
      </c>
      <c r="O119" s="10">
        <f>IF(A119="","",IF($B119=1,N119-Forecast!N119,Forecast!P119))</f>
        <v/>
      </c>
      <c r="P119" s="10">
        <f>IF(A119="","",(Forecast!$Q$5-Forecast!$P$5)+SUM($O$5:O119))</f>
        <v/>
      </c>
    </row>
    <row r="120">
      <c r="A120" s="5">
        <f>IF(Forecast!A120="","",Forecast!A120)</f>
        <v/>
      </c>
      <c r="B120" s="5">
        <f>IF(A120="","",IF(115&gt;=N(Setup!$C$27),1,0))</f>
        <v/>
      </c>
      <c r="C120" s="10">
        <f>IF(A120="","",IF($B120=1,Forecast!B120-Setup!$B$4,Forecast!B120))</f>
        <v/>
      </c>
      <c r="D120" s="10">
        <f>IF(A120="","",IF($B120=1,Forecast!C120-Setup!$B$5,Forecast!C120))</f>
        <v/>
      </c>
      <c r="E120" s="10">
        <f>IF(A120="","",IF($B120=1,Forecast!D120-Setup!$B$6,Forecast!D120))</f>
        <v/>
      </c>
      <c r="F120" s="10">
        <f>IF(A120="","",IF($B120=1,D120-E120,Forecast!E120))</f>
        <v/>
      </c>
      <c r="G120" s="10">
        <f>IF(A120="","",IF($B120=1,Forecast!F120-Setup!$B$7,Forecast!F120))</f>
        <v/>
      </c>
      <c r="H120" s="10">
        <f>IF(A120="","",IF($B120=1,Forecast!G120-N(Setup!$D$27)*Setup!$B$9/12,Forecast!G120))</f>
        <v/>
      </c>
      <c r="I120" s="10">
        <f>IF(A120="","",IF($B120=1,F120-G120-H120,Forecast!H120))</f>
        <v/>
      </c>
      <c r="J120" s="10">
        <f>IF(A120="","",IF($B120=1,MAX(0,I120)*Setup!$B$10,Forecast!I120))</f>
        <v/>
      </c>
      <c r="K120" s="10">
        <f>IF(A120="","",IF($B120=1,I120-J120,Forecast!J120))</f>
        <v/>
      </c>
      <c r="L120" s="10">
        <f>IF(A120="","",IF($B120=1,K120+G120+Forecast!K120,Forecast!L120))</f>
        <v/>
      </c>
      <c r="M120" s="10">
        <f>IF(A120="","",IF($B120=1,Forecast!M120-Setup!$B$8,Forecast!M120))</f>
        <v/>
      </c>
      <c r="N120" s="10">
        <f>IF(A120="","",IF($B120=1,L120-M120,Forecast!O120))</f>
        <v/>
      </c>
      <c r="O120" s="10">
        <f>IF(A120="","",IF($B120=1,N120-Forecast!N120,Forecast!P120))</f>
        <v/>
      </c>
      <c r="P120" s="10">
        <f>IF(A120="","",(Forecast!$Q$5-Forecast!$P$5)+SUM($O$5:O120))</f>
        <v/>
      </c>
    </row>
    <row r="121">
      <c r="A121" s="5">
        <f>IF(Forecast!A121="","",Forecast!A121)</f>
        <v/>
      </c>
      <c r="B121" s="5">
        <f>IF(A121="","",IF(116&gt;=N(Setup!$C$27),1,0))</f>
        <v/>
      </c>
      <c r="C121" s="10">
        <f>IF(A121="","",IF($B121=1,Forecast!B121-Setup!$B$4,Forecast!B121))</f>
        <v/>
      </c>
      <c r="D121" s="10">
        <f>IF(A121="","",IF($B121=1,Forecast!C121-Setup!$B$5,Forecast!C121))</f>
        <v/>
      </c>
      <c r="E121" s="10">
        <f>IF(A121="","",IF($B121=1,Forecast!D121-Setup!$B$6,Forecast!D121))</f>
        <v/>
      </c>
      <c r="F121" s="10">
        <f>IF(A121="","",IF($B121=1,D121-E121,Forecast!E121))</f>
        <v/>
      </c>
      <c r="G121" s="10">
        <f>IF(A121="","",IF($B121=1,Forecast!F121-Setup!$B$7,Forecast!F121))</f>
        <v/>
      </c>
      <c r="H121" s="10">
        <f>IF(A121="","",IF($B121=1,Forecast!G121-N(Setup!$D$27)*Setup!$B$9/12,Forecast!G121))</f>
        <v/>
      </c>
      <c r="I121" s="10">
        <f>IF(A121="","",IF($B121=1,F121-G121-H121,Forecast!H121))</f>
        <v/>
      </c>
      <c r="J121" s="10">
        <f>IF(A121="","",IF($B121=1,MAX(0,I121)*Setup!$B$10,Forecast!I121))</f>
        <v/>
      </c>
      <c r="K121" s="10">
        <f>IF(A121="","",IF($B121=1,I121-J121,Forecast!J121))</f>
        <v/>
      </c>
      <c r="L121" s="10">
        <f>IF(A121="","",IF($B121=1,K121+G121+Forecast!K121,Forecast!L121))</f>
        <v/>
      </c>
      <c r="M121" s="10">
        <f>IF(A121="","",IF($B121=1,Forecast!M121-Setup!$B$8,Forecast!M121))</f>
        <v/>
      </c>
      <c r="N121" s="10">
        <f>IF(A121="","",IF($B121=1,L121-M121,Forecast!O121))</f>
        <v/>
      </c>
      <c r="O121" s="10">
        <f>IF(A121="","",IF($B121=1,N121-Forecast!N121,Forecast!P121))</f>
        <v/>
      </c>
      <c r="P121" s="10">
        <f>IF(A121="","",(Forecast!$Q$5-Forecast!$P$5)+SUM($O$5:O121))</f>
        <v/>
      </c>
    </row>
    <row r="122">
      <c r="A122" s="5">
        <f>IF(Forecast!A122="","",Forecast!A122)</f>
        <v/>
      </c>
      <c r="B122" s="5">
        <f>IF(A122="","",IF(117&gt;=N(Setup!$C$27),1,0))</f>
        <v/>
      </c>
      <c r="C122" s="10">
        <f>IF(A122="","",IF($B122=1,Forecast!B122-Setup!$B$4,Forecast!B122))</f>
        <v/>
      </c>
      <c r="D122" s="10">
        <f>IF(A122="","",IF($B122=1,Forecast!C122-Setup!$B$5,Forecast!C122))</f>
        <v/>
      </c>
      <c r="E122" s="10">
        <f>IF(A122="","",IF($B122=1,Forecast!D122-Setup!$B$6,Forecast!D122))</f>
        <v/>
      </c>
      <c r="F122" s="10">
        <f>IF(A122="","",IF($B122=1,D122-E122,Forecast!E122))</f>
        <v/>
      </c>
      <c r="G122" s="10">
        <f>IF(A122="","",IF($B122=1,Forecast!F122-Setup!$B$7,Forecast!F122))</f>
        <v/>
      </c>
      <c r="H122" s="10">
        <f>IF(A122="","",IF($B122=1,Forecast!G122-N(Setup!$D$27)*Setup!$B$9/12,Forecast!G122))</f>
        <v/>
      </c>
      <c r="I122" s="10">
        <f>IF(A122="","",IF($B122=1,F122-G122-H122,Forecast!H122))</f>
        <v/>
      </c>
      <c r="J122" s="10">
        <f>IF(A122="","",IF($B122=1,MAX(0,I122)*Setup!$B$10,Forecast!I122))</f>
        <v/>
      </c>
      <c r="K122" s="10">
        <f>IF(A122="","",IF($B122=1,I122-J122,Forecast!J122))</f>
        <v/>
      </c>
      <c r="L122" s="10">
        <f>IF(A122="","",IF($B122=1,K122+G122+Forecast!K122,Forecast!L122))</f>
        <v/>
      </c>
      <c r="M122" s="10">
        <f>IF(A122="","",IF($B122=1,Forecast!M122-Setup!$B$8,Forecast!M122))</f>
        <v/>
      </c>
      <c r="N122" s="10">
        <f>IF(A122="","",IF($B122=1,L122-M122,Forecast!O122))</f>
        <v/>
      </c>
      <c r="O122" s="10">
        <f>IF(A122="","",IF($B122=1,N122-Forecast!N122,Forecast!P122))</f>
        <v/>
      </c>
      <c r="P122" s="10">
        <f>IF(A122="","",(Forecast!$Q$5-Forecast!$P$5)+SUM($O$5:O122))</f>
        <v/>
      </c>
    </row>
    <row r="123">
      <c r="A123" s="5">
        <f>IF(Forecast!A123="","",Forecast!A123)</f>
        <v/>
      </c>
      <c r="B123" s="5">
        <f>IF(A123="","",IF(118&gt;=N(Setup!$C$27),1,0))</f>
        <v/>
      </c>
      <c r="C123" s="10">
        <f>IF(A123="","",IF($B123=1,Forecast!B123-Setup!$B$4,Forecast!B123))</f>
        <v/>
      </c>
      <c r="D123" s="10">
        <f>IF(A123="","",IF($B123=1,Forecast!C123-Setup!$B$5,Forecast!C123))</f>
        <v/>
      </c>
      <c r="E123" s="10">
        <f>IF(A123="","",IF($B123=1,Forecast!D123-Setup!$B$6,Forecast!D123))</f>
        <v/>
      </c>
      <c r="F123" s="10">
        <f>IF(A123="","",IF($B123=1,D123-E123,Forecast!E123))</f>
        <v/>
      </c>
      <c r="G123" s="10">
        <f>IF(A123="","",IF($B123=1,Forecast!F123-Setup!$B$7,Forecast!F123))</f>
        <v/>
      </c>
      <c r="H123" s="10">
        <f>IF(A123="","",IF($B123=1,Forecast!G123-N(Setup!$D$27)*Setup!$B$9/12,Forecast!G123))</f>
        <v/>
      </c>
      <c r="I123" s="10">
        <f>IF(A123="","",IF($B123=1,F123-G123-H123,Forecast!H123))</f>
        <v/>
      </c>
      <c r="J123" s="10">
        <f>IF(A123="","",IF($B123=1,MAX(0,I123)*Setup!$B$10,Forecast!I123))</f>
        <v/>
      </c>
      <c r="K123" s="10">
        <f>IF(A123="","",IF($B123=1,I123-J123,Forecast!J123))</f>
        <v/>
      </c>
      <c r="L123" s="10">
        <f>IF(A123="","",IF($B123=1,K123+G123+Forecast!K123,Forecast!L123))</f>
        <v/>
      </c>
      <c r="M123" s="10">
        <f>IF(A123="","",IF($B123=1,Forecast!M123-Setup!$B$8,Forecast!M123))</f>
        <v/>
      </c>
      <c r="N123" s="10">
        <f>IF(A123="","",IF($B123=1,L123-M123,Forecast!O123))</f>
        <v/>
      </c>
      <c r="O123" s="10">
        <f>IF(A123="","",IF($B123=1,N123-Forecast!N123,Forecast!P123))</f>
        <v/>
      </c>
      <c r="P123" s="10">
        <f>IF(A123="","",(Forecast!$Q$5-Forecast!$P$5)+SUM($O$5:O123))</f>
        <v/>
      </c>
    </row>
    <row r="124">
      <c r="A124" s="5">
        <f>IF(Forecast!A124="","",Forecast!A124)</f>
        <v/>
      </c>
      <c r="B124" s="5">
        <f>IF(A124="","",IF(119&gt;=N(Setup!$C$27),1,0))</f>
        <v/>
      </c>
      <c r="C124" s="10">
        <f>IF(A124="","",IF($B124=1,Forecast!B124-Setup!$B$4,Forecast!B124))</f>
        <v/>
      </c>
      <c r="D124" s="10">
        <f>IF(A124="","",IF($B124=1,Forecast!C124-Setup!$B$5,Forecast!C124))</f>
        <v/>
      </c>
      <c r="E124" s="10">
        <f>IF(A124="","",IF($B124=1,Forecast!D124-Setup!$B$6,Forecast!D124))</f>
        <v/>
      </c>
      <c r="F124" s="10">
        <f>IF(A124="","",IF($B124=1,D124-E124,Forecast!E124))</f>
        <v/>
      </c>
      <c r="G124" s="10">
        <f>IF(A124="","",IF($B124=1,Forecast!F124-Setup!$B$7,Forecast!F124))</f>
        <v/>
      </c>
      <c r="H124" s="10">
        <f>IF(A124="","",IF($B124=1,Forecast!G124-N(Setup!$D$27)*Setup!$B$9/12,Forecast!G124))</f>
        <v/>
      </c>
      <c r="I124" s="10">
        <f>IF(A124="","",IF($B124=1,F124-G124-H124,Forecast!H124))</f>
        <v/>
      </c>
      <c r="J124" s="10">
        <f>IF(A124="","",IF($B124=1,MAX(0,I124)*Setup!$B$10,Forecast!I124))</f>
        <v/>
      </c>
      <c r="K124" s="10">
        <f>IF(A124="","",IF($B124=1,I124-J124,Forecast!J124))</f>
        <v/>
      </c>
      <c r="L124" s="10">
        <f>IF(A124="","",IF($B124=1,K124+G124+Forecast!K124,Forecast!L124))</f>
        <v/>
      </c>
      <c r="M124" s="10">
        <f>IF(A124="","",IF($B124=1,Forecast!M124-Setup!$B$8,Forecast!M124))</f>
        <v/>
      </c>
      <c r="N124" s="10">
        <f>IF(A124="","",IF($B124=1,L124-M124,Forecast!O124))</f>
        <v/>
      </c>
      <c r="O124" s="10">
        <f>IF(A124="","",IF($B124=1,N124-Forecast!N124,Forecast!P124))</f>
        <v/>
      </c>
      <c r="P124" s="10">
        <f>IF(A124="","",(Forecast!$Q$5-Forecast!$P$5)+SUM($O$5:O124))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6" customWidth="1" min="2" max="2"/>
    <col width="18" customWidth="1" min="5" max="5"/>
    <col width="18" customWidth="1" min="6" max="6"/>
    <col width="18" customWidth="1" min="7" max="7"/>
    <col width="12" customWidth="1" min="9" max="9"/>
    <col width="60" customWidth="1" min="10" max="10"/>
  </cols>
  <sheetData>
    <row r="1">
      <c r="A1" s="1" t="inlineStr">
        <is>
          <t>Scenario grid - horizon FCF and run-rate leverage</t>
        </is>
      </c>
    </row>
    <row r="2"/>
    <row r="3"/>
    <row r="4">
      <c r="A4" s="6" t="inlineStr">
        <is>
          <t>slot</t>
        </is>
      </c>
      <c r="B4" s="6" t="inlineStr">
        <is>
          <t>scenario</t>
        </is>
      </c>
      <c r="C4" s="6" t="inlineStr">
        <is>
          <t>sale_month</t>
        </is>
      </c>
      <c r="D4" s="6" t="inlineStr">
        <is>
          <t>proceeds</t>
        </is>
      </c>
      <c r="E4" s="6" t="inlineStr">
        <is>
          <t>horizon FCF</t>
        </is>
      </c>
      <c r="F4" s="6" t="inlineStr">
        <is>
          <t>final-12m EBITDA</t>
        </is>
      </c>
      <c r="G4" s="6" t="inlineStr">
        <is>
          <t>net debt</t>
        </is>
      </c>
      <c r="H4" s="6" t="inlineStr">
        <is>
          <t>net debt / EBITDA</t>
        </is>
      </c>
      <c r="I4" s="6" t="inlineStr">
        <is>
          <t>display</t>
        </is>
      </c>
      <c r="J4" s="6" t="inlineStr">
        <is>
          <t>markdown row</t>
        </is>
      </c>
    </row>
    <row r="5">
      <c r="A5" s="5" t="n">
        <v>0</v>
      </c>
      <c r="B5" s="5">
        <f>Setup!B17</f>
        <v/>
      </c>
      <c r="C5" s="5">
        <f>IF(A5=0,"-",Setup!C17)</f>
        <v/>
      </c>
      <c r="D5" s="10">
        <f>N(Setup!D17)</f>
        <v/>
      </c>
      <c r="E5" s="10">
        <f>IF(B5=0,"",SUM(S0!N5:N124))</f>
        <v/>
      </c>
      <c r="F5" s="10">
        <f>IF(B5=0,"",SUMIFS(S0!F5:F124,S0!$A$5:$A$124,"&gt;"&amp;(Setup!$B$13-12)))</f>
        <v/>
      </c>
      <c r="G5" s="10">
        <f>IF(B5=0,"",Setup!$B$11-D5-Setup!$B$12)</f>
        <v/>
      </c>
      <c r="H5" s="13">
        <f>IF(B5=0,"",IF(F5=0,"inf",G5/F5))</f>
        <v/>
      </c>
      <c r="I5" s="5">
        <f>IF(B5=0,"",IF(H5="inf","inf",IF(H5&lt;0,"net cash",TEXT(H5,"0.00")&amp;"x")))</f>
        <v/>
      </c>
      <c r="J5" s="5">
        <f>IF(B5=0,"","| "&amp;B5&amp;" | "&amp;TEXT(E5,"#,##0")&amp;" | "&amp;I5&amp;" |")</f>
        <v/>
      </c>
    </row>
    <row r="6">
      <c r="A6" s="5" t="n">
        <v>1</v>
      </c>
      <c r="B6" s="5">
        <f>Setup!B18</f>
        <v/>
      </c>
      <c r="C6" s="5">
        <f>IF(A6=0,"-",Setup!C18)</f>
        <v/>
      </c>
      <c r="D6" s="10">
        <f>N(Setup!D18)</f>
        <v/>
      </c>
      <c r="E6" s="10">
        <f>IF(B6=0,"",SUM(S1!N5:N124))</f>
        <v/>
      </c>
      <c r="F6" s="10">
        <f>IF(B6=0,"",SUMIFS(S1!F5:F124,S1!$A$5:$A$124,"&gt;"&amp;(Setup!$B$13-12)))</f>
        <v/>
      </c>
      <c r="G6" s="10">
        <f>IF(B6=0,"",Setup!$B$11-D6-Setup!$B$12)</f>
        <v/>
      </c>
      <c r="H6" s="13">
        <f>IF(B6=0,"",IF(F6=0,"inf",G6/F6))</f>
        <v/>
      </c>
      <c r="I6" s="5">
        <f>IF(B6=0,"",IF(H6="inf","inf",IF(H6&lt;0,"net cash",TEXT(H6,"0.00")&amp;"x")))</f>
        <v/>
      </c>
      <c r="J6" s="5">
        <f>IF(B6=0,"","| "&amp;B6&amp;" | "&amp;TEXT(E6,"#,##0")&amp;" | "&amp;I6&amp;" |")</f>
        <v/>
      </c>
    </row>
    <row r="7">
      <c r="A7" s="5" t="n">
        <v>2</v>
      </c>
      <c r="B7" s="5">
        <f>Setup!B19</f>
        <v/>
      </c>
      <c r="C7" s="5">
        <f>IF(A7=0,"-",Setup!C19)</f>
        <v/>
      </c>
      <c r="D7" s="10">
        <f>N(Setup!D19)</f>
        <v/>
      </c>
      <c r="E7" s="10">
        <f>IF(B7=0,"",SUM(S2!N5:N124))</f>
        <v/>
      </c>
      <c r="F7" s="10">
        <f>IF(B7=0,"",SUMIFS(S2!F5:F124,S2!$A$5:$A$124,"&gt;"&amp;(Setup!$B$13-12)))</f>
        <v/>
      </c>
      <c r="G7" s="10">
        <f>IF(B7=0,"",Setup!$B$11-D7-Setup!$B$12)</f>
        <v/>
      </c>
      <c r="H7" s="13">
        <f>IF(B7=0,"",IF(F7=0,"inf",G7/F7))</f>
        <v/>
      </c>
      <c r="I7" s="5">
        <f>IF(B7=0,"",IF(H7="inf","inf",IF(H7&lt;0,"net cash",TEXT(H7,"0.00")&amp;"x")))</f>
        <v/>
      </c>
      <c r="J7" s="5">
        <f>IF(B7=0,"","| "&amp;B7&amp;" | "&amp;TEXT(E7,"#,##0")&amp;" | "&amp;I7&amp;" |")</f>
        <v/>
      </c>
    </row>
    <row r="8">
      <c r="A8" s="5" t="n">
        <v>3</v>
      </c>
      <c r="B8" s="5">
        <f>Setup!B20</f>
        <v/>
      </c>
      <c r="C8" s="5">
        <f>IF(A8=0,"-",Setup!C20)</f>
        <v/>
      </c>
      <c r="D8" s="10">
        <f>N(Setup!D20)</f>
        <v/>
      </c>
      <c r="E8" s="10">
        <f>IF(B8=0,"",SUM(S3!N5:N124))</f>
        <v/>
      </c>
      <c r="F8" s="10">
        <f>IF(B8=0,"",SUMIFS(S3!F5:F124,S3!$A$5:$A$124,"&gt;"&amp;(Setup!$B$13-12)))</f>
        <v/>
      </c>
      <c r="G8" s="10">
        <f>IF(B8=0,"",Setup!$B$11-D8-Setup!$B$12)</f>
        <v/>
      </c>
      <c r="H8" s="13">
        <f>IF(B8=0,"",IF(F8=0,"inf",G8/F8))</f>
        <v/>
      </c>
      <c r="I8" s="5">
        <f>IF(B8=0,"",IF(H8="inf","inf",IF(H8&lt;0,"net cash",TEXT(H8,"0.00")&amp;"x")))</f>
        <v/>
      </c>
      <c r="J8" s="5">
        <f>IF(B8=0,"","| "&amp;B8&amp;" | "&amp;TEXT(E8,"#,##0")&amp;" | "&amp;I8&amp;" |")</f>
        <v/>
      </c>
    </row>
    <row r="9">
      <c r="A9" s="5" t="n">
        <v>4</v>
      </c>
      <c r="B9" s="5">
        <f>Setup!B21</f>
        <v/>
      </c>
      <c r="C9" s="5">
        <f>IF(A9=0,"-",Setup!C21)</f>
        <v/>
      </c>
      <c r="D9" s="10">
        <f>N(Setup!D21)</f>
        <v/>
      </c>
      <c r="E9" s="10">
        <f>IF(B9=0,"",SUM(S4!N5:N124))</f>
        <v/>
      </c>
      <c r="F9" s="10">
        <f>IF(B9=0,"",SUMIFS(S4!F5:F124,S4!$A$5:$A$124,"&gt;"&amp;(Setup!$B$13-12)))</f>
        <v/>
      </c>
      <c r="G9" s="10">
        <f>IF(B9=0,"",Setup!$B$11-D9-Setup!$B$12)</f>
        <v/>
      </c>
      <c r="H9" s="13">
        <f>IF(B9=0,"",IF(F9=0,"inf",G9/F9))</f>
        <v/>
      </c>
      <c r="I9" s="5">
        <f>IF(B9=0,"",IF(H9="inf","inf",IF(H9&lt;0,"net cash",TEXT(H9,"0.00")&amp;"x")))</f>
        <v/>
      </c>
      <c r="J9" s="5">
        <f>IF(B9=0,"","| "&amp;B9&amp;" | "&amp;TEXT(E9,"#,##0")&amp;" | "&amp;I9&amp;" |")</f>
        <v/>
      </c>
    </row>
    <row r="10">
      <c r="A10" s="5" t="n">
        <v>5</v>
      </c>
      <c r="B10" s="5">
        <f>Setup!B22</f>
        <v/>
      </c>
      <c r="C10" s="5">
        <f>IF(A10=0,"-",Setup!C22)</f>
        <v/>
      </c>
      <c r="D10" s="10">
        <f>N(Setup!D22)</f>
        <v/>
      </c>
      <c r="E10" s="10">
        <f>IF(B10=0,"",SUM(S5!N5:N124))</f>
        <v/>
      </c>
      <c r="F10" s="10">
        <f>IF(B10=0,"",SUMIFS(S5!F5:F124,S5!$A$5:$A$124,"&gt;"&amp;(Setup!$B$13-12)))</f>
        <v/>
      </c>
      <c r="G10" s="10">
        <f>IF(B10=0,"",Setup!$B$11-D10-Setup!$B$12)</f>
        <v/>
      </c>
      <c r="H10" s="13">
        <f>IF(B10=0,"",IF(F10=0,"inf",G10/F10))</f>
        <v/>
      </c>
      <c r="I10" s="5">
        <f>IF(B10=0,"",IF(H10="inf","inf",IF(H10&lt;0,"net cash",TEXT(H10,"0.00")&amp;"x")))</f>
        <v/>
      </c>
      <c r="J10" s="5">
        <f>IF(B10=0,"","| "&amp;B10&amp;" | "&amp;TEXT(E10,"#,##0")&amp;" | "&amp;I10&amp;" |")</f>
        <v/>
      </c>
    </row>
    <row r="11">
      <c r="A11" s="5" t="n">
        <v>6</v>
      </c>
      <c r="B11" s="5">
        <f>Setup!B23</f>
        <v/>
      </c>
      <c r="C11" s="5">
        <f>IF(A11=0,"-",Setup!C23)</f>
        <v/>
      </c>
      <c r="D11" s="10">
        <f>N(Setup!D23)</f>
        <v/>
      </c>
      <c r="E11" s="10">
        <f>IF(B11=0,"",SUM(S6!N5:N124))</f>
        <v/>
      </c>
      <c r="F11" s="10">
        <f>IF(B11=0,"",SUMIFS(S6!F5:F124,S6!$A$5:$A$124,"&gt;"&amp;(Setup!$B$13-12)))</f>
        <v/>
      </c>
      <c r="G11" s="10">
        <f>IF(B11=0,"",Setup!$B$11-D11-Setup!$B$12)</f>
        <v/>
      </c>
      <c r="H11" s="13">
        <f>IF(B11=0,"",IF(F11=0,"inf",G11/F11))</f>
        <v/>
      </c>
      <c r="I11" s="5">
        <f>IF(B11=0,"",IF(H11="inf","inf",IF(H11&lt;0,"net cash",TEXT(H11,"0.00")&amp;"x")))</f>
        <v/>
      </c>
      <c r="J11" s="5">
        <f>IF(B11=0,"","| "&amp;B11&amp;" | "&amp;TEXT(E11,"#,##0")&amp;" | "&amp;I11&amp;" |")</f>
        <v/>
      </c>
    </row>
    <row r="12">
      <c r="A12" s="5" t="n">
        <v>7</v>
      </c>
      <c r="B12" s="5">
        <f>Setup!B24</f>
        <v/>
      </c>
      <c r="C12" s="5">
        <f>IF(A12=0,"-",Setup!C24)</f>
        <v/>
      </c>
      <c r="D12" s="10">
        <f>N(Setup!D24)</f>
        <v/>
      </c>
      <c r="E12" s="10">
        <f>IF(B12=0,"",SUM(S7!N5:N124))</f>
        <v/>
      </c>
      <c r="F12" s="10">
        <f>IF(B12=0,"",SUMIFS(S7!F5:F124,S7!$A$5:$A$124,"&gt;"&amp;(Setup!$B$13-12)))</f>
        <v/>
      </c>
      <c r="G12" s="10">
        <f>IF(B12=0,"",Setup!$B$11-D12-Setup!$B$12)</f>
        <v/>
      </c>
      <c r="H12" s="13">
        <f>IF(B12=0,"",IF(F12=0,"inf",G12/F12))</f>
        <v/>
      </c>
      <c r="I12" s="5">
        <f>IF(B12=0,"",IF(H12="inf","inf",IF(H12&lt;0,"net cash",TEXT(H12,"0.00")&amp;"x")))</f>
        <v/>
      </c>
      <c r="J12" s="5">
        <f>IF(B12=0,"","| "&amp;B12&amp;" | "&amp;TEXT(E12,"#,##0")&amp;" | "&amp;I12&amp;" |")</f>
        <v/>
      </c>
    </row>
    <row r="13">
      <c r="A13" s="5" t="n">
        <v>8</v>
      </c>
      <c r="B13" s="5">
        <f>Setup!B25</f>
        <v/>
      </c>
      <c r="C13" s="5">
        <f>IF(A13=0,"-",Setup!C25)</f>
        <v/>
      </c>
      <c r="D13" s="10">
        <f>N(Setup!D25)</f>
        <v/>
      </c>
      <c r="E13" s="10">
        <f>IF(B13=0,"",SUM(S8!N5:N124))</f>
        <v/>
      </c>
      <c r="F13" s="10">
        <f>IF(B13=0,"",SUMIFS(S8!F5:F124,S8!$A$5:$A$124,"&gt;"&amp;(Setup!$B$13-12)))</f>
        <v/>
      </c>
      <c r="G13" s="10">
        <f>IF(B13=0,"",Setup!$B$11-D13-Setup!$B$12)</f>
        <v/>
      </c>
      <c r="H13" s="13">
        <f>IF(B13=0,"",IF(F13=0,"inf",G13/F13))</f>
        <v/>
      </c>
      <c r="I13" s="5">
        <f>IF(B13=0,"",IF(H13="inf","inf",IF(H13&lt;0,"net cash",TEXT(H13,"0.00")&amp;"x")))</f>
        <v/>
      </c>
      <c r="J13" s="5">
        <f>IF(B13=0,"","| "&amp;B13&amp;" | "&amp;TEXT(E13,"#,##0")&amp;" | "&amp;I13&amp;" |")</f>
        <v/>
      </c>
    </row>
    <row r="14">
      <c r="A14" s="5" t="n">
        <v>9</v>
      </c>
      <c r="B14" s="5">
        <f>Setup!B26</f>
        <v/>
      </c>
      <c r="C14" s="5">
        <f>IF(A14=0,"-",Setup!C26)</f>
        <v/>
      </c>
      <c r="D14" s="10">
        <f>N(Setup!D26)</f>
        <v/>
      </c>
      <c r="E14" s="10">
        <f>IF(B14=0,"",SUM(S9!N5:N124))</f>
        <v/>
      </c>
      <c r="F14" s="10">
        <f>IF(B14=0,"",SUMIFS(S9!F5:F124,S9!$A$5:$A$124,"&gt;"&amp;(Setup!$B$13-12)))</f>
        <v/>
      </c>
      <c r="G14" s="10">
        <f>IF(B14=0,"",Setup!$B$11-D14-Setup!$B$12)</f>
        <v/>
      </c>
      <c r="H14" s="13">
        <f>IF(B14=0,"",IF(F14=0,"inf",G14/F14))</f>
        <v/>
      </c>
      <c r="I14" s="5">
        <f>IF(B14=0,"",IF(H14="inf","inf",IF(H14&lt;0,"net cash",TEXT(H14,"0.00")&amp;"x")))</f>
        <v/>
      </c>
      <c r="J14" s="5">
        <f>IF(B14=0,"","| "&amp;B14&amp;" | "&amp;TEXT(E14,"#,##0")&amp;" | "&amp;I14&amp;" |")</f>
        <v/>
      </c>
    </row>
    <row r="15">
      <c r="A15" s="5" t="n">
        <v>10</v>
      </c>
      <c r="B15" s="5">
        <f>Setup!B27</f>
        <v/>
      </c>
      <c r="C15" s="5">
        <f>IF(A15=0,"-",Setup!C27)</f>
        <v/>
      </c>
      <c r="D15" s="10">
        <f>N(Setup!D27)</f>
        <v/>
      </c>
      <c r="E15" s="10">
        <f>IF(B15=0,"",SUM(S10!N5:N124))</f>
        <v/>
      </c>
      <c r="F15" s="10">
        <f>IF(B15=0,"",SUMIFS(S10!F5:F124,S10!$A$5:$A$124,"&gt;"&amp;(Setup!$B$13-12)))</f>
        <v/>
      </c>
      <c r="G15" s="10">
        <f>IF(B15=0,"",Setup!$B$11-D15-Setup!$B$12)</f>
        <v/>
      </c>
      <c r="H15" s="13">
        <f>IF(B15=0,"",IF(F15=0,"inf",G15/F15))</f>
        <v/>
      </c>
      <c r="I15" s="5">
        <f>IF(B15=0,"",IF(H15="inf","inf",IF(H15&lt;0,"net cash",TEXT(H15,"0.00")&amp;"x")))</f>
        <v/>
      </c>
      <c r="J15" s="5">
        <f>IF(B15=0,"","| "&amp;B15&amp;" | "&amp;TEXT(E15,"#,##0")&amp;" | "&amp;I15&amp;" |")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2026-10-18T16:53:10Z</dcterms:created>
  <dcterms:modified xmlns:dcterms="http://purl.org/dc/terms/" xmlns:xsi="http://www.w3.org/2001/XMLSchema-instance" xsi:type="dcterms:W3CDTF">2026-10-18T16:53:12Z</dcterms:modified>
</cp:coreProperties>
</file>