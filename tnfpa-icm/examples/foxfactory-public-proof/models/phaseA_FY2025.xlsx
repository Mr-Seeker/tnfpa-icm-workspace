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A</t>
        </is>
      </c>
    </row>
    <row r="26">
      <c r="A26" s="2" t="inlineStr">
        <is>
          <t>FY2025 driven by ACTUAL reported drivers (segments → channels, blended COGS%, WC days on a 360-day basis, D&amp;A, capex, interest-implied term loan at 7%). Validates arithmetic, not forecast skill. Tax is 0 here: impairment and discrete tax items are a documented bridge (output/reconciliation.md).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IF(COUNTIF(C5:C38,"PASS")=COUNT(A5:A38),"PASS","FAIL")</f>
        <v/>
      </c>
      <c r="D3" s="6">
        <f>COUNTIF(C5:C38,"PASS")&amp;" pass / "&amp;COUNTIF(C5:C38,"FAIL")&amp;" fail / "&amp;(COUNT(A5:A38)-COUNTIF(C5:C38,"PASS")-COUNTIF(C5:C38,"FAIL"))&amp;"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net_sales vs reported (1%) = 1,467,321,000.00 (tolerance 14,673,210.0)</t>
        </is>
      </c>
      <c r="C33" s="6">
        <f>IF(ABS((Summary!B5)-(1467321000.0))&lt;=14673210.0,"PASS","FAIL")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gross_profit vs reported (1%) = 443,247,000.00 (tolerance 4,432,470.0)</t>
        </is>
      </c>
      <c r="C34" s="6">
        <f>IF(ABS((Summary!B7)-(443247000.0))&lt;=4432470.0,"PASS","FAIL")</f>
        <v/>
      </c>
      <c r="D34" s="6">
        <f>ROUND(Summary!B7,2)</f>
        <v/>
      </c>
    </row>
    <row r="35">
      <c r="A35" t="n">
        <v>31</v>
      </c>
      <c r="B35" t="inlineStr">
        <is>
          <t>GOLDEN parity: engine EBITDA vs total segment Adjusted EBITDA (1%) = 225,694,000.00 (tolerance 2,256,940.0)</t>
        </is>
      </c>
      <c r="C35" s="6">
        <f>IF(ABS((Summary!B9)-(225694000.0))&lt;=2256940.0,"PASS","FAIL")</f>
        <v/>
      </c>
      <c r="D35" s="6">
        <f>ROUND(Summary!B9,2)</f>
        <v/>
      </c>
    </row>
    <row r="36">
      <c r="A36" t="n">
        <v>32</v>
      </c>
      <c r="B36" t="inlineStr">
        <is>
          <t>GOLDEN parity: D&amp;A vs reported (1%) = 92,310,000.00 (tolerance 923,100.0)</t>
        </is>
      </c>
      <c r="C36" s="6">
        <f>IF(ABS((Summary!B10)-(92310000.0))&lt;=923100.0,"PASS","FAIL")</f>
        <v/>
      </c>
      <c r="D36" s="6">
        <f>ROUND(Summary!B10,2)</f>
        <v/>
      </c>
    </row>
    <row r="37">
      <c r="A37" t="n">
        <v>33</v>
      </c>
      <c r="B37" t="inlineStr">
        <is>
          <t>GOLDEN parity: capex vs reported (1%) = 33,967,000.00 (tolerance 339,670.0)</t>
        </is>
      </c>
      <c r="C37" s="6">
        <f>IF(ABS((Summary!B17)-(33967000.0))&lt;=339670.0,"PASS","FAIL")</f>
        <v/>
      </c>
      <c r="D37" s="6">
        <f>ROUND(Summary!B17,2)</f>
        <v/>
      </c>
    </row>
    <row r="38">
      <c r="A38" t="n">
        <v>34</v>
      </c>
      <c r="B38" t="inlineStr">
        <is>
          <t>GOLDEN parity: operating cash flow before tax vs reported proxy (1%) = 222,528,000.00 (tolerance 2,225,280.0)</t>
        </is>
      </c>
      <c r="C38" s="6">
        <f>IF(ABS((Summary!B9+Summary!B15)-(222528000.0))&lt;=2225280.0,"PASS","FAIL")</f>
        <v/>
      </c>
      <c r="D38" s="6">
        <f>ROUND(Summary!B9+Summary!B15,2)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FY2025 (normalized)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45658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7692500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2830583.333333333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46.77994794595048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49.69961155150897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136.6196192853251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71674000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165827000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135802000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404736000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488143000</v>
      </c>
      <c r="D26" s="15" t="n">
        <v>0</v>
      </c>
      <c r="E26" s="15" t="n">
        <v>0.6979209048326849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470013000</v>
      </c>
      <c r="D27" s="15" t="n">
        <v>0</v>
      </c>
      <c r="E27" s="15" t="n">
        <v>0.6979209048326849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509165000</v>
      </c>
      <c r="D28" s="15" t="n">
        <v>0</v>
      </c>
      <c r="E28" s="15" t="n">
        <v>0.6979209048326849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18129416.66666667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766671428.5714285</v>
      </c>
      <c r="E53" s="12" t="n">
        <v>0.07000000000000001</v>
      </c>
      <c r="F53" s="13" t="n">
        <v>0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2026-10-18T16:52:59Z</dcterms:created>
  <dcterms:modified xmlns:dcterms="http://purl.org/dc/terms/" xmlns:xsi="http://www.w3.org/2001/XMLSchema-instance" xsi:type="dcterms:W3CDTF">2026-10-18T16:53:01Z</dcterms:modified>
</cp:coreProperties>
</file>