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B</t>
        </is>
      </c>
    </row>
    <row r="26">
      <c r="A26" s="2" t="inlineStr">
        <is>
          <t>FY2025 holdout candidate fitted on FY2023-FY2024 only: revenue reversion 0%, margin reversion 0%. Metrics are computed in phaseB_holdout-metrics.xlsx and evaluated in phaseB_K05_epochs.xlsx.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IF(COUNTIF(C5:C34,"PASS")=COUNT(A5:A34),"PASS","FAIL")</f>
        <v/>
      </c>
      <c r="D3" s="6">
        <f>COUNTIF(C5:C34,"PASS")&amp;" pass / "&amp;COUNTIF(C5:C34,"FAIL")&amp;" fail / "&amp;(COUNT(A5:A34)-COUNTIF(C5:C34,"PASS")-COUNTIF(C5:C34,"FAIL"))&amp;"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revenue (reference engine) = 1,393,921,000.00 (tolerance 1)</t>
        </is>
      </c>
      <c r="C33" s="6">
        <f>IF(ABS((Summary!B5)-(1393921000.0))&lt;=1,"PASS","FAIL")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 profit (reference engine) = 423,576,000.00 (tolerance 1)</t>
        </is>
      </c>
      <c r="C34" s="6">
        <f>IF(ABS((Summary!B7)-(423576000.0))&lt;=1,"PASS","FAIL")</f>
        <v/>
      </c>
      <c r="D34" s="6">
        <f>ROUND(Summary!B7,2)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FY2025 holdout (0% revenue / 0% margin reversion)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45658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6963833.333333333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3670000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42.82719035009875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50.38282260433145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150.157892296039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71674000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165827000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135802000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404736000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461403000</v>
      </c>
      <c r="D26" s="15" t="n">
        <v>0</v>
      </c>
      <c r="E26" s="15" t="n">
        <v>0.6961262510572694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421453000</v>
      </c>
      <c r="D27" s="15" t="n">
        <v>0</v>
      </c>
      <c r="E27" s="15" t="n">
        <v>0.6961262510572694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511065000</v>
      </c>
      <c r="D28" s="15" t="n">
        <v>0</v>
      </c>
      <c r="E28" s="15" t="n">
        <v>0.6961262510572694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16683416.66666666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552061000</v>
      </c>
      <c r="E53" s="12" t="n">
        <v>0.09952161083648364</v>
      </c>
      <c r="F53" s="13" t="n">
        <v>0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2026-10-18T16:53:01Z</dcterms:created>
  <dcterms:modified xmlns:dcterms="http://purl.org/dc/terms/" xmlns:xsi="http://www.w3.org/2001/XMLSchema-instance" xsi:type="dcterms:W3CDTF">2026-10-18T16:53:02Z</dcterms:modified>
</cp:coreProperties>
</file>