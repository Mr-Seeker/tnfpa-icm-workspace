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hecks" sheetId="2" state="visible" r:id="rId2"/>
    <sheet xmlns:r="http://schemas.openxmlformats.org/officeDocument/2006/relationships" name="Setup" sheetId="3" state="visible" r:id="rId3"/>
    <sheet xmlns:r="http://schemas.openxmlformats.org/officeDocument/2006/relationships" name="Invoices" sheetId="4" state="visible" r:id="rId4"/>
    <sheet xmlns:r="http://schemas.openxmlformats.org/officeDocument/2006/relationships" name="Cube" sheetId="5" state="visible" r:id="rId5"/>
    <sheet xmlns:r="http://schemas.openxmlformats.org/officeDocument/2006/relationships" name="ToKernel" sheetId="6" state="visible" r:id="rId6"/>
  </sheets>
  <definedNames>
    <definedName name="msme_days">'Setup'!$B$4</definedName>
    <definedName name="asof">'Setup'!$B$5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#,##0;[Red]-#,##0"/>
    <numFmt numFmtId="166" formatCode="0.0%"/>
    <numFmt numFmtId="167" formatCode="0.0"/>
  </numFmts>
  <fonts count="5">
    <font>
      <name val="Calibri"/>
      <family val="2"/>
      <color theme="1"/>
      <sz val="11"/>
      <scheme val="minor"/>
    </font>
    <font>
      <b val="1"/>
      <color rgb="001F3864"/>
      <sz val="14"/>
    </font>
    <font>
      <color rgb="001F4E9E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4" fillId="0" borderId="1" pivotButton="0" quotePrefix="0" xfId="0"/>
    <xf numFmtId="0" fontId="3" fillId="3" borderId="1" applyAlignment="1" pivotButton="0" quotePrefix="0" xfId="0">
      <alignment vertical="center" wrapText="1"/>
    </xf>
    <xf numFmtId="0" fontId="0" fillId="0" borderId="1" pivotButton="0" quotePrefix="0" xfId="0"/>
    <xf numFmtId="1" fontId="2" fillId="2" borderId="1" pivotButton="0" quotePrefix="0" xfId="0"/>
    <xf numFmtId="164" fontId="2" fillId="2" borderId="1" pivotButton="0" quotePrefix="0" xfId="0"/>
    <xf numFmtId="0" fontId="2" fillId="2" borderId="1" pivotButton="0" quotePrefix="0" xfId="0"/>
    <xf numFmtId="165" fontId="2" fillId="2" borderId="1" pivotButton="0" quotePrefix="0" xfId="0"/>
    <xf numFmtId="1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167" fontId="4" fillId="0" borderId="1" pivotButton="0" quotePrefix="0" xfId="0"/>
    <xf numFmtId="1" fontId="4" fillId="0" borderId="1" pivotButton="0" quotePrefix="0" xfId="0"/>
    <xf numFmtId="165" fontId="4" fillId="0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D12 (Kaveri copy)</t>
        </is>
      </c>
    </row>
    <row r="2"/>
    <row r="3">
      <c r="A3" s="2" t="inlineStr">
        <is>
          <t>Kaveri Chairs domain record (illustrative sample rows).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5" customWidth="1" min="1" max="1"/>
    <col width="90" customWidth="1" min="2" max="2"/>
    <col width="10" customWidth="1" min="3" max="3"/>
  </cols>
  <sheetData>
    <row r="1">
      <c r="A1" s="1" t="inlineStr">
        <is>
          <t>Checks - OVERALL must be PASS before this domain feeds the kernel</t>
        </is>
      </c>
    </row>
    <row r="2"/>
    <row r="3">
      <c r="B3" s="3" t="inlineStr">
        <is>
          <t>OVERALL</t>
        </is>
      </c>
      <c r="C3" s="4">
        <f>IF(COUNTIF(C5:C5,"PASS")=COUNT(A5:A5),"PASS","FAIL")</f>
        <v/>
      </c>
    </row>
    <row r="4">
      <c r="A4" s="5" t="inlineStr">
        <is>
          <t>#</t>
        </is>
      </c>
      <c r="B4" s="5" t="inlineStr">
        <is>
          <t>check</t>
        </is>
      </c>
      <c r="C4" s="5" t="inlineStr">
        <is>
          <t>result</t>
        </is>
      </c>
    </row>
    <row r="5">
      <c r="A5" t="n">
        <v>1</v>
      </c>
      <c r="B5" t="inlineStr">
        <is>
          <t>Udyam flag is y or n on every invoice</t>
        </is>
      </c>
      <c r="C5" s="6">
        <f>IF(SUMPRODUCT((Invoices!D5:D1004&lt;&gt;"")*(LOWER(Invoices!B5:B1004)&lt;&gt;"y")*(LOWER(Invoices!B5:B1004)&lt;&gt;"n"))=0,"PASS","FAIL")</f>
        <v/>
      </c>
    </row>
  </sheetData>
  <conditionalFormatting sqref="C3:C5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0">
      <formula>TRUE</formula>
    </cfRule>
    <cfRule type="cellIs" priority="4" operator="equal" dxfId="1">
      <formula>FALSE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60" customWidth="1" min="1" max="1"/>
    <col width="22" customWidth="1" min="2" max="2"/>
  </cols>
  <sheetData>
    <row r="1">
      <c r="A1" s="1" t="inlineStr">
        <is>
          <t>Setup</t>
        </is>
      </c>
    </row>
    <row r="2"/>
    <row r="3"/>
    <row r="4">
      <c r="A4" t="inlineStr">
        <is>
          <t>MSME payment limit (days, MSMED Act s.15 / IT Act s.43B(h))</t>
        </is>
      </c>
      <c r="B4" s="7" t="n">
        <v>45</v>
      </c>
    </row>
    <row r="5">
      <c r="A5" t="inlineStr">
        <is>
          <t>as-of date</t>
        </is>
      </c>
      <c r="B5" s="8" t="n">
        <v>46313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0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9" customWidth="1" min="2" max="2"/>
    <col width="12" customWidth="1" min="3" max="3"/>
    <col width="15" customWidth="1" min="4" max="4"/>
    <col width="19" customWidth="1" min="5" max="5"/>
    <col width="20" customWidth="1" min="6" max="6"/>
    <col width="30" customWidth="1" min="7" max="7"/>
    <col width="34" customWidth="1" min="8" max="8"/>
    <col width="16" customWidth="1" min="9" max="9"/>
    <col width="40" customWidth="1" min="10" max="10"/>
    <col width="24" customWidth="1" min="11" max="11"/>
    <col width="31" customWidth="1" min="12" max="12"/>
  </cols>
  <sheetData>
    <row r="1">
      <c r="A1" s="1" t="inlineStr">
        <is>
          <t>Supplier invoices (export from ERP / Tally purchase register)</t>
        </is>
      </c>
    </row>
    <row r="2"/>
    <row r="3"/>
    <row r="4">
      <c r="A4" s="5" t="inlineStr">
        <is>
          <t>supplier</t>
        </is>
      </c>
      <c r="B4" s="5" t="inlineStr">
        <is>
          <t>Udyam registered (micro/small)? y/n</t>
        </is>
      </c>
      <c r="C4" s="5" t="inlineStr">
        <is>
          <t>category</t>
        </is>
      </c>
      <c r="D4" s="5" t="inlineStr">
        <is>
          <t>invoice no.</t>
        </is>
      </c>
      <c r="E4" s="5" t="inlineStr">
        <is>
          <t>acceptance date</t>
        </is>
      </c>
      <c r="F4" s="5" t="inlineStr">
        <is>
          <t>amount incl. GST</t>
        </is>
      </c>
      <c r="G4" s="5" t="inlineStr">
        <is>
          <t>paid date (blank = unpaid)</t>
        </is>
      </c>
      <c r="H4" s="5" t="inlineStr">
        <is>
          <t>days to pay / days outstanding</t>
        </is>
      </c>
      <c r="I4" s="5" t="inlineStr">
        <is>
          <t>MSME breach?</t>
        </is>
      </c>
      <c r="J4" s="5" t="inlineStr">
        <is>
          <t>43B(h) exposure (unpaid MSME past limit at year end)</t>
        </is>
      </c>
      <c r="K4" s="5" t="inlineStr">
        <is>
          <t>paid amount (helper)</t>
        </is>
      </c>
      <c r="L4" s="5" t="inlineStr">
        <is>
          <t>paid days x amount (helper)</t>
        </is>
      </c>
    </row>
    <row r="5">
      <c r="A5" s="9" t="inlineStr">
        <is>
          <t>Kovai Castings</t>
        </is>
      </c>
      <c r="B5" s="9" t="inlineStr">
        <is>
          <t>y</t>
        </is>
      </c>
      <c r="C5" s="9" t="inlineStr">
        <is>
          <t>Raw material</t>
        </is>
      </c>
      <c r="D5" s="9" t="inlineStr">
        <is>
          <t>KC/0921</t>
        </is>
      </c>
      <c r="E5" s="8" t="n">
        <v>46244</v>
      </c>
      <c r="F5" s="10" t="n">
        <v>1450000</v>
      </c>
      <c r="G5" s="8" t="inlineStr"/>
      <c r="H5" s="11">
        <f>IF(D5="","",IF(G5="",Setup!$B$5,G5)-E5)</f>
        <v/>
      </c>
      <c r="I5" s="6">
        <f>IF(D5="","",AND(LOWER(B5)="y",H5&gt;Setup!$B$4))</f>
        <v/>
      </c>
      <c r="J5" s="12">
        <f>IF(D5="","",IF(AND(I5=TRUE,G5=""),F5,0))</f>
        <v/>
      </c>
      <c r="K5" s="12">
        <f>IF(OR(D5="",G5=""),0,F5)</f>
        <v/>
      </c>
      <c r="L5" s="12">
        <f>IF(OR(D5="",G5=""),0,H5*F5)</f>
        <v/>
      </c>
    </row>
    <row r="6">
      <c r="A6" s="9" t="inlineStr">
        <is>
          <t>Tiruppur Packaging</t>
        </is>
      </c>
      <c r="B6" s="9" t="inlineStr">
        <is>
          <t>y</t>
        </is>
      </c>
      <c r="C6" s="9" t="inlineStr">
        <is>
          <t>Packaging</t>
        </is>
      </c>
      <c r="D6" s="9" t="inlineStr">
        <is>
          <t>TP/553</t>
        </is>
      </c>
      <c r="E6" s="8" t="n">
        <v>46266</v>
      </c>
      <c r="F6" s="10" t="n">
        <v>220000</v>
      </c>
      <c r="G6" s="8" t="n">
        <v>46290</v>
      </c>
      <c r="H6" s="11">
        <f>IF(D6="","",IF(G6="",Setup!$B$5,G6)-E6)</f>
        <v/>
      </c>
      <c r="I6" s="6">
        <f>IF(D6="","",AND(LOWER(B6)="y",H6&gt;Setup!$B$4))</f>
        <v/>
      </c>
      <c r="J6" s="12">
        <f>IF(D6="","",IF(AND(I6=TRUE,G6=""),F6,0))</f>
        <v/>
      </c>
      <c r="K6" s="12">
        <f>IF(OR(D6="",G6=""),0,F6)</f>
        <v/>
      </c>
      <c r="L6" s="12">
        <f>IF(OR(D6="",G6=""),0,H6*F6)</f>
        <v/>
      </c>
    </row>
    <row r="7">
      <c r="A7" s="9" t="inlineStr">
        <is>
          <t>SKF India</t>
        </is>
      </c>
      <c r="B7" s="9" t="inlineStr">
        <is>
          <t>n</t>
        </is>
      </c>
      <c r="C7" s="9" t="inlineStr">
        <is>
          <t>Bearings</t>
        </is>
      </c>
      <c r="D7" s="9" t="inlineStr">
        <is>
          <t>SKF/88812</t>
        </is>
      </c>
      <c r="E7" s="8" t="n">
        <v>46254</v>
      </c>
      <c r="F7" s="10" t="n">
        <v>980000</v>
      </c>
      <c r="G7" s="8" t="n">
        <v>46300</v>
      </c>
      <c r="H7" s="11">
        <f>IF(D7="","",IF(G7="",Setup!$B$5,G7)-E7)</f>
        <v/>
      </c>
      <c r="I7" s="6">
        <f>IF(D7="","",AND(LOWER(B7)="y",H7&gt;Setup!$B$4))</f>
        <v/>
      </c>
      <c r="J7" s="12">
        <f>IF(D7="","",IF(AND(I7=TRUE,G7=""),F7,0))</f>
        <v/>
      </c>
      <c r="K7" s="12">
        <f>IF(OR(D7="",G7=""),0,F7)</f>
        <v/>
      </c>
      <c r="L7" s="12">
        <f>IF(OR(D7="",G7=""),0,H7*F7)</f>
        <v/>
      </c>
    </row>
    <row r="8">
      <c r="A8" s="9" t="n"/>
      <c r="B8" s="9" t="n"/>
      <c r="C8" s="9" t="n"/>
      <c r="D8" s="9" t="n"/>
      <c r="E8" s="8" t="n"/>
      <c r="F8" s="10" t="n"/>
      <c r="G8" s="8" t="n"/>
      <c r="H8" s="11">
        <f>IF(D8="","",IF(G8="",Setup!$B$5,G8)-E8)</f>
        <v/>
      </c>
      <c r="I8" s="6">
        <f>IF(D8="","",AND(LOWER(B8)="y",H8&gt;Setup!$B$4))</f>
        <v/>
      </c>
      <c r="J8" s="12">
        <f>IF(D8="","",IF(AND(I8=TRUE,G8=""),F8,0))</f>
        <v/>
      </c>
      <c r="K8" s="12">
        <f>IF(OR(D8="",G8=""),0,F8)</f>
        <v/>
      </c>
      <c r="L8" s="12">
        <f>IF(OR(D8="",G8=""),0,H8*F8)</f>
        <v/>
      </c>
    </row>
    <row r="9">
      <c r="A9" s="9" t="n"/>
      <c r="B9" s="9" t="n"/>
      <c r="C9" s="9" t="n"/>
      <c r="D9" s="9" t="n"/>
      <c r="E9" s="8" t="n"/>
      <c r="F9" s="10" t="n"/>
      <c r="G9" s="8" t="n"/>
      <c r="H9" s="11">
        <f>IF(D9="","",IF(G9="",Setup!$B$5,G9)-E9)</f>
        <v/>
      </c>
      <c r="I9" s="6">
        <f>IF(D9="","",AND(LOWER(B9)="y",H9&gt;Setup!$B$4))</f>
        <v/>
      </c>
      <c r="J9" s="12">
        <f>IF(D9="","",IF(AND(I9=TRUE,G9=""),F9,0))</f>
        <v/>
      </c>
      <c r="K9" s="12">
        <f>IF(OR(D9="",G9=""),0,F9)</f>
        <v/>
      </c>
      <c r="L9" s="12">
        <f>IF(OR(D9="",G9=""),0,H9*F9)</f>
        <v/>
      </c>
    </row>
    <row r="10">
      <c r="A10" s="9" t="n"/>
      <c r="B10" s="9" t="n"/>
      <c r="C10" s="9" t="n"/>
      <c r="D10" s="9" t="n"/>
      <c r="E10" s="8" t="n"/>
      <c r="F10" s="10" t="n"/>
      <c r="G10" s="8" t="n"/>
      <c r="H10" s="11">
        <f>IF(D10="","",IF(G10="",Setup!$B$5,G10)-E10)</f>
        <v/>
      </c>
      <c r="I10" s="6">
        <f>IF(D10="","",AND(LOWER(B10)="y",H10&gt;Setup!$B$4))</f>
        <v/>
      </c>
      <c r="J10" s="12">
        <f>IF(D10="","",IF(AND(I10=TRUE,G10=""),F10,0))</f>
        <v/>
      </c>
      <c r="K10" s="12">
        <f>IF(OR(D10="",G10=""),0,F10)</f>
        <v/>
      </c>
      <c r="L10" s="12">
        <f>IF(OR(D10="",G10=""),0,H10*F10)</f>
        <v/>
      </c>
    </row>
    <row r="11">
      <c r="A11" s="9" t="n"/>
      <c r="B11" s="9" t="n"/>
      <c r="C11" s="9" t="n"/>
      <c r="D11" s="9" t="n"/>
      <c r="E11" s="8" t="n"/>
      <c r="F11" s="10" t="n"/>
      <c r="G11" s="8" t="n"/>
      <c r="H11" s="11">
        <f>IF(D11="","",IF(G11="",Setup!$B$5,G11)-E11)</f>
        <v/>
      </c>
      <c r="I11" s="6">
        <f>IF(D11="","",AND(LOWER(B11)="y",H11&gt;Setup!$B$4))</f>
        <v/>
      </c>
      <c r="J11" s="12">
        <f>IF(D11="","",IF(AND(I11=TRUE,G11=""),F11,0))</f>
        <v/>
      </c>
      <c r="K11" s="12">
        <f>IF(OR(D11="",G11=""),0,F11)</f>
        <v/>
      </c>
      <c r="L11" s="12">
        <f>IF(OR(D11="",G11=""),0,H11*F11)</f>
        <v/>
      </c>
    </row>
    <row r="12">
      <c r="A12" s="9" t="n"/>
      <c r="B12" s="9" t="n"/>
      <c r="C12" s="9" t="n"/>
      <c r="D12" s="9" t="n"/>
      <c r="E12" s="8" t="n"/>
      <c r="F12" s="10" t="n"/>
      <c r="G12" s="8" t="n"/>
      <c r="H12" s="11">
        <f>IF(D12="","",IF(G12="",Setup!$B$5,G12)-E12)</f>
        <v/>
      </c>
      <c r="I12" s="6">
        <f>IF(D12="","",AND(LOWER(B12)="y",H12&gt;Setup!$B$4))</f>
        <v/>
      </c>
      <c r="J12" s="12">
        <f>IF(D12="","",IF(AND(I12=TRUE,G12=""),F12,0))</f>
        <v/>
      </c>
      <c r="K12" s="12">
        <f>IF(OR(D12="",G12=""),0,F12)</f>
        <v/>
      </c>
      <c r="L12" s="12">
        <f>IF(OR(D12="",G12=""),0,H12*F12)</f>
        <v/>
      </c>
    </row>
    <row r="13">
      <c r="A13" s="9" t="n"/>
      <c r="B13" s="9" t="n"/>
      <c r="C13" s="9" t="n"/>
      <c r="D13" s="9" t="n"/>
      <c r="E13" s="8" t="n"/>
      <c r="F13" s="10" t="n"/>
      <c r="G13" s="8" t="n"/>
      <c r="H13" s="11">
        <f>IF(D13="","",IF(G13="",Setup!$B$5,G13)-E13)</f>
        <v/>
      </c>
      <c r="I13" s="6">
        <f>IF(D13="","",AND(LOWER(B13)="y",H13&gt;Setup!$B$4))</f>
        <v/>
      </c>
      <c r="J13" s="12">
        <f>IF(D13="","",IF(AND(I13=TRUE,G13=""),F13,0))</f>
        <v/>
      </c>
      <c r="K13" s="12">
        <f>IF(OR(D13="",G13=""),0,F13)</f>
        <v/>
      </c>
      <c r="L13" s="12">
        <f>IF(OR(D13="",G13=""),0,H13*F13)</f>
        <v/>
      </c>
    </row>
    <row r="14">
      <c r="A14" s="9" t="n"/>
      <c r="B14" s="9" t="n"/>
      <c r="C14" s="9" t="n"/>
      <c r="D14" s="9" t="n"/>
      <c r="E14" s="8" t="n"/>
      <c r="F14" s="10" t="n"/>
      <c r="G14" s="8" t="n"/>
      <c r="H14" s="11">
        <f>IF(D14="","",IF(G14="",Setup!$B$5,G14)-E14)</f>
        <v/>
      </c>
      <c r="I14" s="6">
        <f>IF(D14="","",AND(LOWER(B14)="y",H14&gt;Setup!$B$4))</f>
        <v/>
      </c>
      <c r="J14" s="12">
        <f>IF(D14="","",IF(AND(I14=TRUE,G14=""),F14,0))</f>
        <v/>
      </c>
      <c r="K14" s="12">
        <f>IF(OR(D14="",G14=""),0,F14)</f>
        <v/>
      </c>
      <c r="L14" s="12">
        <f>IF(OR(D14="",G14=""),0,H14*F14)</f>
        <v/>
      </c>
    </row>
    <row r="15">
      <c r="A15" s="9" t="n"/>
      <c r="B15" s="9" t="n"/>
      <c r="C15" s="9" t="n"/>
      <c r="D15" s="9" t="n"/>
      <c r="E15" s="8" t="n"/>
      <c r="F15" s="10" t="n"/>
      <c r="G15" s="8" t="n"/>
      <c r="H15" s="11">
        <f>IF(D15="","",IF(G15="",Setup!$B$5,G15)-E15)</f>
        <v/>
      </c>
      <c r="I15" s="6">
        <f>IF(D15="","",AND(LOWER(B15)="y",H15&gt;Setup!$B$4))</f>
        <v/>
      </c>
      <c r="J15" s="12">
        <f>IF(D15="","",IF(AND(I15=TRUE,G15=""),F15,0))</f>
        <v/>
      </c>
      <c r="K15" s="12">
        <f>IF(OR(D15="",G15=""),0,F15)</f>
        <v/>
      </c>
      <c r="L15" s="12">
        <f>IF(OR(D15="",G15=""),0,H15*F15)</f>
        <v/>
      </c>
    </row>
    <row r="16">
      <c r="A16" s="9" t="n"/>
      <c r="B16" s="9" t="n"/>
      <c r="C16" s="9" t="n"/>
      <c r="D16" s="9" t="n"/>
      <c r="E16" s="8" t="n"/>
      <c r="F16" s="10" t="n"/>
      <c r="G16" s="8" t="n"/>
      <c r="H16" s="11">
        <f>IF(D16="","",IF(G16="",Setup!$B$5,G16)-E16)</f>
        <v/>
      </c>
      <c r="I16" s="6">
        <f>IF(D16="","",AND(LOWER(B16)="y",H16&gt;Setup!$B$4))</f>
        <v/>
      </c>
      <c r="J16" s="12">
        <f>IF(D16="","",IF(AND(I16=TRUE,G16=""),F16,0))</f>
        <v/>
      </c>
      <c r="K16" s="12">
        <f>IF(OR(D16="",G16=""),0,F16)</f>
        <v/>
      </c>
      <c r="L16" s="12">
        <f>IF(OR(D16="",G16=""),0,H16*F16)</f>
        <v/>
      </c>
    </row>
    <row r="17">
      <c r="A17" s="9" t="n"/>
      <c r="B17" s="9" t="n"/>
      <c r="C17" s="9" t="n"/>
      <c r="D17" s="9" t="n"/>
      <c r="E17" s="8" t="n"/>
      <c r="F17" s="10" t="n"/>
      <c r="G17" s="8" t="n"/>
      <c r="H17" s="11">
        <f>IF(D17="","",IF(G17="",Setup!$B$5,G17)-E17)</f>
        <v/>
      </c>
      <c r="I17" s="6">
        <f>IF(D17="","",AND(LOWER(B17)="y",H17&gt;Setup!$B$4))</f>
        <v/>
      </c>
      <c r="J17" s="12">
        <f>IF(D17="","",IF(AND(I17=TRUE,G17=""),F17,0))</f>
        <v/>
      </c>
      <c r="K17" s="12">
        <f>IF(OR(D17="",G17=""),0,F17)</f>
        <v/>
      </c>
      <c r="L17" s="12">
        <f>IF(OR(D17="",G17=""),0,H17*F17)</f>
        <v/>
      </c>
    </row>
    <row r="18">
      <c r="A18" s="9" t="n"/>
      <c r="B18" s="9" t="n"/>
      <c r="C18" s="9" t="n"/>
      <c r="D18" s="9" t="n"/>
      <c r="E18" s="8" t="n"/>
      <c r="F18" s="10" t="n"/>
      <c r="G18" s="8" t="n"/>
      <c r="H18" s="11">
        <f>IF(D18="","",IF(G18="",Setup!$B$5,G18)-E18)</f>
        <v/>
      </c>
      <c r="I18" s="6">
        <f>IF(D18="","",AND(LOWER(B18)="y",H18&gt;Setup!$B$4))</f>
        <v/>
      </c>
      <c r="J18" s="12">
        <f>IF(D18="","",IF(AND(I18=TRUE,G18=""),F18,0))</f>
        <v/>
      </c>
      <c r="K18" s="12">
        <f>IF(OR(D18="",G18=""),0,F18)</f>
        <v/>
      </c>
      <c r="L18" s="12">
        <f>IF(OR(D18="",G18=""),0,H18*F18)</f>
        <v/>
      </c>
    </row>
    <row r="19">
      <c r="A19" s="9" t="n"/>
      <c r="B19" s="9" t="n"/>
      <c r="C19" s="9" t="n"/>
      <c r="D19" s="9" t="n"/>
      <c r="E19" s="8" t="n"/>
      <c r="F19" s="10" t="n"/>
      <c r="G19" s="8" t="n"/>
      <c r="H19" s="11">
        <f>IF(D19="","",IF(G19="",Setup!$B$5,G19)-E19)</f>
        <v/>
      </c>
      <c r="I19" s="6">
        <f>IF(D19="","",AND(LOWER(B19)="y",H19&gt;Setup!$B$4))</f>
        <v/>
      </c>
      <c r="J19" s="12">
        <f>IF(D19="","",IF(AND(I19=TRUE,G19=""),F19,0))</f>
        <v/>
      </c>
      <c r="K19" s="12">
        <f>IF(OR(D19="",G19=""),0,F19)</f>
        <v/>
      </c>
      <c r="L19" s="12">
        <f>IF(OR(D19="",G19=""),0,H19*F19)</f>
        <v/>
      </c>
    </row>
    <row r="20">
      <c r="A20" s="9" t="n"/>
      <c r="B20" s="9" t="n"/>
      <c r="C20" s="9" t="n"/>
      <c r="D20" s="9" t="n"/>
      <c r="E20" s="8" t="n"/>
      <c r="F20" s="10" t="n"/>
      <c r="G20" s="8" t="n"/>
      <c r="H20" s="11">
        <f>IF(D20="","",IF(G20="",Setup!$B$5,G20)-E20)</f>
        <v/>
      </c>
      <c r="I20" s="6">
        <f>IF(D20="","",AND(LOWER(B20)="y",H20&gt;Setup!$B$4))</f>
        <v/>
      </c>
      <c r="J20" s="12">
        <f>IF(D20="","",IF(AND(I20=TRUE,G20=""),F20,0))</f>
        <v/>
      </c>
      <c r="K20" s="12">
        <f>IF(OR(D20="",G20=""),0,F20)</f>
        <v/>
      </c>
      <c r="L20" s="12">
        <f>IF(OR(D20="",G20=""),0,H20*F20)</f>
        <v/>
      </c>
    </row>
    <row r="21">
      <c r="A21" s="9" t="n"/>
      <c r="B21" s="9" t="n"/>
      <c r="C21" s="9" t="n"/>
      <c r="D21" s="9" t="n"/>
      <c r="E21" s="8" t="n"/>
      <c r="F21" s="10" t="n"/>
      <c r="G21" s="8" t="n"/>
      <c r="H21" s="11">
        <f>IF(D21="","",IF(G21="",Setup!$B$5,G21)-E21)</f>
        <v/>
      </c>
      <c r="I21" s="6">
        <f>IF(D21="","",AND(LOWER(B21)="y",H21&gt;Setup!$B$4))</f>
        <v/>
      </c>
      <c r="J21" s="12">
        <f>IF(D21="","",IF(AND(I21=TRUE,G21=""),F21,0))</f>
        <v/>
      </c>
      <c r="K21" s="12">
        <f>IF(OR(D21="",G21=""),0,F21)</f>
        <v/>
      </c>
      <c r="L21" s="12">
        <f>IF(OR(D21="",G21=""),0,H21*F21)</f>
        <v/>
      </c>
    </row>
    <row r="22">
      <c r="A22" s="9" t="n"/>
      <c r="B22" s="9" t="n"/>
      <c r="C22" s="9" t="n"/>
      <c r="D22" s="9" t="n"/>
      <c r="E22" s="8" t="n"/>
      <c r="F22" s="10" t="n"/>
      <c r="G22" s="8" t="n"/>
      <c r="H22" s="11">
        <f>IF(D22="","",IF(G22="",Setup!$B$5,G22)-E22)</f>
        <v/>
      </c>
      <c r="I22" s="6">
        <f>IF(D22="","",AND(LOWER(B22)="y",H22&gt;Setup!$B$4))</f>
        <v/>
      </c>
      <c r="J22" s="12">
        <f>IF(D22="","",IF(AND(I22=TRUE,G22=""),F22,0))</f>
        <v/>
      </c>
      <c r="K22" s="12">
        <f>IF(OR(D22="",G22=""),0,F22)</f>
        <v/>
      </c>
      <c r="L22" s="12">
        <f>IF(OR(D22="",G22=""),0,H22*F22)</f>
        <v/>
      </c>
    </row>
    <row r="23">
      <c r="A23" s="9" t="n"/>
      <c r="B23" s="9" t="n"/>
      <c r="C23" s="9" t="n"/>
      <c r="D23" s="9" t="n"/>
      <c r="E23" s="8" t="n"/>
      <c r="F23" s="10" t="n"/>
      <c r="G23" s="8" t="n"/>
      <c r="H23" s="11">
        <f>IF(D23="","",IF(G23="",Setup!$B$5,G23)-E23)</f>
        <v/>
      </c>
      <c r="I23" s="6">
        <f>IF(D23="","",AND(LOWER(B23)="y",H23&gt;Setup!$B$4))</f>
        <v/>
      </c>
      <c r="J23" s="12">
        <f>IF(D23="","",IF(AND(I23=TRUE,G23=""),F23,0))</f>
        <v/>
      </c>
      <c r="K23" s="12">
        <f>IF(OR(D23="",G23=""),0,F23)</f>
        <v/>
      </c>
      <c r="L23" s="12">
        <f>IF(OR(D23="",G23=""),0,H23*F23)</f>
        <v/>
      </c>
    </row>
    <row r="24">
      <c r="A24" s="9" t="n"/>
      <c r="B24" s="9" t="n"/>
      <c r="C24" s="9" t="n"/>
      <c r="D24" s="9" t="n"/>
      <c r="E24" s="8" t="n"/>
      <c r="F24" s="10" t="n"/>
      <c r="G24" s="8" t="n"/>
      <c r="H24" s="11">
        <f>IF(D24="","",IF(G24="",Setup!$B$5,G24)-E24)</f>
        <v/>
      </c>
      <c r="I24" s="6">
        <f>IF(D24="","",AND(LOWER(B24)="y",H24&gt;Setup!$B$4))</f>
        <v/>
      </c>
      <c r="J24" s="12">
        <f>IF(D24="","",IF(AND(I24=TRUE,G24=""),F24,0))</f>
        <v/>
      </c>
      <c r="K24" s="12">
        <f>IF(OR(D24="",G24=""),0,F24)</f>
        <v/>
      </c>
      <c r="L24" s="12">
        <f>IF(OR(D24="",G24=""),0,H24*F24)</f>
        <v/>
      </c>
    </row>
    <row r="25">
      <c r="A25" s="9" t="n"/>
      <c r="B25" s="9" t="n"/>
      <c r="C25" s="9" t="n"/>
      <c r="D25" s="9" t="n"/>
      <c r="E25" s="8" t="n"/>
      <c r="F25" s="10" t="n"/>
      <c r="G25" s="8" t="n"/>
      <c r="H25" s="11">
        <f>IF(D25="","",IF(G25="",Setup!$B$5,G25)-E25)</f>
        <v/>
      </c>
      <c r="I25" s="6">
        <f>IF(D25="","",AND(LOWER(B25)="y",H25&gt;Setup!$B$4))</f>
        <v/>
      </c>
      <c r="J25" s="12">
        <f>IF(D25="","",IF(AND(I25=TRUE,G25=""),F25,0))</f>
        <v/>
      </c>
      <c r="K25" s="12">
        <f>IF(OR(D25="",G25=""),0,F25)</f>
        <v/>
      </c>
      <c r="L25" s="12">
        <f>IF(OR(D25="",G25=""),0,H25*F25)</f>
        <v/>
      </c>
    </row>
    <row r="26">
      <c r="A26" s="9" t="n"/>
      <c r="B26" s="9" t="n"/>
      <c r="C26" s="9" t="n"/>
      <c r="D26" s="9" t="n"/>
      <c r="E26" s="8" t="n"/>
      <c r="F26" s="10" t="n"/>
      <c r="G26" s="8" t="n"/>
      <c r="H26" s="11">
        <f>IF(D26="","",IF(G26="",Setup!$B$5,G26)-E26)</f>
        <v/>
      </c>
      <c r="I26" s="6">
        <f>IF(D26="","",AND(LOWER(B26)="y",H26&gt;Setup!$B$4))</f>
        <v/>
      </c>
      <c r="J26" s="12">
        <f>IF(D26="","",IF(AND(I26=TRUE,G26=""),F26,0))</f>
        <v/>
      </c>
      <c r="K26" s="12">
        <f>IF(OR(D26="",G26=""),0,F26)</f>
        <v/>
      </c>
      <c r="L26" s="12">
        <f>IF(OR(D26="",G26=""),0,H26*F26)</f>
        <v/>
      </c>
    </row>
    <row r="27">
      <c r="A27" s="9" t="n"/>
      <c r="B27" s="9" t="n"/>
      <c r="C27" s="9" t="n"/>
      <c r="D27" s="9" t="n"/>
      <c r="E27" s="8" t="n"/>
      <c r="F27" s="10" t="n"/>
      <c r="G27" s="8" t="n"/>
      <c r="H27" s="11">
        <f>IF(D27="","",IF(G27="",Setup!$B$5,G27)-E27)</f>
        <v/>
      </c>
      <c r="I27" s="6">
        <f>IF(D27="","",AND(LOWER(B27)="y",H27&gt;Setup!$B$4))</f>
        <v/>
      </c>
      <c r="J27" s="12">
        <f>IF(D27="","",IF(AND(I27=TRUE,G27=""),F27,0))</f>
        <v/>
      </c>
      <c r="K27" s="12">
        <f>IF(OR(D27="",G27=""),0,F27)</f>
        <v/>
      </c>
      <c r="L27" s="12">
        <f>IF(OR(D27="",G27=""),0,H27*F27)</f>
        <v/>
      </c>
    </row>
    <row r="28">
      <c r="A28" s="9" t="n"/>
      <c r="B28" s="9" t="n"/>
      <c r="C28" s="9" t="n"/>
      <c r="D28" s="9" t="n"/>
      <c r="E28" s="8" t="n"/>
      <c r="F28" s="10" t="n"/>
      <c r="G28" s="8" t="n"/>
      <c r="H28" s="11">
        <f>IF(D28="","",IF(G28="",Setup!$B$5,G28)-E28)</f>
        <v/>
      </c>
      <c r="I28" s="6">
        <f>IF(D28="","",AND(LOWER(B28)="y",H28&gt;Setup!$B$4))</f>
        <v/>
      </c>
      <c r="J28" s="12">
        <f>IF(D28="","",IF(AND(I28=TRUE,G28=""),F28,0))</f>
        <v/>
      </c>
      <c r="K28" s="12">
        <f>IF(OR(D28="",G28=""),0,F28)</f>
        <v/>
      </c>
      <c r="L28" s="12">
        <f>IF(OR(D28="",G28=""),0,H28*F28)</f>
        <v/>
      </c>
    </row>
    <row r="29">
      <c r="A29" s="9" t="n"/>
      <c r="B29" s="9" t="n"/>
      <c r="C29" s="9" t="n"/>
      <c r="D29" s="9" t="n"/>
      <c r="E29" s="8" t="n"/>
      <c r="F29" s="10" t="n"/>
      <c r="G29" s="8" t="n"/>
      <c r="H29" s="11">
        <f>IF(D29="","",IF(G29="",Setup!$B$5,G29)-E29)</f>
        <v/>
      </c>
      <c r="I29" s="6">
        <f>IF(D29="","",AND(LOWER(B29)="y",H29&gt;Setup!$B$4))</f>
        <v/>
      </c>
      <c r="J29" s="12">
        <f>IF(D29="","",IF(AND(I29=TRUE,G29=""),F29,0))</f>
        <v/>
      </c>
      <c r="K29" s="12">
        <f>IF(OR(D29="",G29=""),0,F29)</f>
        <v/>
      </c>
      <c r="L29" s="12">
        <f>IF(OR(D29="",G29=""),0,H29*F29)</f>
        <v/>
      </c>
    </row>
    <row r="30">
      <c r="A30" s="9" t="n"/>
      <c r="B30" s="9" t="n"/>
      <c r="C30" s="9" t="n"/>
      <c r="D30" s="9" t="n"/>
      <c r="E30" s="8" t="n"/>
      <c r="F30" s="10" t="n"/>
      <c r="G30" s="8" t="n"/>
      <c r="H30" s="11">
        <f>IF(D30="","",IF(G30="",Setup!$B$5,G30)-E30)</f>
        <v/>
      </c>
      <c r="I30" s="6">
        <f>IF(D30="","",AND(LOWER(B30)="y",H30&gt;Setup!$B$4))</f>
        <v/>
      </c>
      <c r="J30" s="12">
        <f>IF(D30="","",IF(AND(I30=TRUE,G30=""),F30,0))</f>
        <v/>
      </c>
      <c r="K30" s="12">
        <f>IF(OR(D30="",G30=""),0,F30)</f>
        <v/>
      </c>
      <c r="L30" s="12">
        <f>IF(OR(D30="",G30=""),0,H30*F30)</f>
        <v/>
      </c>
    </row>
    <row r="31">
      <c r="A31" s="9" t="n"/>
      <c r="B31" s="9" t="n"/>
      <c r="C31" s="9" t="n"/>
      <c r="D31" s="9" t="n"/>
      <c r="E31" s="8" t="n"/>
      <c r="F31" s="10" t="n"/>
      <c r="G31" s="8" t="n"/>
      <c r="H31" s="11">
        <f>IF(D31="","",IF(G31="",Setup!$B$5,G31)-E31)</f>
        <v/>
      </c>
      <c r="I31" s="6">
        <f>IF(D31="","",AND(LOWER(B31)="y",H31&gt;Setup!$B$4))</f>
        <v/>
      </c>
      <c r="J31" s="12">
        <f>IF(D31="","",IF(AND(I31=TRUE,G31=""),F31,0))</f>
        <v/>
      </c>
      <c r="K31" s="12">
        <f>IF(OR(D31="",G31=""),0,F31)</f>
        <v/>
      </c>
      <c r="L31" s="12">
        <f>IF(OR(D31="",G31=""),0,H31*F31)</f>
        <v/>
      </c>
    </row>
    <row r="32">
      <c r="A32" s="9" t="n"/>
      <c r="B32" s="9" t="n"/>
      <c r="C32" s="9" t="n"/>
      <c r="D32" s="9" t="n"/>
      <c r="E32" s="8" t="n"/>
      <c r="F32" s="10" t="n"/>
      <c r="G32" s="8" t="n"/>
      <c r="H32" s="11">
        <f>IF(D32="","",IF(G32="",Setup!$B$5,G32)-E32)</f>
        <v/>
      </c>
      <c r="I32" s="6">
        <f>IF(D32="","",AND(LOWER(B32)="y",H32&gt;Setup!$B$4))</f>
        <v/>
      </c>
      <c r="J32" s="12">
        <f>IF(D32="","",IF(AND(I32=TRUE,G32=""),F32,0))</f>
        <v/>
      </c>
      <c r="K32" s="12">
        <f>IF(OR(D32="",G32=""),0,F32)</f>
        <v/>
      </c>
      <c r="L32" s="12">
        <f>IF(OR(D32="",G32=""),0,H32*F32)</f>
        <v/>
      </c>
    </row>
    <row r="33">
      <c r="A33" s="9" t="n"/>
      <c r="B33" s="9" t="n"/>
      <c r="C33" s="9" t="n"/>
      <c r="D33" s="9" t="n"/>
      <c r="E33" s="8" t="n"/>
      <c r="F33" s="10" t="n"/>
      <c r="G33" s="8" t="n"/>
      <c r="H33" s="11">
        <f>IF(D33="","",IF(G33="",Setup!$B$5,G33)-E33)</f>
        <v/>
      </c>
      <c r="I33" s="6">
        <f>IF(D33="","",AND(LOWER(B33)="y",H33&gt;Setup!$B$4))</f>
        <v/>
      </c>
      <c r="J33" s="12">
        <f>IF(D33="","",IF(AND(I33=TRUE,G33=""),F33,0))</f>
        <v/>
      </c>
      <c r="K33" s="12">
        <f>IF(OR(D33="",G33=""),0,F33)</f>
        <v/>
      </c>
      <c r="L33" s="12">
        <f>IF(OR(D33="",G33=""),0,H33*F33)</f>
        <v/>
      </c>
    </row>
    <row r="34">
      <c r="A34" s="9" t="n"/>
      <c r="B34" s="9" t="n"/>
      <c r="C34" s="9" t="n"/>
      <c r="D34" s="9" t="n"/>
      <c r="E34" s="8" t="n"/>
      <c r="F34" s="10" t="n"/>
      <c r="G34" s="8" t="n"/>
      <c r="H34" s="11">
        <f>IF(D34="","",IF(G34="",Setup!$B$5,G34)-E34)</f>
        <v/>
      </c>
      <c r="I34" s="6">
        <f>IF(D34="","",AND(LOWER(B34)="y",H34&gt;Setup!$B$4))</f>
        <v/>
      </c>
      <c r="J34" s="12">
        <f>IF(D34="","",IF(AND(I34=TRUE,G34=""),F34,0))</f>
        <v/>
      </c>
      <c r="K34" s="12">
        <f>IF(OR(D34="",G34=""),0,F34)</f>
        <v/>
      </c>
      <c r="L34" s="12">
        <f>IF(OR(D34="",G34=""),0,H34*F34)</f>
        <v/>
      </c>
    </row>
    <row r="35">
      <c r="A35" s="9" t="n"/>
      <c r="B35" s="9" t="n"/>
      <c r="C35" s="9" t="n"/>
      <c r="D35" s="9" t="n"/>
      <c r="E35" s="8" t="n"/>
      <c r="F35" s="10" t="n"/>
      <c r="G35" s="8" t="n"/>
      <c r="H35" s="11">
        <f>IF(D35="","",IF(G35="",Setup!$B$5,G35)-E35)</f>
        <v/>
      </c>
      <c r="I35" s="6">
        <f>IF(D35="","",AND(LOWER(B35)="y",H35&gt;Setup!$B$4))</f>
        <v/>
      </c>
      <c r="J35" s="12">
        <f>IF(D35="","",IF(AND(I35=TRUE,G35=""),F35,0))</f>
        <v/>
      </c>
      <c r="K35" s="12">
        <f>IF(OR(D35="",G35=""),0,F35)</f>
        <v/>
      </c>
      <c r="L35" s="12">
        <f>IF(OR(D35="",G35=""),0,H35*F35)</f>
        <v/>
      </c>
    </row>
    <row r="36">
      <c r="A36" s="9" t="n"/>
      <c r="B36" s="9" t="n"/>
      <c r="C36" s="9" t="n"/>
      <c r="D36" s="9" t="n"/>
      <c r="E36" s="8" t="n"/>
      <c r="F36" s="10" t="n"/>
      <c r="G36" s="8" t="n"/>
      <c r="H36" s="11">
        <f>IF(D36="","",IF(G36="",Setup!$B$5,G36)-E36)</f>
        <v/>
      </c>
      <c r="I36" s="6">
        <f>IF(D36="","",AND(LOWER(B36)="y",H36&gt;Setup!$B$4))</f>
        <v/>
      </c>
      <c r="J36" s="12">
        <f>IF(D36="","",IF(AND(I36=TRUE,G36=""),F36,0))</f>
        <v/>
      </c>
      <c r="K36" s="12">
        <f>IF(OR(D36="",G36=""),0,F36)</f>
        <v/>
      </c>
      <c r="L36" s="12">
        <f>IF(OR(D36="",G36=""),0,H36*F36)</f>
        <v/>
      </c>
    </row>
    <row r="37">
      <c r="A37" s="9" t="n"/>
      <c r="B37" s="9" t="n"/>
      <c r="C37" s="9" t="n"/>
      <c r="D37" s="9" t="n"/>
      <c r="E37" s="8" t="n"/>
      <c r="F37" s="10" t="n"/>
      <c r="G37" s="8" t="n"/>
      <c r="H37" s="11">
        <f>IF(D37="","",IF(G37="",Setup!$B$5,G37)-E37)</f>
        <v/>
      </c>
      <c r="I37" s="6">
        <f>IF(D37="","",AND(LOWER(B37)="y",H37&gt;Setup!$B$4))</f>
        <v/>
      </c>
      <c r="J37" s="12">
        <f>IF(D37="","",IF(AND(I37=TRUE,G37=""),F37,0))</f>
        <v/>
      </c>
      <c r="K37" s="12">
        <f>IF(OR(D37="",G37=""),0,F37)</f>
        <v/>
      </c>
      <c r="L37" s="12">
        <f>IF(OR(D37="",G37=""),0,H37*F37)</f>
        <v/>
      </c>
    </row>
    <row r="38">
      <c r="A38" s="9" t="n"/>
      <c r="B38" s="9" t="n"/>
      <c r="C38" s="9" t="n"/>
      <c r="D38" s="9" t="n"/>
      <c r="E38" s="8" t="n"/>
      <c r="F38" s="10" t="n"/>
      <c r="G38" s="8" t="n"/>
      <c r="H38" s="11">
        <f>IF(D38="","",IF(G38="",Setup!$B$5,G38)-E38)</f>
        <v/>
      </c>
      <c r="I38" s="6">
        <f>IF(D38="","",AND(LOWER(B38)="y",H38&gt;Setup!$B$4))</f>
        <v/>
      </c>
      <c r="J38" s="12">
        <f>IF(D38="","",IF(AND(I38=TRUE,G38=""),F38,0))</f>
        <v/>
      </c>
      <c r="K38" s="12">
        <f>IF(OR(D38="",G38=""),0,F38)</f>
        <v/>
      </c>
      <c r="L38" s="12">
        <f>IF(OR(D38="",G38=""),0,H38*F38)</f>
        <v/>
      </c>
    </row>
    <row r="39">
      <c r="A39" s="9" t="n"/>
      <c r="B39" s="9" t="n"/>
      <c r="C39" s="9" t="n"/>
      <c r="D39" s="9" t="n"/>
      <c r="E39" s="8" t="n"/>
      <c r="F39" s="10" t="n"/>
      <c r="G39" s="8" t="n"/>
      <c r="H39" s="11">
        <f>IF(D39="","",IF(G39="",Setup!$B$5,G39)-E39)</f>
        <v/>
      </c>
      <c r="I39" s="6">
        <f>IF(D39="","",AND(LOWER(B39)="y",H39&gt;Setup!$B$4))</f>
        <v/>
      </c>
      <c r="J39" s="12">
        <f>IF(D39="","",IF(AND(I39=TRUE,G39=""),F39,0))</f>
        <v/>
      </c>
      <c r="K39" s="12">
        <f>IF(OR(D39="",G39=""),0,F39)</f>
        <v/>
      </c>
      <c r="L39" s="12">
        <f>IF(OR(D39="",G39=""),0,H39*F39)</f>
        <v/>
      </c>
    </row>
    <row r="40">
      <c r="A40" s="9" t="n"/>
      <c r="B40" s="9" t="n"/>
      <c r="C40" s="9" t="n"/>
      <c r="D40" s="9" t="n"/>
      <c r="E40" s="8" t="n"/>
      <c r="F40" s="10" t="n"/>
      <c r="G40" s="8" t="n"/>
      <c r="H40" s="11">
        <f>IF(D40="","",IF(G40="",Setup!$B$5,G40)-E40)</f>
        <v/>
      </c>
      <c r="I40" s="6">
        <f>IF(D40="","",AND(LOWER(B40)="y",H40&gt;Setup!$B$4))</f>
        <v/>
      </c>
      <c r="J40" s="12">
        <f>IF(D40="","",IF(AND(I40=TRUE,G40=""),F40,0))</f>
        <v/>
      </c>
      <c r="K40" s="12">
        <f>IF(OR(D40="",G40=""),0,F40)</f>
        <v/>
      </c>
      <c r="L40" s="12">
        <f>IF(OR(D40="",G40=""),0,H40*F40)</f>
        <v/>
      </c>
    </row>
    <row r="41">
      <c r="A41" s="9" t="n"/>
      <c r="B41" s="9" t="n"/>
      <c r="C41" s="9" t="n"/>
      <c r="D41" s="9" t="n"/>
      <c r="E41" s="8" t="n"/>
      <c r="F41" s="10" t="n"/>
      <c r="G41" s="8" t="n"/>
      <c r="H41" s="11">
        <f>IF(D41="","",IF(G41="",Setup!$B$5,G41)-E41)</f>
        <v/>
      </c>
      <c r="I41" s="6">
        <f>IF(D41="","",AND(LOWER(B41)="y",H41&gt;Setup!$B$4))</f>
        <v/>
      </c>
      <c r="J41" s="12">
        <f>IF(D41="","",IF(AND(I41=TRUE,G41=""),F41,0))</f>
        <v/>
      </c>
      <c r="K41" s="12">
        <f>IF(OR(D41="",G41=""),0,F41)</f>
        <v/>
      </c>
      <c r="L41" s="12">
        <f>IF(OR(D41="",G41=""),0,H41*F41)</f>
        <v/>
      </c>
    </row>
    <row r="42">
      <c r="A42" s="9" t="n"/>
      <c r="B42" s="9" t="n"/>
      <c r="C42" s="9" t="n"/>
      <c r="D42" s="9" t="n"/>
      <c r="E42" s="8" t="n"/>
      <c r="F42" s="10" t="n"/>
      <c r="G42" s="8" t="n"/>
      <c r="H42" s="11">
        <f>IF(D42="","",IF(G42="",Setup!$B$5,G42)-E42)</f>
        <v/>
      </c>
      <c r="I42" s="6">
        <f>IF(D42="","",AND(LOWER(B42)="y",H42&gt;Setup!$B$4))</f>
        <v/>
      </c>
      <c r="J42" s="12">
        <f>IF(D42="","",IF(AND(I42=TRUE,G42=""),F42,0))</f>
        <v/>
      </c>
      <c r="K42" s="12">
        <f>IF(OR(D42="",G42=""),0,F42)</f>
        <v/>
      </c>
      <c r="L42" s="12">
        <f>IF(OR(D42="",G42=""),0,H42*F42)</f>
        <v/>
      </c>
    </row>
    <row r="43">
      <c r="A43" s="9" t="n"/>
      <c r="B43" s="9" t="n"/>
      <c r="C43" s="9" t="n"/>
      <c r="D43" s="9" t="n"/>
      <c r="E43" s="8" t="n"/>
      <c r="F43" s="10" t="n"/>
      <c r="G43" s="8" t="n"/>
      <c r="H43" s="11">
        <f>IF(D43="","",IF(G43="",Setup!$B$5,G43)-E43)</f>
        <v/>
      </c>
      <c r="I43" s="6">
        <f>IF(D43="","",AND(LOWER(B43)="y",H43&gt;Setup!$B$4))</f>
        <v/>
      </c>
      <c r="J43" s="12">
        <f>IF(D43="","",IF(AND(I43=TRUE,G43=""),F43,0))</f>
        <v/>
      </c>
      <c r="K43" s="12">
        <f>IF(OR(D43="",G43=""),0,F43)</f>
        <v/>
      </c>
      <c r="L43" s="12">
        <f>IF(OR(D43="",G43=""),0,H43*F43)</f>
        <v/>
      </c>
    </row>
    <row r="44">
      <c r="A44" s="9" t="n"/>
      <c r="B44" s="9" t="n"/>
      <c r="C44" s="9" t="n"/>
      <c r="D44" s="9" t="n"/>
      <c r="E44" s="8" t="n"/>
      <c r="F44" s="10" t="n"/>
      <c r="G44" s="8" t="n"/>
      <c r="H44" s="11">
        <f>IF(D44="","",IF(G44="",Setup!$B$5,G44)-E44)</f>
        <v/>
      </c>
      <c r="I44" s="6">
        <f>IF(D44="","",AND(LOWER(B44)="y",H44&gt;Setup!$B$4))</f>
        <v/>
      </c>
      <c r="J44" s="12">
        <f>IF(D44="","",IF(AND(I44=TRUE,G44=""),F44,0))</f>
        <v/>
      </c>
      <c r="K44" s="12">
        <f>IF(OR(D44="",G44=""),0,F44)</f>
        <v/>
      </c>
      <c r="L44" s="12">
        <f>IF(OR(D44="",G44=""),0,H44*F44)</f>
        <v/>
      </c>
    </row>
    <row r="45">
      <c r="A45" s="9" t="n"/>
      <c r="B45" s="9" t="n"/>
      <c r="C45" s="9" t="n"/>
      <c r="D45" s="9" t="n"/>
      <c r="E45" s="8" t="n"/>
      <c r="F45" s="10" t="n"/>
      <c r="G45" s="8" t="n"/>
      <c r="H45" s="11">
        <f>IF(D45="","",IF(G45="",Setup!$B$5,G45)-E45)</f>
        <v/>
      </c>
      <c r="I45" s="6">
        <f>IF(D45="","",AND(LOWER(B45)="y",H45&gt;Setup!$B$4))</f>
        <v/>
      </c>
      <c r="J45" s="12">
        <f>IF(D45="","",IF(AND(I45=TRUE,G45=""),F45,0))</f>
        <v/>
      </c>
      <c r="K45" s="12">
        <f>IF(OR(D45="",G45=""),0,F45)</f>
        <v/>
      </c>
      <c r="L45" s="12">
        <f>IF(OR(D45="",G45=""),0,H45*F45)</f>
        <v/>
      </c>
    </row>
    <row r="46">
      <c r="A46" s="9" t="n"/>
      <c r="B46" s="9" t="n"/>
      <c r="C46" s="9" t="n"/>
      <c r="D46" s="9" t="n"/>
      <c r="E46" s="8" t="n"/>
      <c r="F46" s="10" t="n"/>
      <c r="G46" s="8" t="n"/>
      <c r="H46" s="11">
        <f>IF(D46="","",IF(G46="",Setup!$B$5,G46)-E46)</f>
        <v/>
      </c>
      <c r="I46" s="6">
        <f>IF(D46="","",AND(LOWER(B46)="y",H46&gt;Setup!$B$4))</f>
        <v/>
      </c>
      <c r="J46" s="12">
        <f>IF(D46="","",IF(AND(I46=TRUE,G46=""),F46,0))</f>
        <v/>
      </c>
      <c r="K46" s="12">
        <f>IF(OR(D46="",G46=""),0,F46)</f>
        <v/>
      </c>
      <c r="L46" s="12">
        <f>IF(OR(D46="",G46=""),0,H46*F46)</f>
        <v/>
      </c>
    </row>
    <row r="47">
      <c r="A47" s="9" t="n"/>
      <c r="B47" s="9" t="n"/>
      <c r="C47" s="9" t="n"/>
      <c r="D47" s="9" t="n"/>
      <c r="E47" s="8" t="n"/>
      <c r="F47" s="10" t="n"/>
      <c r="G47" s="8" t="n"/>
      <c r="H47" s="11">
        <f>IF(D47="","",IF(G47="",Setup!$B$5,G47)-E47)</f>
        <v/>
      </c>
      <c r="I47" s="6">
        <f>IF(D47="","",AND(LOWER(B47)="y",H47&gt;Setup!$B$4))</f>
        <v/>
      </c>
      <c r="J47" s="12">
        <f>IF(D47="","",IF(AND(I47=TRUE,G47=""),F47,0))</f>
        <v/>
      </c>
      <c r="K47" s="12">
        <f>IF(OR(D47="",G47=""),0,F47)</f>
        <v/>
      </c>
      <c r="L47" s="12">
        <f>IF(OR(D47="",G47=""),0,H47*F47)</f>
        <v/>
      </c>
    </row>
    <row r="48">
      <c r="A48" s="9" t="n"/>
      <c r="B48" s="9" t="n"/>
      <c r="C48" s="9" t="n"/>
      <c r="D48" s="9" t="n"/>
      <c r="E48" s="8" t="n"/>
      <c r="F48" s="10" t="n"/>
      <c r="G48" s="8" t="n"/>
      <c r="H48" s="11">
        <f>IF(D48="","",IF(G48="",Setup!$B$5,G48)-E48)</f>
        <v/>
      </c>
      <c r="I48" s="6">
        <f>IF(D48="","",AND(LOWER(B48)="y",H48&gt;Setup!$B$4))</f>
        <v/>
      </c>
      <c r="J48" s="12">
        <f>IF(D48="","",IF(AND(I48=TRUE,G48=""),F48,0))</f>
        <v/>
      </c>
      <c r="K48" s="12">
        <f>IF(OR(D48="",G48=""),0,F48)</f>
        <v/>
      </c>
      <c r="L48" s="12">
        <f>IF(OR(D48="",G48=""),0,H48*F48)</f>
        <v/>
      </c>
    </row>
    <row r="49">
      <c r="A49" s="9" t="n"/>
      <c r="B49" s="9" t="n"/>
      <c r="C49" s="9" t="n"/>
      <c r="D49" s="9" t="n"/>
      <c r="E49" s="8" t="n"/>
      <c r="F49" s="10" t="n"/>
      <c r="G49" s="8" t="n"/>
      <c r="H49" s="11">
        <f>IF(D49="","",IF(G49="",Setup!$B$5,G49)-E49)</f>
        <v/>
      </c>
      <c r="I49" s="6">
        <f>IF(D49="","",AND(LOWER(B49)="y",H49&gt;Setup!$B$4))</f>
        <v/>
      </c>
      <c r="J49" s="12">
        <f>IF(D49="","",IF(AND(I49=TRUE,G49=""),F49,0))</f>
        <v/>
      </c>
      <c r="K49" s="12">
        <f>IF(OR(D49="",G49=""),0,F49)</f>
        <v/>
      </c>
      <c r="L49" s="12">
        <f>IF(OR(D49="",G49=""),0,H49*F49)</f>
        <v/>
      </c>
    </row>
    <row r="50">
      <c r="A50" s="9" t="n"/>
      <c r="B50" s="9" t="n"/>
      <c r="C50" s="9" t="n"/>
      <c r="D50" s="9" t="n"/>
      <c r="E50" s="8" t="n"/>
      <c r="F50" s="10" t="n"/>
      <c r="G50" s="8" t="n"/>
      <c r="H50" s="11">
        <f>IF(D50="","",IF(G50="",Setup!$B$5,G50)-E50)</f>
        <v/>
      </c>
      <c r="I50" s="6">
        <f>IF(D50="","",AND(LOWER(B50)="y",H50&gt;Setup!$B$4))</f>
        <v/>
      </c>
      <c r="J50" s="12">
        <f>IF(D50="","",IF(AND(I50=TRUE,G50=""),F50,0))</f>
        <v/>
      </c>
      <c r="K50" s="12">
        <f>IF(OR(D50="",G50=""),0,F50)</f>
        <v/>
      </c>
      <c r="L50" s="12">
        <f>IF(OR(D50="",G50=""),0,H50*F50)</f>
        <v/>
      </c>
    </row>
    <row r="51">
      <c r="A51" s="9" t="n"/>
      <c r="B51" s="9" t="n"/>
      <c r="C51" s="9" t="n"/>
      <c r="D51" s="9" t="n"/>
      <c r="E51" s="8" t="n"/>
      <c r="F51" s="10" t="n"/>
      <c r="G51" s="8" t="n"/>
      <c r="H51" s="11">
        <f>IF(D51="","",IF(G51="",Setup!$B$5,G51)-E51)</f>
        <v/>
      </c>
      <c r="I51" s="6">
        <f>IF(D51="","",AND(LOWER(B51)="y",H51&gt;Setup!$B$4))</f>
        <v/>
      </c>
      <c r="J51" s="12">
        <f>IF(D51="","",IF(AND(I51=TRUE,G51=""),F51,0))</f>
        <v/>
      </c>
      <c r="K51" s="12">
        <f>IF(OR(D51="",G51=""),0,F51)</f>
        <v/>
      </c>
      <c r="L51" s="12">
        <f>IF(OR(D51="",G51=""),0,H51*F51)</f>
        <v/>
      </c>
    </row>
    <row r="52">
      <c r="A52" s="9" t="n"/>
      <c r="B52" s="9" t="n"/>
      <c r="C52" s="9" t="n"/>
      <c r="D52" s="9" t="n"/>
      <c r="E52" s="8" t="n"/>
      <c r="F52" s="10" t="n"/>
      <c r="G52" s="8" t="n"/>
      <c r="H52" s="11">
        <f>IF(D52="","",IF(G52="",Setup!$B$5,G52)-E52)</f>
        <v/>
      </c>
      <c r="I52" s="6">
        <f>IF(D52="","",AND(LOWER(B52)="y",H52&gt;Setup!$B$4))</f>
        <v/>
      </c>
      <c r="J52" s="12">
        <f>IF(D52="","",IF(AND(I52=TRUE,G52=""),F52,0))</f>
        <v/>
      </c>
      <c r="K52" s="12">
        <f>IF(OR(D52="",G52=""),0,F52)</f>
        <v/>
      </c>
      <c r="L52" s="12">
        <f>IF(OR(D52="",G52=""),0,H52*F52)</f>
        <v/>
      </c>
    </row>
    <row r="53">
      <c r="A53" s="9" t="n"/>
      <c r="B53" s="9" t="n"/>
      <c r="C53" s="9" t="n"/>
      <c r="D53" s="9" t="n"/>
      <c r="E53" s="8" t="n"/>
      <c r="F53" s="10" t="n"/>
      <c r="G53" s="8" t="n"/>
      <c r="H53" s="11">
        <f>IF(D53="","",IF(G53="",Setup!$B$5,G53)-E53)</f>
        <v/>
      </c>
      <c r="I53" s="6">
        <f>IF(D53="","",AND(LOWER(B53)="y",H53&gt;Setup!$B$4))</f>
        <v/>
      </c>
      <c r="J53" s="12">
        <f>IF(D53="","",IF(AND(I53=TRUE,G53=""),F53,0))</f>
        <v/>
      </c>
      <c r="K53" s="12">
        <f>IF(OR(D53="",G53=""),0,F53)</f>
        <v/>
      </c>
      <c r="L53" s="12">
        <f>IF(OR(D53="",G53=""),0,H53*F53)</f>
        <v/>
      </c>
    </row>
    <row r="54">
      <c r="A54" s="9" t="n"/>
      <c r="B54" s="9" t="n"/>
      <c r="C54" s="9" t="n"/>
      <c r="D54" s="9" t="n"/>
      <c r="E54" s="8" t="n"/>
      <c r="F54" s="10" t="n"/>
      <c r="G54" s="8" t="n"/>
      <c r="H54" s="11">
        <f>IF(D54="","",IF(G54="",Setup!$B$5,G54)-E54)</f>
        <v/>
      </c>
      <c r="I54" s="6">
        <f>IF(D54="","",AND(LOWER(B54)="y",H54&gt;Setup!$B$4))</f>
        <v/>
      </c>
      <c r="J54" s="12">
        <f>IF(D54="","",IF(AND(I54=TRUE,G54=""),F54,0))</f>
        <v/>
      </c>
      <c r="K54" s="12">
        <f>IF(OR(D54="",G54=""),0,F54)</f>
        <v/>
      </c>
      <c r="L54" s="12">
        <f>IF(OR(D54="",G54=""),0,H54*F54)</f>
        <v/>
      </c>
    </row>
    <row r="55">
      <c r="A55" s="9" t="n"/>
      <c r="B55" s="9" t="n"/>
      <c r="C55" s="9" t="n"/>
      <c r="D55" s="9" t="n"/>
      <c r="E55" s="8" t="n"/>
      <c r="F55" s="10" t="n"/>
      <c r="G55" s="8" t="n"/>
      <c r="H55" s="11">
        <f>IF(D55="","",IF(G55="",Setup!$B$5,G55)-E55)</f>
        <v/>
      </c>
      <c r="I55" s="6">
        <f>IF(D55="","",AND(LOWER(B55)="y",H55&gt;Setup!$B$4))</f>
        <v/>
      </c>
      <c r="J55" s="12">
        <f>IF(D55="","",IF(AND(I55=TRUE,G55=""),F55,0))</f>
        <v/>
      </c>
      <c r="K55" s="12">
        <f>IF(OR(D55="",G55=""),0,F55)</f>
        <v/>
      </c>
      <c r="L55" s="12">
        <f>IF(OR(D55="",G55=""),0,H55*F55)</f>
        <v/>
      </c>
    </row>
    <row r="56">
      <c r="A56" s="9" t="n"/>
      <c r="B56" s="9" t="n"/>
      <c r="C56" s="9" t="n"/>
      <c r="D56" s="9" t="n"/>
      <c r="E56" s="8" t="n"/>
      <c r="F56" s="10" t="n"/>
      <c r="G56" s="8" t="n"/>
      <c r="H56" s="11">
        <f>IF(D56="","",IF(G56="",Setup!$B$5,G56)-E56)</f>
        <v/>
      </c>
      <c r="I56" s="6">
        <f>IF(D56="","",AND(LOWER(B56)="y",H56&gt;Setup!$B$4))</f>
        <v/>
      </c>
      <c r="J56" s="12">
        <f>IF(D56="","",IF(AND(I56=TRUE,G56=""),F56,0))</f>
        <v/>
      </c>
      <c r="K56" s="12">
        <f>IF(OR(D56="",G56=""),0,F56)</f>
        <v/>
      </c>
      <c r="L56" s="12">
        <f>IF(OR(D56="",G56=""),0,H56*F56)</f>
        <v/>
      </c>
    </row>
    <row r="57">
      <c r="A57" s="9" t="n"/>
      <c r="B57" s="9" t="n"/>
      <c r="C57" s="9" t="n"/>
      <c r="D57" s="9" t="n"/>
      <c r="E57" s="8" t="n"/>
      <c r="F57" s="10" t="n"/>
      <c r="G57" s="8" t="n"/>
      <c r="H57" s="11">
        <f>IF(D57="","",IF(G57="",Setup!$B$5,G57)-E57)</f>
        <v/>
      </c>
      <c r="I57" s="6">
        <f>IF(D57="","",AND(LOWER(B57)="y",H57&gt;Setup!$B$4))</f>
        <v/>
      </c>
      <c r="J57" s="12">
        <f>IF(D57="","",IF(AND(I57=TRUE,G57=""),F57,0))</f>
        <v/>
      </c>
      <c r="K57" s="12">
        <f>IF(OR(D57="",G57=""),0,F57)</f>
        <v/>
      </c>
      <c r="L57" s="12">
        <f>IF(OR(D57="",G57=""),0,H57*F57)</f>
        <v/>
      </c>
    </row>
    <row r="58">
      <c r="A58" s="9" t="n"/>
      <c r="B58" s="9" t="n"/>
      <c r="C58" s="9" t="n"/>
      <c r="D58" s="9" t="n"/>
      <c r="E58" s="8" t="n"/>
      <c r="F58" s="10" t="n"/>
      <c r="G58" s="8" t="n"/>
      <c r="H58" s="11">
        <f>IF(D58="","",IF(G58="",Setup!$B$5,G58)-E58)</f>
        <v/>
      </c>
      <c r="I58" s="6">
        <f>IF(D58="","",AND(LOWER(B58)="y",H58&gt;Setup!$B$4))</f>
        <v/>
      </c>
      <c r="J58" s="12">
        <f>IF(D58="","",IF(AND(I58=TRUE,G58=""),F58,0))</f>
        <v/>
      </c>
      <c r="K58" s="12">
        <f>IF(OR(D58="",G58=""),0,F58)</f>
        <v/>
      </c>
      <c r="L58" s="12">
        <f>IF(OR(D58="",G58=""),0,H58*F58)</f>
        <v/>
      </c>
    </row>
    <row r="59">
      <c r="A59" s="9" t="n"/>
      <c r="B59" s="9" t="n"/>
      <c r="C59" s="9" t="n"/>
      <c r="D59" s="9" t="n"/>
      <c r="E59" s="8" t="n"/>
      <c r="F59" s="10" t="n"/>
      <c r="G59" s="8" t="n"/>
      <c r="H59" s="11">
        <f>IF(D59="","",IF(G59="",Setup!$B$5,G59)-E59)</f>
        <v/>
      </c>
      <c r="I59" s="6">
        <f>IF(D59="","",AND(LOWER(B59)="y",H59&gt;Setup!$B$4))</f>
        <v/>
      </c>
      <c r="J59" s="12">
        <f>IF(D59="","",IF(AND(I59=TRUE,G59=""),F59,0))</f>
        <v/>
      </c>
      <c r="K59" s="12">
        <f>IF(OR(D59="",G59=""),0,F59)</f>
        <v/>
      </c>
      <c r="L59" s="12">
        <f>IF(OR(D59="",G59=""),0,H59*F59)</f>
        <v/>
      </c>
    </row>
    <row r="60">
      <c r="A60" s="9" t="n"/>
      <c r="B60" s="9" t="n"/>
      <c r="C60" s="9" t="n"/>
      <c r="D60" s="9" t="n"/>
      <c r="E60" s="8" t="n"/>
      <c r="F60" s="10" t="n"/>
      <c r="G60" s="8" t="n"/>
      <c r="H60" s="11">
        <f>IF(D60="","",IF(G60="",Setup!$B$5,G60)-E60)</f>
        <v/>
      </c>
      <c r="I60" s="6">
        <f>IF(D60="","",AND(LOWER(B60)="y",H60&gt;Setup!$B$4))</f>
        <v/>
      </c>
      <c r="J60" s="12">
        <f>IF(D60="","",IF(AND(I60=TRUE,G60=""),F60,0))</f>
        <v/>
      </c>
      <c r="K60" s="12">
        <f>IF(OR(D60="",G60=""),0,F60)</f>
        <v/>
      </c>
      <c r="L60" s="12">
        <f>IF(OR(D60="",G60=""),0,H60*F60)</f>
        <v/>
      </c>
    </row>
    <row r="61">
      <c r="A61" s="9" t="n"/>
      <c r="B61" s="9" t="n"/>
      <c r="C61" s="9" t="n"/>
      <c r="D61" s="9" t="n"/>
      <c r="E61" s="8" t="n"/>
      <c r="F61" s="10" t="n"/>
      <c r="G61" s="8" t="n"/>
      <c r="H61" s="11">
        <f>IF(D61="","",IF(G61="",Setup!$B$5,G61)-E61)</f>
        <v/>
      </c>
      <c r="I61" s="6">
        <f>IF(D61="","",AND(LOWER(B61)="y",H61&gt;Setup!$B$4))</f>
        <v/>
      </c>
      <c r="J61" s="12">
        <f>IF(D61="","",IF(AND(I61=TRUE,G61=""),F61,0))</f>
        <v/>
      </c>
      <c r="K61" s="12">
        <f>IF(OR(D61="",G61=""),0,F61)</f>
        <v/>
      </c>
      <c r="L61" s="12">
        <f>IF(OR(D61="",G61=""),0,H61*F61)</f>
        <v/>
      </c>
    </row>
    <row r="62">
      <c r="A62" s="9" t="n"/>
      <c r="B62" s="9" t="n"/>
      <c r="C62" s="9" t="n"/>
      <c r="D62" s="9" t="n"/>
      <c r="E62" s="8" t="n"/>
      <c r="F62" s="10" t="n"/>
      <c r="G62" s="8" t="n"/>
      <c r="H62" s="11">
        <f>IF(D62="","",IF(G62="",Setup!$B$5,G62)-E62)</f>
        <v/>
      </c>
      <c r="I62" s="6">
        <f>IF(D62="","",AND(LOWER(B62)="y",H62&gt;Setup!$B$4))</f>
        <v/>
      </c>
      <c r="J62" s="12">
        <f>IF(D62="","",IF(AND(I62=TRUE,G62=""),F62,0))</f>
        <v/>
      </c>
      <c r="K62" s="12">
        <f>IF(OR(D62="",G62=""),0,F62)</f>
        <v/>
      </c>
      <c r="L62" s="12">
        <f>IF(OR(D62="",G62=""),0,H62*F62)</f>
        <v/>
      </c>
    </row>
    <row r="63">
      <c r="A63" s="9" t="n"/>
      <c r="B63" s="9" t="n"/>
      <c r="C63" s="9" t="n"/>
      <c r="D63" s="9" t="n"/>
      <c r="E63" s="8" t="n"/>
      <c r="F63" s="10" t="n"/>
      <c r="G63" s="8" t="n"/>
      <c r="H63" s="11">
        <f>IF(D63="","",IF(G63="",Setup!$B$5,G63)-E63)</f>
        <v/>
      </c>
      <c r="I63" s="6">
        <f>IF(D63="","",AND(LOWER(B63)="y",H63&gt;Setup!$B$4))</f>
        <v/>
      </c>
      <c r="J63" s="12">
        <f>IF(D63="","",IF(AND(I63=TRUE,G63=""),F63,0))</f>
        <v/>
      </c>
      <c r="K63" s="12">
        <f>IF(OR(D63="",G63=""),0,F63)</f>
        <v/>
      </c>
      <c r="L63" s="12">
        <f>IF(OR(D63="",G63=""),0,H63*F63)</f>
        <v/>
      </c>
    </row>
    <row r="64">
      <c r="A64" s="9" t="n"/>
      <c r="B64" s="9" t="n"/>
      <c r="C64" s="9" t="n"/>
      <c r="D64" s="9" t="n"/>
      <c r="E64" s="8" t="n"/>
      <c r="F64" s="10" t="n"/>
      <c r="G64" s="8" t="n"/>
      <c r="H64" s="11">
        <f>IF(D64="","",IF(G64="",Setup!$B$5,G64)-E64)</f>
        <v/>
      </c>
      <c r="I64" s="6">
        <f>IF(D64="","",AND(LOWER(B64)="y",H64&gt;Setup!$B$4))</f>
        <v/>
      </c>
      <c r="J64" s="12">
        <f>IF(D64="","",IF(AND(I64=TRUE,G64=""),F64,0))</f>
        <v/>
      </c>
      <c r="K64" s="12">
        <f>IF(OR(D64="",G64=""),0,F64)</f>
        <v/>
      </c>
      <c r="L64" s="12">
        <f>IF(OR(D64="",G64=""),0,H64*F64)</f>
        <v/>
      </c>
    </row>
    <row r="65">
      <c r="A65" s="9" t="n"/>
      <c r="B65" s="9" t="n"/>
      <c r="C65" s="9" t="n"/>
      <c r="D65" s="9" t="n"/>
      <c r="E65" s="8" t="n"/>
      <c r="F65" s="10" t="n"/>
      <c r="G65" s="8" t="n"/>
      <c r="H65" s="11">
        <f>IF(D65="","",IF(G65="",Setup!$B$5,G65)-E65)</f>
        <v/>
      </c>
      <c r="I65" s="6">
        <f>IF(D65="","",AND(LOWER(B65)="y",H65&gt;Setup!$B$4))</f>
        <v/>
      </c>
      <c r="J65" s="12">
        <f>IF(D65="","",IF(AND(I65=TRUE,G65=""),F65,0))</f>
        <v/>
      </c>
      <c r="K65" s="12">
        <f>IF(OR(D65="",G65=""),0,F65)</f>
        <v/>
      </c>
      <c r="L65" s="12">
        <f>IF(OR(D65="",G65=""),0,H65*F65)</f>
        <v/>
      </c>
    </row>
    <row r="66">
      <c r="A66" s="9" t="n"/>
      <c r="B66" s="9" t="n"/>
      <c r="C66" s="9" t="n"/>
      <c r="D66" s="9" t="n"/>
      <c r="E66" s="8" t="n"/>
      <c r="F66" s="10" t="n"/>
      <c r="G66" s="8" t="n"/>
      <c r="H66" s="11">
        <f>IF(D66="","",IF(G66="",Setup!$B$5,G66)-E66)</f>
        <v/>
      </c>
      <c r="I66" s="6">
        <f>IF(D66="","",AND(LOWER(B66)="y",H66&gt;Setup!$B$4))</f>
        <v/>
      </c>
      <c r="J66" s="12">
        <f>IF(D66="","",IF(AND(I66=TRUE,G66=""),F66,0))</f>
        <v/>
      </c>
      <c r="K66" s="12">
        <f>IF(OR(D66="",G66=""),0,F66)</f>
        <v/>
      </c>
      <c r="L66" s="12">
        <f>IF(OR(D66="",G66=""),0,H66*F66)</f>
        <v/>
      </c>
    </row>
    <row r="67">
      <c r="A67" s="9" t="n"/>
      <c r="B67" s="9" t="n"/>
      <c r="C67" s="9" t="n"/>
      <c r="D67" s="9" t="n"/>
      <c r="E67" s="8" t="n"/>
      <c r="F67" s="10" t="n"/>
      <c r="G67" s="8" t="n"/>
      <c r="H67" s="11">
        <f>IF(D67="","",IF(G67="",Setup!$B$5,G67)-E67)</f>
        <v/>
      </c>
      <c r="I67" s="6">
        <f>IF(D67="","",AND(LOWER(B67)="y",H67&gt;Setup!$B$4))</f>
        <v/>
      </c>
      <c r="J67" s="12">
        <f>IF(D67="","",IF(AND(I67=TRUE,G67=""),F67,0))</f>
        <v/>
      </c>
      <c r="K67" s="12">
        <f>IF(OR(D67="",G67=""),0,F67)</f>
        <v/>
      </c>
      <c r="L67" s="12">
        <f>IF(OR(D67="",G67=""),0,H67*F67)</f>
        <v/>
      </c>
    </row>
    <row r="68">
      <c r="A68" s="9" t="n"/>
      <c r="B68" s="9" t="n"/>
      <c r="C68" s="9" t="n"/>
      <c r="D68" s="9" t="n"/>
      <c r="E68" s="8" t="n"/>
      <c r="F68" s="10" t="n"/>
      <c r="G68" s="8" t="n"/>
      <c r="H68" s="11">
        <f>IF(D68="","",IF(G68="",Setup!$B$5,G68)-E68)</f>
        <v/>
      </c>
      <c r="I68" s="6">
        <f>IF(D68="","",AND(LOWER(B68)="y",H68&gt;Setup!$B$4))</f>
        <v/>
      </c>
      <c r="J68" s="12">
        <f>IF(D68="","",IF(AND(I68=TRUE,G68=""),F68,0))</f>
        <v/>
      </c>
      <c r="K68" s="12">
        <f>IF(OR(D68="",G68=""),0,F68)</f>
        <v/>
      </c>
      <c r="L68" s="12">
        <f>IF(OR(D68="",G68=""),0,H68*F68)</f>
        <v/>
      </c>
    </row>
    <row r="69">
      <c r="A69" s="9" t="n"/>
      <c r="B69" s="9" t="n"/>
      <c r="C69" s="9" t="n"/>
      <c r="D69" s="9" t="n"/>
      <c r="E69" s="8" t="n"/>
      <c r="F69" s="10" t="n"/>
      <c r="G69" s="8" t="n"/>
      <c r="H69" s="11">
        <f>IF(D69="","",IF(G69="",Setup!$B$5,G69)-E69)</f>
        <v/>
      </c>
      <c r="I69" s="6">
        <f>IF(D69="","",AND(LOWER(B69)="y",H69&gt;Setup!$B$4))</f>
        <v/>
      </c>
      <c r="J69" s="12">
        <f>IF(D69="","",IF(AND(I69=TRUE,G69=""),F69,0))</f>
        <v/>
      </c>
      <c r="K69" s="12">
        <f>IF(OR(D69="",G69=""),0,F69)</f>
        <v/>
      </c>
      <c r="L69" s="12">
        <f>IF(OR(D69="",G69=""),0,H69*F69)</f>
        <v/>
      </c>
    </row>
    <row r="70">
      <c r="A70" s="9" t="n"/>
      <c r="B70" s="9" t="n"/>
      <c r="C70" s="9" t="n"/>
      <c r="D70" s="9" t="n"/>
      <c r="E70" s="8" t="n"/>
      <c r="F70" s="10" t="n"/>
      <c r="G70" s="8" t="n"/>
      <c r="H70" s="11">
        <f>IF(D70="","",IF(G70="",Setup!$B$5,G70)-E70)</f>
        <v/>
      </c>
      <c r="I70" s="6">
        <f>IF(D70="","",AND(LOWER(B70)="y",H70&gt;Setup!$B$4))</f>
        <v/>
      </c>
      <c r="J70" s="12">
        <f>IF(D70="","",IF(AND(I70=TRUE,G70=""),F70,0))</f>
        <v/>
      </c>
      <c r="K70" s="12">
        <f>IF(OR(D70="",G70=""),0,F70)</f>
        <v/>
      </c>
      <c r="L70" s="12">
        <f>IF(OR(D70="",G70=""),0,H70*F70)</f>
        <v/>
      </c>
    </row>
    <row r="71">
      <c r="A71" s="9" t="n"/>
      <c r="B71" s="9" t="n"/>
      <c r="C71" s="9" t="n"/>
      <c r="D71" s="9" t="n"/>
      <c r="E71" s="8" t="n"/>
      <c r="F71" s="10" t="n"/>
      <c r="G71" s="8" t="n"/>
      <c r="H71" s="11">
        <f>IF(D71="","",IF(G71="",Setup!$B$5,G71)-E71)</f>
        <v/>
      </c>
      <c r="I71" s="6">
        <f>IF(D71="","",AND(LOWER(B71)="y",H71&gt;Setup!$B$4))</f>
        <v/>
      </c>
      <c r="J71" s="12">
        <f>IF(D71="","",IF(AND(I71=TRUE,G71=""),F71,0))</f>
        <v/>
      </c>
      <c r="K71" s="12">
        <f>IF(OR(D71="",G71=""),0,F71)</f>
        <v/>
      </c>
      <c r="L71" s="12">
        <f>IF(OR(D71="",G71=""),0,H71*F71)</f>
        <v/>
      </c>
    </row>
    <row r="72">
      <c r="A72" s="9" t="n"/>
      <c r="B72" s="9" t="n"/>
      <c r="C72" s="9" t="n"/>
      <c r="D72" s="9" t="n"/>
      <c r="E72" s="8" t="n"/>
      <c r="F72" s="10" t="n"/>
      <c r="G72" s="8" t="n"/>
      <c r="H72" s="11">
        <f>IF(D72="","",IF(G72="",Setup!$B$5,G72)-E72)</f>
        <v/>
      </c>
      <c r="I72" s="6">
        <f>IF(D72="","",AND(LOWER(B72)="y",H72&gt;Setup!$B$4))</f>
        <v/>
      </c>
      <c r="J72" s="12">
        <f>IF(D72="","",IF(AND(I72=TRUE,G72=""),F72,0))</f>
        <v/>
      </c>
      <c r="K72" s="12">
        <f>IF(OR(D72="",G72=""),0,F72)</f>
        <v/>
      </c>
      <c r="L72" s="12">
        <f>IF(OR(D72="",G72=""),0,H72*F72)</f>
        <v/>
      </c>
    </row>
    <row r="73">
      <c r="A73" s="9" t="n"/>
      <c r="B73" s="9" t="n"/>
      <c r="C73" s="9" t="n"/>
      <c r="D73" s="9" t="n"/>
      <c r="E73" s="8" t="n"/>
      <c r="F73" s="10" t="n"/>
      <c r="G73" s="8" t="n"/>
      <c r="H73" s="11">
        <f>IF(D73="","",IF(G73="",Setup!$B$5,G73)-E73)</f>
        <v/>
      </c>
      <c r="I73" s="6">
        <f>IF(D73="","",AND(LOWER(B73)="y",H73&gt;Setup!$B$4))</f>
        <v/>
      </c>
      <c r="J73" s="12">
        <f>IF(D73="","",IF(AND(I73=TRUE,G73=""),F73,0))</f>
        <v/>
      </c>
      <c r="K73" s="12">
        <f>IF(OR(D73="",G73=""),0,F73)</f>
        <v/>
      </c>
      <c r="L73" s="12">
        <f>IF(OR(D73="",G73=""),0,H73*F73)</f>
        <v/>
      </c>
    </row>
    <row r="74">
      <c r="A74" s="9" t="n"/>
      <c r="B74" s="9" t="n"/>
      <c r="C74" s="9" t="n"/>
      <c r="D74" s="9" t="n"/>
      <c r="E74" s="8" t="n"/>
      <c r="F74" s="10" t="n"/>
      <c r="G74" s="8" t="n"/>
      <c r="H74" s="11">
        <f>IF(D74="","",IF(G74="",Setup!$B$5,G74)-E74)</f>
        <v/>
      </c>
      <c r="I74" s="6">
        <f>IF(D74="","",AND(LOWER(B74)="y",H74&gt;Setup!$B$4))</f>
        <v/>
      </c>
      <c r="J74" s="12">
        <f>IF(D74="","",IF(AND(I74=TRUE,G74=""),F74,0))</f>
        <v/>
      </c>
      <c r="K74" s="12">
        <f>IF(OR(D74="",G74=""),0,F74)</f>
        <v/>
      </c>
      <c r="L74" s="12">
        <f>IF(OR(D74="",G74=""),0,H74*F74)</f>
        <v/>
      </c>
    </row>
    <row r="75">
      <c r="A75" s="9" t="n"/>
      <c r="B75" s="9" t="n"/>
      <c r="C75" s="9" t="n"/>
      <c r="D75" s="9" t="n"/>
      <c r="E75" s="8" t="n"/>
      <c r="F75" s="10" t="n"/>
      <c r="G75" s="8" t="n"/>
      <c r="H75" s="11">
        <f>IF(D75="","",IF(G75="",Setup!$B$5,G75)-E75)</f>
        <v/>
      </c>
      <c r="I75" s="6">
        <f>IF(D75="","",AND(LOWER(B75)="y",H75&gt;Setup!$B$4))</f>
        <v/>
      </c>
      <c r="J75" s="12">
        <f>IF(D75="","",IF(AND(I75=TRUE,G75=""),F75,0))</f>
        <v/>
      </c>
      <c r="K75" s="12">
        <f>IF(OR(D75="",G75=""),0,F75)</f>
        <v/>
      </c>
      <c r="L75" s="12">
        <f>IF(OR(D75="",G75=""),0,H75*F75)</f>
        <v/>
      </c>
    </row>
    <row r="76">
      <c r="A76" s="9" t="n"/>
      <c r="B76" s="9" t="n"/>
      <c r="C76" s="9" t="n"/>
      <c r="D76" s="9" t="n"/>
      <c r="E76" s="8" t="n"/>
      <c r="F76" s="10" t="n"/>
      <c r="G76" s="8" t="n"/>
      <c r="H76" s="11">
        <f>IF(D76="","",IF(G76="",Setup!$B$5,G76)-E76)</f>
        <v/>
      </c>
      <c r="I76" s="6">
        <f>IF(D76="","",AND(LOWER(B76)="y",H76&gt;Setup!$B$4))</f>
        <v/>
      </c>
      <c r="J76" s="12">
        <f>IF(D76="","",IF(AND(I76=TRUE,G76=""),F76,0))</f>
        <v/>
      </c>
      <c r="K76" s="12">
        <f>IF(OR(D76="",G76=""),0,F76)</f>
        <v/>
      </c>
      <c r="L76" s="12">
        <f>IF(OR(D76="",G76=""),0,H76*F76)</f>
        <v/>
      </c>
    </row>
    <row r="77">
      <c r="A77" s="9" t="n"/>
      <c r="B77" s="9" t="n"/>
      <c r="C77" s="9" t="n"/>
      <c r="D77" s="9" t="n"/>
      <c r="E77" s="8" t="n"/>
      <c r="F77" s="10" t="n"/>
      <c r="G77" s="8" t="n"/>
      <c r="H77" s="11">
        <f>IF(D77="","",IF(G77="",Setup!$B$5,G77)-E77)</f>
        <v/>
      </c>
      <c r="I77" s="6">
        <f>IF(D77="","",AND(LOWER(B77)="y",H77&gt;Setup!$B$4))</f>
        <v/>
      </c>
      <c r="J77" s="12">
        <f>IF(D77="","",IF(AND(I77=TRUE,G77=""),F77,0))</f>
        <v/>
      </c>
      <c r="K77" s="12">
        <f>IF(OR(D77="",G77=""),0,F77)</f>
        <v/>
      </c>
      <c r="L77" s="12">
        <f>IF(OR(D77="",G77=""),0,H77*F77)</f>
        <v/>
      </c>
    </row>
    <row r="78">
      <c r="A78" s="9" t="n"/>
      <c r="B78" s="9" t="n"/>
      <c r="C78" s="9" t="n"/>
      <c r="D78" s="9" t="n"/>
      <c r="E78" s="8" t="n"/>
      <c r="F78" s="10" t="n"/>
      <c r="G78" s="8" t="n"/>
      <c r="H78" s="11">
        <f>IF(D78="","",IF(G78="",Setup!$B$5,G78)-E78)</f>
        <v/>
      </c>
      <c r="I78" s="6">
        <f>IF(D78="","",AND(LOWER(B78)="y",H78&gt;Setup!$B$4))</f>
        <v/>
      </c>
      <c r="J78" s="12">
        <f>IF(D78="","",IF(AND(I78=TRUE,G78=""),F78,0))</f>
        <v/>
      </c>
      <c r="K78" s="12">
        <f>IF(OR(D78="",G78=""),0,F78)</f>
        <v/>
      </c>
      <c r="L78" s="12">
        <f>IF(OR(D78="",G78=""),0,H78*F78)</f>
        <v/>
      </c>
    </row>
    <row r="79">
      <c r="A79" s="9" t="n"/>
      <c r="B79" s="9" t="n"/>
      <c r="C79" s="9" t="n"/>
      <c r="D79" s="9" t="n"/>
      <c r="E79" s="8" t="n"/>
      <c r="F79" s="10" t="n"/>
      <c r="G79" s="8" t="n"/>
      <c r="H79" s="11">
        <f>IF(D79="","",IF(G79="",Setup!$B$5,G79)-E79)</f>
        <v/>
      </c>
      <c r="I79" s="6">
        <f>IF(D79="","",AND(LOWER(B79)="y",H79&gt;Setup!$B$4))</f>
        <v/>
      </c>
      <c r="J79" s="12">
        <f>IF(D79="","",IF(AND(I79=TRUE,G79=""),F79,0))</f>
        <v/>
      </c>
      <c r="K79" s="12">
        <f>IF(OR(D79="",G79=""),0,F79)</f>
        <v/>
      </c>
      <c r="L79" s="12">
        <f>IF(OR(D79="",G79=""),0,H79*F79)</f>
        <v/>
      </c>
    </row>
    <row r="80">
      <c r="A80" s="9" t="n"/>
      <c r="B80" s="9" t="n"/>
      <c r="C80" s="9" t="n"/>
      <c r="D80" s="9" t="n"/>
      <c r="E80" s="8" t="n"/>
      <c r="F80" s="10" t="n"/>
      <c r="G80" s="8" t="n"/>
      <c r="H80" s="11">
        <f>IF(D80="","",IF(G80="",Setup!$B$5,G80)-E80)</f>
        <v/>
      </c>
      <c r="I80" s="6">
        <f>IF(D80="","",AND(LOWER(B80)="y",H80&gt;Setup!$B$4))</f>
        <v/>
      </c>
      <c r="J80" s="12">
        <f>IF(D80="","",IF(AND(I80=TRUE,G80=""),F80,0))</f>
        <v/>
      </c>
      <c r="K80" s="12">
        <f>IF(OR(D80="",G80=""),0,F80)</f>
        <v/>
      </c>
      <c r="L80" s="12">
        <f>IF(OR(D80="",G80=""),0,H80*F80)</f>
        <v/>
      </c>
    </row>
    <row r="81">
      <c r="A81" s="9" t="n"/>
      <c r="B81" s="9" t="n"/>
      <c r="C81" s="9" t="n"/>
      <c r="D81" s="9" t="n"/>
      <c r="E81" s="8" t="n"/>
      <c r="F81" s="10" t="n"/>
      <c r="G81" s="8" t="n"/>
      <c r="H81" s="11">
        <f>IF(D81="","",IF(G81="",Setup!$B$5,G81)-E81)</f>
        <v/>
      </c>
      <c r="I81" s="6">
        <f>IF(D81="","",AND(LOWER(B81)="y",H81&gt;Setup!$B$4))</f>
        <v/>
      </c>
      <c r="J81" s="12">
        <f>IF(D81="","",IF(AND(I81=TRUE,G81=""),F81,0))</f>
        <v/>
      </c>
      <c r="K81" s="12">
        <f>IF(OR(D81="",G81=""),0,F81)</f>
        <v/>
      </c>
      <c r="L81" s="12">
        <f>IF(OR(D81="",G81=""),0,H81*F81)</f>
        <v/>
      </c>
    </row>
    <row r="82">
      <c r="A82" s="9" t="n"/>
      <c r="B82" s="9" t="n"/>
      <c r="C82" s="9" t="n"/>
      <c r="D82" s="9" t="n"/>
      <c r="E82" s="8" t="n"/>
      <c r="F82" s="10" t="n"/>
      <c r="G82" s="8" t="n"/>
      <c r="H82" s="11">
        <f>IF(D82="","",IF(G82="",Setup!$B$5,G82)-E82)</f>
        <v/>
      </c>
      <c r="I82" s="6">
        <f>IF(D82="","",AND(LOWER(B82)="y",H82&gt;Setup!$B$4))</f>
        <v/>
      </c>
      <c r="J82" s="12">
        <f>IF(D82="","",IF(AND(I82=TRUE,G82=""),F82,0))</f>
        <v/>
      </c>
      <c r="K82" s="12">
        <f>IF(OR(D82="",G82=""),0,F82)</f>
        <v/>
      </c>
      <c r="L82" s="12">
        <f>IF(OR(D82="",G82=""),0,H82*F82)</f>
        <v/>
      </c>
    </row>
    <row r="83">
      <c r="A83" s="9" t="n"/>
      <c r="B83" s="9" t="n"/>
      <c r="C83" s="9" t="n"/>
      <c r="D83" s="9" t="n"/>
      <c r="E83" s="8" t="n"/>
      <c r="F83" s="10" t="n"/>
      <c r="G83" s="8" t="n"/>
      <c r="H83" s="11">
        <f>IF(D83="","",IF(G83="",Setup!$B$5,G83)-E83)</f>
        <v/>
      </c>
      <c r="I83" s="6">
        <f>IF(D83="","",AND(LOWER(B83)="y",H83&gt;Setup!$B$4))</f>
        <v/>
      </c>
      <c r="J83" s="12">
        <f>IF(D83="","",IF(AND(I83=TRUE,G83=""),F83,0))</f>
        <v/>
      </c>
      <c r="K83" s="12">
        <f>IF(OR(D83="",G83=""),0,F83)</f>
        <v/>
      </c>
      <c r="L83" s="12">
        <f>IF(OR(D83="",G83=""),0,H83*F83)</f>
        <v/>
      </c>
    </row>
    <row r="84">
      <c r="A84" s="9" t="n"/>
      <c r="B84" s="9" t="n"/>
      <c r="C84" s="9" t="n"/>
      <c r="D84" s="9" t="n"/>
      <c r="E84" s="8" t="n"/>
      <c r="F84" s="10" t="n"/>
      <c r="G84" s="8" t="n"/>
      <c r="H84" s="11">
        <f>IF(D84="","",IF(G84="",Setup!$B$5,G84)-E84)</f>
        <v/>
      </c>
      <c r="I84" s="6">
        <f>IF(D84="","",AND(LOWER(B84)="y",H84&gt;Setup!$B$4))</f>
        <v/>
      </c>
      <c r="J84" s="12">
        <f>IF(D84="","",IF(AND(I84=TRUE,G84=""),F84,0))</f>
        <v/>
      </c>
      <c r="K84" s="12">
        <f>IF(OR(D84="",G84=""),0,F84)</f>
        <v/>
      </c>
      <c r="L84" s="12">
        <f>IF(OR(D84="",G84=""),0,H84*F84)</f>
        <v/>
      </c>
    </row>
    <row r="85">
      <c r="A85" s="9" t="n"/>
      <c r="B85" s="9" t="n"/>
      <c r="C85" s="9" t="n"/>
      <c r="D85" s="9" t="n"/>
      <c r="E85" s="8" t="n"/>
      <c r="F85" s="10" t="n"/>
      <c r="G85" s="8" t="n"/>
      <c r="H85" s="11">
        <f>IF(D85="","",IF(G85="",Setup!$B$5,G85)-E85)</f>
        <v/>
      </c>
      <c r="I85" s="6">
        <f>IF(D85="","",AND(LOWER(B85)="y",H85&gt;Setup!$B$4))</f>
        <v/>
      </c>
      <c r="J85" s="12">
        <f>IF(D85="","",IF(AND(I85=TRUE,G85=""),F85,0))</f>
        <v/>
      </c>
      <c r="K85" s="12">
        <f>IF(OR(D85="",G85=""),0,F85)</f>
        <v/>
      </c>
      <c r="L85" s="12">
        <f>IF(OR(D85="",G85=""),0,H85*F85)</f>
        <v/>
      </c>
    </row>
    <row r="86">
      <c r="A86" s="9" t="n"/>
      <c r="B86" s="9" t="n"/>
      <c r="C86" s="9" t="n"/>
      <c r="D86" s="9" t="n"/>
      <c r="E86" s="8" t="n"/>
      <c r="F86" s="10" t="n"/>
      <c r="G86" s="8" t="n"/>
      <c r="H86" s="11">
        <f>IF(D86="","",IF(G86="",Setup!$B$5,G86)-E86)</f>
        <v/>
      </c>
      <c r="I86" s="6">
        <f>IF(D86="","",AND(LOWER(B86)="y",H86&gt;Setup!$B$4))</f>
        <v/>
      </c>
      <c r="J86" s="12">
        <f>IF(D86="","",IF(AND(I86=TRUE,G86=""),F86,0))</f>
        <v/>
      </c>
      <c r="K86" s="12">
        <f>IF(OR(D86="",G86=""),0,F86)</f>
        <v/>
      </c>
      <c r="L86" s="12">
        <f>IF(OR(D86="",G86=""),0,H86*F86)</f>
        <v/>
      </c>
    </row>
    <row r="87">
      <c r="A87" s="9" t="n"/>
      <c r="B87" s="9" t="n"/>
      <c r="C87" s="9" t="n"/>
      <c r="D87" s="9" t="n"/>
      <c r="E87" s="8" t="n"/>
      <c r="F87" s="10" t="n"/>
      <c r="G87" s="8" t="n"/>
      <c r="H87" s="11">
        <f>IF(D87="","",IF(G87="",Setup!$B$5,G87)-E87)</f>
        <v/>
      </c>
      <c r="I87" s="6">
        <f>IF(D87="","",AND(LOWER(B87)="y",H87&gt;Setup!$B$4))</f>
        <v/>
      </c>
      <c r="J87" s="12">
        <f>IF(D87="","",IF(AND(I87=TRUE,G87=""),F87,0))</f>
        <v/>
      </c>
      <c r="K87" s="12">
        <f>IF(OR(D87="",G87=""),0,F87)</f>
        <v/>
      </c>
      <c r="L87" s="12">
        <f>IF(OR(D87="",G87=""),0,H87*F87)</f>
        <v/>
      </c>
    </row>
    <row r="88">
      <c r="A88" s="9" t="n"/>
      <c r="B88" s="9" t="n"/>
      <c r="C88" s="9" t="n"/>
      <c r="D88" s="9" t="n"/>
      <c r="E88" s="8" t="n"/>
      <c r="F88" s="10" t="n"/>
      <c r="G88" s="8" t="n"/>
      <c r="H88" s="11">
        <f>IF(D88="","",IF(G88="",Setup!$B$5,G88)-E88)</f>
        <v/>
      </c>
      <c r="I88" s="6">
        <f>IF(D88="","",AND(LOWER(B88)="y",H88&gt;Setup!$B$4))</f>
        <v/>
      </c>
      <c r="J88" s="12">
        <f>IF(D88="","",IF(AND(I88=TRUE,G88=""),F88,0))</f>
        <v/>
      </c>
      <c r="K88" s="12">
        <f>IF(OR(D88="",G88=""),0,F88)</f>
        <v/>
      </c>
      <c r="L88" s="12">
        <f>IF(OR(D88="",G88=""),0,H88*F88)</f>
        <v/>
      </c>
    </row>
    <row r="89">
      <c r="A89" s="9" t="n"/>
      <c r="B89" s="9" t="n"/>
      <c r="C89" s="9" t="n"/>
      <c r="D89" s="9" t="n"/>
      <c r="E89" s="8" t="n"/>
      <c r="F89" s="10" t="n"/>
      <c r="G89" s="8" t="n"/>
      <c r="H89" s="11">
        <f>IF(D89="","",IF(G89="",Setup!$B$5,G89)-E89)</f>
        <v/>
      </c>
      <c r="I89" s="6">
        <f>IF(D89="","",AND(LOWER(B89)="y",H89&gt;Setup!$B$4))</f>
        <v/>
      </c>
      <c r="J89" s="12">
        <f>IF(D89="","",IF(AND(I89=TRUE,G89=""),F89,0))</f>
        <v/>
      </c>
      <c r="K89" s="12">
        <f>IF(OR(D89="",G89=""),0,F89)</f>
        <v/>
      </c>
      <c r="L89" s="12">
        <f>IF(OR(D89="",G89=""),0,H89*F89)</f>
        <v/>
      </c>
    </row>
    <row r="90">
      <c r="A90" s="9" t="n"/>
      <c r="B90" s="9" t="n"/>
      <c r="C90" s="9" t="n"/>
      <c r="D90" s="9" t="n"/>
      <c r="E90" s="8" t="n"/>
      <c r="F90" s="10" t="n"/>
      <c r="G90" s="8" t="n"/>
      <c r="H90" s="11">
        <f>IF(D90="","",IF(G90="",Setup!$B$5,G90)-E90)</f>
        <v/>
      </c>
      <c r="I90" s="6">
        <f>IF(D90="","",AND(LOWER(B90)="y",H90&gt;Setup!$B$4))</f>
        <v/>
      </c>
      <c r="J90" s="12">
        <f>IF(D90="","",IF(AND(I90=TRUE,G90=""),F90,0))</f>
        <v/>
      </c>
      <c r="K90" s="12">
        <f>IF(OR(D90="",G90=""),0,F90)</f>
        <v/>
      </c>
      <c r="L90" s="12">
        <f>IF(OR(D90="",G90=""),0,H90*F90)</f>
        <v/>
      </c>
    </row>
    <row r="91">
      <c r="A91" s="9" t="n"/>
      <c r="B91" s="9" t="n"/>
      <c r="C91" s="9" t="n"/>
      <c r="D91" s="9" t="n"/>
      <c r="E91" s="8" t="n"/>
      <c r="F91" s="10" t="n"/>
      <c r="G91" s="8" t="n"/>
      <c r="H91" s="11">
        <f>IF(D91="","",IF(G91="",Setup!$B$5,G91)-E91)</f>
        <v/>
      </c>
      <c r="I91" s="6">
        <f>IF(D91="","",AND(LOWER(B91)="y",H91&gt;Setup!$B$4))</f>
        <v/>
      </c>
      <c r="J91" s="12">
        <f>IF(D91="","",IF(AND(I91=TRUE,G91=""),F91,0))</f>
        <v/>
      </c>
      <c r="K91" s="12">
        <f>IF(OR(D91="",G91=""),0,F91)</f>
        <v/>
      </c>
      <c r="L91" s="12">
        <f>IF(OR(D91="",G91=""),0,H91*F91)</f>
        <v/>
      </c>
    </row>
    <row r="92">
      <c r="A92" s="9" t="n"/>
      <c r="B92" s="9" t="n"/>
      <c r="C92" s="9" t="n"/>
      <c r="D92" s="9" t="n"/>
      <c r="E92" s="8" t="n"/>
      <c r="F92" s="10" t="n"/>
      <c r="G92" s="8" t="n"/>
      <c r="H92" s="11">
        <f>IF(D92="","",IF(G92="",Setup!$B$5,G92)-E92)</f>
        <v/>
      </c>
      <c r="I92" s="6">
        <f>IF(D92="","",AND(LOWER(B92)="y",H92&gt;Setup!$B$4))</f>
        <v/>
      </c>
      <c r="J92" s="12">
        <f>IF(D92="","",IF(AND(I92=TRUE,G92=""),F92,0))</f>
        <v/>
      </c>
      <c r="K92" s="12">
        <f>IF(OR(D92="",G92=""),0,F92)</f>
        <v/>
      </c>
      <c r="L92" s="12">
        <f>IF(OR(D92="",G92=""),0,H92*F92)</f>
        <v/>
      </c>
    </row>
    <row r="93">
      <c r="A93" s="9" t="n"/>
      <c r="B93" s="9" t="n"/>
      <c r="C93" s="9" t="n"/>
      <c r="D93" s="9" t="n"/>
      <c r="E93" s="8" t="n"/>
      <c r="F93" s="10" t="n"/>
      <c r="G93" s="8" t="n"/>
      <c r="H93" s="11">
        <f>IF(D93="","",IF(G93="",Setup!$B$5,G93)-E93)</f>
        <v/>
      </c>
      <c r="I93" s="6">
        <f>IF(D93="","",AND(LOWER(B93)="y",H93&gt;Setup!$B$4))</f>
        <v/>
      </c>
      <c r="J93" s="12">
        <f>IF(D93="","",IF(AND(I93=TRUE,G93=""),F93,0))</f>
        <v/>
      </c>
      <c r="K93" s="12">
        <f>IF(OR(D93="",G93=""),0,F93)</f>
        <v/>
      </c>
      <c r="L93" s="12">
        <f>IF(OR(D93="",G93=""),0,H93*F93)</f>
        <v/>
      </c>
    </row>
    <row r="94">
      <c r="A94" s="9" t="n"/>
      <c r="B94" s="9" t="n"/>
      <c r="C94" s="9" t="n"/>
      <c r="D94" s="9" t="n"/>
      <c r="E94" s="8" t="n"/>
      <c r="F94" s="10" t="n"/>
      <c r="G94" s="8" t="n"/>
      <c r="H94" s="11">
        <f>IF(D94="","",IF(G94="",Setup!$B$5,G94)-E94)</f>
        <v/>
      </c>
      <c r="I94" s="6">
        <f>IF(D94="","",AND(LOWER(B94)="y",H94&gt;Setup!$B$4))</f>
        <v/>
      </c>
      <c r="J94" s="12">
        <f>IF(D94="","",IF(AND(I94=TRUE,G94=""),F94,0))</f>
        <v/>
      </c>
      <c r="K94" s="12">
        <f>IF(OR(D94="",G94=""),0,F94)</f>
        <v/>
      </c>
      <c r="L94" s="12">
        <f>IF(OR(D94="",G94=""),0,H94*F94)</f>
        <v/>
      </c>
    </row>
    <row r="95">
      <c r="A95" s="9" t="n"/>
      <c r="B95" s="9" t="n"/>
      <c r="C95" s="9" t="n"/>
      <c r="D95" s="9" t="n"/>
      <c r="E95" s="8" t="n"/>
      <c r="F95" s="10" t="n"/>
      <c r="G95" s="8" t="n"/>
      <c r="H95" s="11">
        <f>IF(D95="","",IF(G95="",Setup!$B$5,G95)-E95)</f>
        <v/>
      </c>
      <c r="I95" s="6">
        <f>IF(D95="","",AND(LOWER(B95)="y",H95&gt;Setup!$B$4))</f>
        <v/>
      </c>
      <c r="J95" s="12">
        <f>IF(D95="","",IF(AND(I95=TRUE,G95=""),F95,0))</f>
        <v/>
      </c>
      <c r="K95" s="12">
        <f>IF(OR(D95="",G95=""),0,F95)</f>
        <v/>
      </c>
      <c r="L95" s="12">
        <f>IF(OR(D95="",G95=""),0,H95*F95)</f>
        <v/>
      </c>
    </row>
    <row r="96">
      <c r="A96" s="9" t="n"/>
      <c r="B96" s="9" t="n"/>
      <c r="C96" s="9" t="n"/>
      <c r="D96" s="9" t="n"/>
      <c r="E96" s="8" t="n"/>
      <c r="F96" s="10" t="n"/>
      <c r="G96" s="8" t="n"/>
      <c r="H96" s="11">
        <f>IF(D96="","",IF(G96="",Setup!$B$5,G96)-E96)</f>
        <v/>
      </c>
      <c r="I96" s="6">
        <f>IF(D96="","",AND(LOWER(B96)="y",H96&gt;Setup!$B$4))</f>
        <v/>
      </c>
      <c r="J96" s="12">
        <f>IF(D96="","",IF(AND(I96=TRUE,G96=""),F96,0))</f>
        <v/>
      </c>
      <c r="K96" s="12">
        <f>IF(OR(D96="",G96=""),0,F96)</f>
        <v/>
      </c>
      <c r="L96" s="12">
        <f>IF(OR(D96="",G96=""),0,H96*F96)</f>
        <v/>
      </c>
    </row>
    <row r="97">
      <c r="A97" s="9" t="n"/>
      <c r="B97" s="9" t="n"/>
      <c r="C97" s="9" t="n"/>
      <c r="D97" s="9" t="n"/>
      <c r="E97" s="8" t="n"/>
      <c r="F97" s="10" t="n"/>
      <c r="G97" s="8" t="n"/>
      <c r="H97" s="11">
        <f>IF(D97="","",IF(G97="",Setup!$B$5,G97)-E97)</f>
        <v/>
      </c>
      <c r="I97" s="6">
        <f>IF(D97="","",AND(LOWER(B97)="y",H97&gt;Setup!$B$4))</f>
        <v/>
      </c>
      <c r="J97" s="12">
        <f>IF(D97="","",IF(AND(I97=TRUE,G97=""),F97,0))</f>
        <v/>
      </c>
      <c r="K97" s="12">
        <f>IF(OR(D97="",G97=""),0,F97)</f>
        <v/>
      </c>
      <c r="L97" s="12">
        <f>IF(OR(D97="",G97=""),0,H97*F97)</f>
        <v/>
      </c>
    </row>
    <row r="98">
      <c r="A98" s="9" t="n"/>
      <c r="B98" s="9" t="n"/>
      <c r="C98" s="9" t="n"/>
      <c r="D98" s="9" t="n"/>
      <c r="E98" s="8" t="n"/>
      <c r="F98" s="10" t="n"/>
      <c r="G98" s="8" t="n"/>
      <c r="H98" s="11">
        <f>IF(D98="","",IF(G98="",Setup!$B$5,G98)-E98)</f>
        <v/>
      </c>
      <c r="I98" s="6">
        <f>IF(D98="","",AND(LOWER(B98)="y",H98&gt;Setup!$B$4))</f>
        <v/>
      </c>
      <c r="J98" s="12">
        <f>IF(D98="","",IF(AND(I98=TRUE,G98=""),F98,0))</f>
        <v/>
      </c>
      <c r="K98" s="12">
        <f>IF(OR(D98="",G98=""),0,F98)</f>
        <v/>
      </c>
      <c r="L98" s="12">
        <f>IF(OR(D98="",G98=""),0,H98*F98)</f>
        <v/>
      </c>
    </row>
    <row r="99">
      <c r="A99" s="9" t="n"/>
      <c r="B99" s="9" t="n"/>
      <c r="C99" s="9" t="n"/>
      <c r="D99" s="9" t="n"/>
      <c r="E99" s="8" t="n"/>
      <c r="F99" s="10" t="n"/>
      <c r="G99" s="8" t="n"/>
      <c r="H99" s="11">
        <f>IF(D99="","",IF(G99="",Setup!$B$5,G99)-E99)</f>
        <v/>
      </c>
      <c r="I99" s="6">
        <f>IF(D99="","",AND(LOWER(B99)="y",H99&gt;Setup!$B$4))</f>
        <v/>
      </c>
      <c r="J99" s="12">
        <f>IF(D99="","",IF(AND(I99=TRUE,G99=""),F99,0))</f>
        <v/>
      </c>
      <c r="K99" s="12">
        <f>IF(OR(D99="",G99=""),0,F99)</f>
        <v/>
      </c>
      <c r="L99" s="12">
        <f>IF(OR(D99="",G99=""),0,H99*F99)</f>
        <v/>
      </c>
    </row>
    <row r="100">
      <c r="A100" s="9" t="n"/>
      <c r="B100" s="9" t="n"/>
      <c r="C100" s="9" t="n"/>
      <c r="D100" s="9" t="n"/>
      <c r="E100" s="8" t="n"/>
      <c r="F100" s="10" t="n"/>
      <c r="G100" s="8" t="n"/>
      <c r="H100" s="11">
        <f>IF(D100="","",IF(G100="",Setup!$B$5,G100)-E100)</f>
        <v/>
      </c>
      <c r="I100" s="6">
        <f>IF(D100="","",AND(LOWER(B100)="y",H100&gt;Setup!$B$4))</f>
        <v/>
      </c>
      <c r="J100" s="12">
        <f>IF(D100="","",IF(AND(I100=TRUE,G100=""),F100,0))</f>
        <v/>
      </c>
      <c r="K100" s="12">
        <f>IF(OR(D100="",G100=""),0,F100)</f>
        <v/>
      </c>
      <c r="L100" s="12">
        <f>IF(OR(D100="",G100=""),0,H100*F100)</f>
        <v/>
      </c>
    </row>
    <row r="101">
      <c r="A101" s="9" t="n"/>
      <c r="B101" s="9" t="n"/>
      <c r="C101" s="9" t="n"/>
      <c r="D101" s="9" t="n"/>
      <c r="E101" s="8" t="n"/>
      <c r="F101" s="10" t="n"/>
      <c r="G101" s="8" t="n"/>
      <c r="H101" s="11">
        <f>IF(D101="","",IF(G101="",Setup!$B$5,G101)-E101)</f>
        <v/>
      </c>
      <c r="I101" s="6">
        <f>IF(D101="","",AND(LOWER(B101)="y",H101&gt;Setup!$B$4))</f>
        <v/>
      </c>
      <c r="J101" s="12">
        <f>IF(D101="","",IF(AND(I101=TRUE,G101=""),F101,0))</f>
        <v/>
      </c>
      <c r="K101" s="12">
        <f>IF(OR(D101="",G101=""),0,F101)</f>
        <v/>
      </c>
      <c r="L101" s="12">
        <f>IF(OR(D101="",G101=""),0,H101*F101)</f>
        <v/>
      </c>
    </row>
    <row r="102">
      <c r="A102" s="9" t="n"/>
      <c r="B102" s="9" t="n"/>
      <c r="C102" s="9" t="n"/>
      <c r="D102" s="9" t="n"/>
      <c r="E102" s="8" t="n"/>
      <c r="F102" s="10" t="n"/>
      <c r="G102" s="8" t="n"/>
      <c r="H102" s="11">
        <f>IF(D102="","",IF(G102="",Setup!$B$5,G102)-E102)</f>
        <v/>
      </c>
      <c r="I102" s="6">
        <f>IF(D102="","",AND(LOWER(B102)="y",H102&gt;Setup!$B$4))</f>
        <v/>
      </c>
      <c r="J102" s="12">
        <f>IF(D102="","",IF(AND(I102=TRUE,G102=""),F102,0))</f>
        <v/>
      </c>
      <c r="K102" s="12">
        <f>IF(OR(D102="",G102=""),0,F102)</f>
        <v/>
      </c>
      <c r="L102" s="12">
        <f>IF(OR(D102="",G102=""),0,H102*F102)</f>
        <v/>
      </c>
    </row>
    <row r="103">
      <c r="A103" s="9" t="n"/>
      <c r="B103" s="9" t="n"/>
      <c r="C103" s="9" t="n"/>
      <c r="D103" s="9" t="n"/>
      <c r="E103" s="8" t="n"/>
      <c r="F103" s="10" t="n"/>
      <c r="G103" s="8" t="n"/>
      <c r="H103" s="11">
        <f>IF(D103="","",IF(G103="",Setup!$B$5,G103)-E103)</f>
        <v/>
      </c>
      <c r="I103" s="6">
        <f>IF(D103="","",AND(LOWER(B103)="y",H103&gt;Setup!$B$4))</f>
        <v/>
      </c>
      <c r="J103" s="12">
        <f>IF(D103="","",IF(AND(I103=TRUE,G103=""),F103,0))</f>
        <v/>
      </c>
      <c r="K103" s="12">
        <f>IF(OR(D103="",G103=""),0,F103)</f>
        <v/>
      </c>
      <c r="L103" s="12">
        <f>IF(OR(D103="",G103=""),0,H103*F103)</f>
        <v/>
      </c>
    </row>
    <row r="104">
      <c r="A104" s="9" t="n"/>
      <c r="B104" s="9" t="n"/>
      <c r="C104" s="9" t="n"/>
      <c r="D104" s="9" t="n"/>
      <c r="E104" s="8" t="n"/>
      <c r="F104" s="10" t="n"/>
      <c r="G104" s="8" t="n"/>
      <c r="H104" s="11">
        <f>IF(D104="","",IF(G104="",Setup!$B$5,G104)-E104)</f>
        <v/>
      </c>
      <c r="I104" s="6">
        <f>IF(D104="","",AND(LOWER(B104)="y",H104&gt;Setup!$B$4))</f>
        <v/>
      </c>
      <c r="J104" s="12">
        <f>IF(D104="","",IF(AND(I104=TRUE,G104=""),F104,0))</f>
        <v/>
      </c>
      <c r="K104" s="12">
        <f>IF(OR(D104="",G104=""),0,F104)</f>
        <v/>
      </c>
      <c r="L104" s="12">
        <f>IF(OR(D104="",G104=""),0,H104*F104)</f>
        <v/>
      </c>
    </row>
    <row r="105">
      <c r="A105" s="9" t="n"/>
      <c r="B105" s="9" t="n"/>
      <c r="C105" s="9" t="n"/>
      <c r="D105" s="9" t="n"/>
      <c r="E105" s="8" t="n"/>
      <c r="F105" s="10" t="n"/>
      <c r="G105" s="8" t="n"/>
      <c r="H105" s="11">
        <f>IF(D105="","",IF(G105="",Setup!$B$5,G105)-E105)</f>
        <v/>
      </c>
      <c r="I105" s="6">
        <f>IF(D105="","",AND(LOWER(B105)="y",H105&gt;Setup!$B$4))</f>
        <v/>
      </c>
      <c r="J105" s="12">
        <f>IF(D105="","",IF(AND(I105=TRUE,G105=""),F105,0))</f>
        <v/>
      </c>
      <c r="K105" s="12">
        <f>IF(OR(D105="",G105=""),0,F105)</f>
        <v/>
      </c>
      <c r="L105" s="12">
        <f>IF(OR(D105="",G105=""),0,H105*F105)</f>
        <v/>
      </c>
    </row>
    <row r="106">
      <c r="A106" s="9" t="n"/>
      <c r="B106" s="9" t="n"/>
      <c r="C106" s="9" t="n"/>
      <c r="D106" s="9" t="n"/>
      <c r="E106" s="8" t="n"/>
      <c r="F106" s="10" t="n"/>
      <c r="G106" s="8" t="n"/>
      <c r="H106" s="11">
        <f>IF(D106="","",IF(G106="",Setup!$B$5,G106)-E106)</f>
        <v/>
      </c>
      <c r="I106" s="6">
        <f>IF(D106="","",AND(LOWER(B106)="y",H106&gt;Setup!$B$4))</f>
        <v/>
      </c>
      <c r="J106" s="12">
        <f>IF(D106="","",IF(AND(I106=TRUE,G106=""),F106,0))</f>
        <v/>
      </c>
      <c r="K106" s="12">
        <f>IF(OR(D106="",G106=""),0,F106)</f>
        <v/>
      </c>
      <c r="L106" s="12">
        <f>IF(OR(D106="",G106=""),0,H106*F106)</f>
        <v/>
      </c>
    </row>
    <row r="107">
      <c r="A107" s="9" t="n"/>
      <c r="B107" s="9" t="n"/>
      <c r="C107" s="9" t="n"/>
      <c r="D107" s="9" t="n"/>
      <c r="E107" s="8" t="n"/>
      <c r="F107" s="10" t="n"/>
      <c r="G107" s="8" t="n"/>
      <c r="H107" s="11">
        <f>IF(D107="","",IF(G107="",Setup!$B$5,G107)-E107)</f>
        <v/>
      </c>
      <c r="I107" s="6">
        <f>IF(D107="","",AND(LOWER(B107)="y",H107&gt;Setup!$B$4))</f>
        <v/>
      </c>
      <c r="J107" s="12">
        <f>IF(D107="","",IF(AND(I107=TRUE,G107=""),F107,0))</f>
        <v/>
      </c>
      <c r="K107" s="12">
        <f>IF(OR(D107="",G107=""),0,F107)</f>
        <v/>
      </c>
      <c r="L107" s="12">
        <f>IF(OR(D107="",G107=""),0,H107*F107)</f>
        <v/>
      </c>
    </row>
    <row r="108">
      <c r="A108" s="9" t="n"/>
      <c r="B108" s="9" t="n"/>
      <c r="C108" s="9" t="n"/>
      <c r="D108" s="9" t="n"/>
      <c r="E108" s="8" t="n"/>
      <c r="F108" s="10" t="n"/>
      <c r="G108" s="8" t="n"/>
      <c r="H108" s="11">
        <f>IF(D108="","",IF(G108="",Setup!$B$5,G108)-E108)</f>
        <v/>
      </c>
      <c r="I108" s="6">
        <f>IF(D108="","",AND(LOWER(B108)="y",H108&gt;Setup!$B$4))</f>
        <v/>
      </c>
      <c r="J108" s="12">
        <f>IF(D108="","",IF(AND(I108=TRUE,G108=""),F108,0))</f>
        <v/>
      </c>
      <c r="K108" s="12">
        <f>IF(OR(D108="",G108=""),0,F108)</f>
        <v/>
      </c>
      <c r="L108" s="12">
        <f>IF(OR(D108="",G108=""),0,H108*F108)</f>
        <v/>
      </c>
    </row>
    <row r="109">
      <c r="A109" s="9" t="n"/>
      <c r="B109" s="9" t="n"/>
      <c r="C109" s="9" t="n"/>
      <c r="D109" s="9" t="n"/>
      <c r="E109" s="8" t="n"/>
      <c r="F109" s="10" t="n"/>
      <c r="G109" s="8" t="n"/>
      <c r="H109" s="11">
        <f>IF(D109="","",IF(G109="",Setup!$B$5,G109)-E109)</f>
        <v/>
      </c>
      <c r="I109" s="6">
        <f>IF(D109="","",AND(LOWER(B109)="y",H109&gt;Setup!$B$4))</f>
        <v/>
      </c>
      <c r="J109" s="12">
        <f>IF(D109="","",IF(AND(I109=TRUE,G109=""),F109,0))</f>
        <v/>
      </c>
      <c r="K109" s="12">
        <f>IF(OR(D109="",G109=""),0,F109)</f>
        <v/>
      </c>
      <c r="L109" s="12">
        <f>IF(OR(D109="",G109=""),0,H109*F109)</f>
        <v/>
      </c>
    </row>
    <row r="110">
      <c r="A110" s="9" t="n"/>
      <c r="B110" s="9" t="n"/>
      <c r="C110" s="9" t="n"/>
      <c r="D110" s="9" t="n"/>
      <c r="E110" s="8" t="n"/>
      <c r="F110" s="10" t="n"/>
      <c r="G110" s="8" t="n"/>
      <c r="H110" s="11">
        <f>IF(D110="","",IF(G110="",Setup!$B$5,G110)-E110)</f>
        <v/>
      </c>
      <c r="I110" s="6">
        <f>IF(D110="","",AND(LOWER(B110)="y",H110&gt;Setup!$B$4))</f>
        <v/>
      </c>
      <c r="J110" s="12">
        <f>IF(D110="","",IF(AND(I110=TRUE,G110=""),F110,0))</f>
        <v/>
      </c>
      <c r="K110" s="12">
        <f>IF(OR(D110="",G110=""),0,F110)</f>
        <v/>
      </c>
      <c r="L110" s="12">
        <f>IF(OR(D110="",G110=""),0,H110*F110)</f>
        <v/>
      </c>
    </row>
    <row r="111">
      <c r="A111" s="9" t="n"/>
      <c r="B111" s="9" t="n"/>
      <c r="C111" s="9" t="n"/>
      <c r="D111" s="9" t="n"/>
      <c r="E111" s="8" t="n"/>
      <c r="F111" s="10" t="n"/>
      <c r="G111" s="8" t="n"/>
      <c r="H111" s="11">
        <f>IF(D111="","",IF(G111="",Setup!$B$5,G111)-E111)</f>
        <v/>
      </c>
      <c r="I111" s="6">
        <f>IF(D111="","",AND(LOWER(B111)="y",H111&gt;Setup!$B$4))</f>
        <v/>
      </c>
      <c r="J111" s="12">
        <f>IF(D111="","",IF(AND(I111=TRUE,G111=""),F111,0))</f>
        <v/>
      </c>
      <c r="K111" s="12">
        <f>IF(OR(D111="",G111=""),0,F111)</f>
        <v/>
      </c>
      <c r="L111" s="12">
        <f>IF(OR(D111="",G111=""),0,H111*F111)</f>
        <v/>
      </c>
    </row>
    <row r="112">
      <c r="A112" s="9" t="n"/>
      <c r="B112" s="9" t="n"/>
      <c r="C112" s="9" t="n"/>
      <c r="D112" s="9" t="n"/>
      <c r="E112" s="8" t="n"/>
      <c r="F112" s="10" t="n"/>
      <c r="G112" s="8" t="n"/>
      <c r="H112" s="11">
        <f>IF(D112="","",IF(G112="",Setup!$B$5,G112)-E112)</f>
        <v/>
      </c>
      <c r="I112" s="6">
        <f>IF(D112="","",AND(LOWER(B112)="y",H112&gt;Setup!$B$4))</f>
        <v/>
      </c>
      <c r="J112" s="12">
        <f>IF(D112="","",IF(AND(I112=TRUE,G112=""),F112,0))</f>
        <v/>
      </c>
      <c r="K112" s="12">
        <f>IF(OR(D112="",G112=""),0,F112)</f>
        <v/>
      </c>
      <c r="L112" s="12">
        <f>IF(OR(D112="",G112=""),0,H112*F112)</f>
        <v/>
      </c>
    </row>
    <row r="113">
      <c r="A113" s="9" t="n"/>
      <c r="B113" s="9" t="n"/>
      <c r="C113" s="9" t="n"/>
      <c r="D113" s="9" t="n"/>
      <c r="E113" s="8" t="n"/>
      <c r="F113" s="10" t="n"/>
      <c r="G113" s="8" t="n"/>
      <c r="H113" s="11">
        <f>IF(D113="","",IF(G113="",Setup!$B$5,G113)-E113)</f>
        <v/>
      </c>
      <c r="I113" s="6">
        <f>IF(D113="","",AND(LOWER(B113)="y",H113&gt;Setup!$B$4))</f>
        <v/>
      </c>
      <c r="J113" s="12">
        <f>IF(D113="","",IF(AND(I113=TRUE,G113=""),F113,0))</f>
        <v/>
      </c>
      <c r="K113" s="12">
        <f>IF(OR(D113="",G113=""),0,F113)</f>
        <v/>
      </c>
      <c r="L113" s="12">
        <f>IF(OR(D113="",G113=""),0,H113*F113)</f>
        <v/>
      </c>
    </row>
    <row r="114">
      <c r="A114" s="9" t="n"/>
      <c r="B114" s="9" t="n"/>
      <c r="C114" s="9" t="n"/>
      <c r="D114" s="9" t="n"/>
      <c r="E114" s="8" t="n"/>
      <c r="F114" s="10" t="n"/>
      <c r="G114" s="8" t="n"/>
      <c r="H114" s="11">
        <f>IF(D114="","",IF(G114="",Setup!$B$5,G114)-E114)</f>
        <v/>
      </c>
      <c r="I114" s="6">
        <f>IF(D114="","",AND(LOWER(B114)="y",H114&gt;Setup!$B$4))</f>
        <v/>
      </c>
      <c r="J114" s="12">
        <f>IF(D114="","",IF(AND(I114=TRUE,G114=""),F114,0))</f>
        <v/>
      </c>
      <c r="K114" s="12">
        <f>IF(OR(D114="",G114=""),0,F114)</f>
        <v/>
      </c>
      <c r="L114" s="12">
        <f>IF(OR(D114="",G114=""),0,H114*F114)</f>
        <v/>
      </c>
    </row>
    <row r="115">
      <c r="A115" s="9" t="n"/>
      <c r="B115" s="9" t="n"/>
      <c r="C115" s="9" t="n"/>
      <c r="D115" s="9" t="n"/>
      <c r="E115" s="8" t="n"/>
      <c r="F115" s="10" t="n"/>
      <c r="G115" s="8" t="n"/>
      <c r="H115" s="11">
        <f>IF(D115="","",IF(G115="",Setup!$B$5,G115)-E115)</f>
        <v/>
      </c>
      <c r="I115" s="6">
        <f>IF(D115="","",AND(LOWER(B115)="y",H115&gt;Setup!$B$4))</f>
        <v/>
      </c>
      <c r="J115" s="12">
        <f>IF(D115="","",IF(AND(I115=TRUE,G115=""),F115,0))</f>
        <v/>
      </c>
      <c r="K115" s="12">
        <f>IF(OR(D115="",G115=""),0,F115)</f>
        <v/>
      </c>
      <c r="L115" s="12">
        <f>IF(OR(D115="",G115=""),0,H115*F115)</f>
        <v/>
      </c>
    </row>
    <row r="116">
      <c r="A116" s="9" t="n"/>
      <c r="B116" s="9" t="n"/>
      <c r="C116" s="9" t="n"/>
      <c r="D116" s="9" t="n"/>
      <c r="E116" s="8" t="n"/>
      <c r="F116" s="10" t="n"/>
      <c r="G116" s="8" t="n"/>
      <c r="H116" s="11">
        <f>IF(D116="","",IF(G116="",Setup!$B$5,G116)-E116)</f>
        <v/>
      </c>
      <c r="I116" s="6">
        <f>IF(D116="","",AND(LOWER(B116)="y",H116&gt;Setup!$B$4))</f>
        <v/>
      </c>
      <c r="J116" s="12">
        <f>IF(D116="","",IF(AND(I116=TRUE,G116=""),F116,0))</f>
        <v/>
      </c>
      <c r="K116" s="12">
        <f>IF(OR(D116="",G116=""),0,F116)</f>
        <v/>
      </c>
      <c r="L116" s="12">
        <f>IF(OR(D116="",G116=""),0,H116*F116)</f>
        <v/>
      </c>
    </row>
    <row r="117">
      <c r="A117" s="9" t="n"/>
      <c r="B117" s="9" t="n"/>
      <c r="C117" s="9" t="n"/>
      <c r="D117" s="9" t="n"/>
      <c r="E117" s="8" t="n"/>
      <c r="F117" s="10" t="n"/>
      <c r="G117" s="8" t="n"/>
      <c r="H117" s="11">
        <f>IF(D117="","",IF(G117="",Setup!$B$5,G117)-E117)</f>
        <v/>
      </c>
      <c r="I117" s="6">
        <f>IF(D117="","",AND(LOWER(B117)="y",H117&gt;Setup!$B$4))</f>
        <v/>
      </c>
      <c r="J117" s="12">
        <f>IF(D117="","",IF(AND(I117=TRUE,G117=""),F117,0))</f>
        <v/>
      </c>
      <c r="K117" s="12">
        <f>IF(OR(D117="",G117=""),0,F117)</f>
        <v/>
      </c>
      <c r="L117" s="12">
        <f>IF(OR(D117="",G117=""),0,H117*F117)</f>
        <v/>
      </c>
    </row>
    <row r="118">
      <c r="A118" s="9" t="n"/>
      <c r="B118" s="9" t="n"/>
      <c r="C118" s="9" t="n"/>
      <c r="D118" s="9" t="n"/>
      <c r="E118" s="8" t="n"/>
      <c r="F118" s="10" t="n"/>
      <c r="G118" s="8" t="n"/>
      <c r="H118" s="11">
        <f>IF(D118="","",IF(G118="",Setup!$B$5,G118)-E118)</f>
        <v/>
      </c>
      <c r="I118" s="6">
        <f>IF(D118="","",AND(LOWER(B118)="y",H118&gt;Setup!$B$4))</f>
        <v/>
      </c>
      <c r="J118" s="12">
        <f>IF(D118="","",IF(AND(I118=TRUE,G118=""),F118,0))</f>
        <v/>
      </c>
      <c r="K118" s="12">
        <f>IF(OR(D118="",G118=""),0,F118)</f>
        <v/>
      </c>
      <c r="L118" s="12">
        <f>IF(OR(D118="",G118=""),0,H118*F118)</f>
        <v/>
      </c>
    </row>
    <row r="119">
      <c r="A119" s="9" t="n"/>
      <c r="B119" s="9" t="n"/>
      <c r="C119" s="9" t="n"/>
      <c r="D119" s="9" t="n"/>
      <c r="E119" s="8" t="n"/>
      <c r="F119" s="10" t="n"/>
      <c r="G119" s="8" t="n"/>
      <c r="H119" s="11">
        <f>IF(D119="","",IF(G119="",Setup!$B$5,G119)-E119)</f>
        <v/>
      </c>
      <c r="I119" s="6">
        <f>IF(D119="","",AND(LOWER(B119)="y",H119&gt;Setup!$B$4))</f>
        <v/>
      </c>
      <c r="J119" s="12">
        <f>IF(D119="","",IF(AND(I119=TRUE,G119=""),F119,0))</f>
        <v/>
      </c>
      <c r="K119" s="12">
        <f>IF(OR(D119="",G119=""),0,F119)</f>
        <v/>
      </c>
      <c r="L119" s="12">
        <f>IF(OR(D119="",G119=""),0,H119*F119)</f>
        <v/>
      </c>
    </row>
    <row r="120">
      <c r="A120" s="9" t="n"/>
      <c r="B120" s="9" t="n"/>
      <c r="C120" s="9" t="n"/>
      <c r="D120" s="9" t="n"/>
      <c r="E120" s="8" t="n"/>
      <c r="F120" s="10" t="n"/>
      <c r="G120" s="8" t="n"/>
      <c r="H120" s="11">
        <f>IF(D120="","",IF(G120="",Setup!$B$5,G120)-E120)</f>
        <v/>
      </c>
      <c r="I120" s="6">
        <f>IF(D120="","",AND(LOWER(B120)="y",H120&gt;Setup!$B$4))</f>
        <v/>
      </c>
      <c r="J120" s="12">
        <f>IF(D120="","",IF(AND(I120=TRUE,G120=""),F120,0))</f>
        <v/>
      </c>
      <c r="K120" s="12">
        <f>IF(OR(D120="",G120=""),0,F120)</f>
        <v/>
      </c>
      <c r="L120" s="12">
        <f>IF(OR(D120="",G120=""),0,H120*F120)</f>
        <v/>
      </c>
    </row>
    <row r="121">
      <c r="A121" s="9" t="n"/>
      <c r="B121" s="9" t="n"/>
      <c r="C121" s="9" t="n"/>
      <c r="D121" s="9" t="n"/>
      <c r="E121" s="8" t="n"/>
      <c r="F121" s="10" t="n"/>
      <c r="G121" s="8" t="n"/>
      <c r="H121" s="11">
        <f>IF(D121="","",IF(G121="",Setup!$B$5,G121)-E121)</f>
        <v/>
      </c>
      <c r="I121" s="6">
        <f>IF(D121="","",AND(LOWER(B121)="y",H121&gt;Setup!$B$4))</f>
        <v/>
      </c>
      <c r="J121" s="12">
        <f>IF(D121="","",IF(AND(I121=TRUE,G121=""),F121,0))</f>
        <v/>
      </c>
      <c r="K121" s="12">
        <f>IF(OR(D121="",G121=""),0,F121)</f>
        <v/>
      </c>
      <c r="L121" s="12">
        <f>IF(OR(D121="",G121=""),0,H121*F121)</f>
        <v/>
      </c>
    </row>
    <row r="122">
      <c r="A122" s="9" t="n"/>
      <c r="B122" s="9" t="n"/>
      <c r="C122" s="9" t="n"/>
      <c r="D122" s="9" t="n"/>
      <c r="E122" s="8" t="n"/>
      <c r="F122" s="10" t="n"/>
      <c r="G122" s="8" t="n"/>
      <c r="H122" s="11">
        <f>IF(D122="","",IF(G122="",Setup!$B$5,G122)-E122)</f>
        <v/>
      </c>
      <c r="I122" s="6">
        <f>IF(D122="","",AND(LOWER(B122)="y",H122&gt;Setup!$B$4))</f>
        <v/>
      </c>
      <c r="J122" s="12">
        <f>IF(D122="","",IF(AND(I122=TRUE,G122=""),F122,0))</f>
        <v/>
      </c>
      <c r="K122" s="12">
        <f>IF(OR(D122="",G122=""),0,F122)</f>
        <v/>
      </c>
      <c r="L122" s="12">
        <f>IF(OR(D122="",G122=""),0,H122*F122)</f>
        <v/>
      </c>
    </row>
    <row r="123">
      <c r="A123" s="9" t="n"/>
      <c r="B123" s="9" t="n"/>
      <c r="C123" s="9" t="n"/>
      <c r="D123" s="9" t="n"/>
      <c r="E123" s="8" t="n"/>
      <c r="F123" s="10" t="n"/>
      <c r="G123" s="8" t="n"/>
      <c r="H123" s="11">
        <f>IF(D123="","",IF(G123="",Setup!$B$5,G123)-E123)</f>
        <v/>
      </c>
      <c r="I123" s="6">
        <f>IF(D123="","",AND(LOWER(B123)="y",H123&gt;Setup!$B$4))</f>
        <v/>
      </c>
      <c r="J123" s="12">
        <f>IF(D123="","",IF(AND(I123=TRUE,G123=""),F123,0))</f>
        <v/>
      </c>
      <c r="K123" s="12">
        <f>IF(OR(D123="",G123=""),0,F123)</f>
        <v/>
      </c>
      <c r="L123" s="12">
        <f>IF(OR(D123="",G123=""),0,H123*F123)</f>
        <v/>
      </c>
    </row>
    <row r="124">
      <c r="A124" s="9" t="n"/>
      <c r="B124" s="9" t="n"/>
      <c r="C124" s="9" t="n"/>
      <c r="D124" s="9" t="n"/>
      <c r="E124" s="8" t="n"/>
      <c r="F124" s="10" t="n"/>
      <c r="G124" s="8" t="n"/>
      <c r="H124" s="11">
        <f>IF(D124="","",IF(G124="",Setup!$B$5,G124)-E124)</f>
        <v/>
      </c>
      <c r="I124" s="6">
        <f>IF(D124="","",AND(LOWER(B124)="y",H124&gt;Setup!$B$4))</f>
        <v/>
      </c>
      <c r="J124" s="12">
        <f>IF(D124="","",IF(AND(I124=TRUE,G124=""),F124,0))</f>
        <v/>
      </c>
      <c r="K124" s="12">
        <f>IF(OR(D124="",G124=""),0,F124)</f>
        <v/>
      </c>
      <c r="L124" s="12">
        <f>IF(OR(D124="",G124=""),0,H124*F124)</f>
        <v/>
      </c>
    </row>
    <row r="125">
      <c r="A125" s="9" t="n"/>
      <c r="B125" s="9" t="n"/>
      <c r="C125" s="9" t="n"/>
      <c r="D125" s="9" t="n"/>
      <c r="E125" s="8" t="n"/>
      <c r="F125" s="10" t="n"/>
      <c r="G125" s="8" t="n"/>
      <c r="H125" s="11">
        <f>IF(D125="","",IF(G125="",Setup!$B$5,G125)-E125)</f>
        <v/>
      </c>
      <c r="I125" s="6">
        <f>IF(D125="","",AND(LOWER(B125)="y",H125&gt;Setup!$B$4))</f>
        <v/>
      </c>
      <c r="J125" s="12">
        <f>IF(D125="","",IF(AND(I125=TRUE,G125=""),F125,0))</f>
        <v/>
      </c>
      <c r="K125" s="12">
        <f>IF(OR(D125="",G125=""),0,F125)</f>
        <v/>
      </c>
      <c r="L125" s="12">
        <f>IF(OR(D125="",G125=""),0,H125*F125)</f>
        <v/>
      </c>
    </row>
    <row r="126">
      <c r="A126" s="9" t="n"/>
      <c r="B126" s="9" t="n"/>
      <c r="C126" s="9" t="n"/>
      <c r="D126" s="9" t="n"/>
      <c r="E126" s="8" t="n"/>
      <c r="F126" s="10" t="n"/>
      <c r="G126" s="8" t="n"/>
      <c r="H126" s="11">
        <f>IF(D126="","",IF(G126="",Setup!$B$5,G126)-E126)</f>
        <v/>
      </c>
      <c r="I126" s="6">
        <f>IF(D126="","",AND(LOWER(B126)="y",H126&gt;Setup!$B$4))</f>
        <v/>
      </c>
      <c r="J126" s="12">
        <f>IF(D126="","",IF(AND(I126=TRUE,G126=""),F126,0))</f>
        <v/>
      </c>
      <c r="K126" s="12">
        <f>IF(OR(D126="",G126=""),0,F126)</f>
        <v/>
      </c>
      <c r="L126" s="12">
        <f>IF(OR(D126="",G126=""),0,H126*F126)</f>
        <v/>
      </c>
    </row>
    <row r="127">
      <c r="A127" s="9" t="n"/>
      <c r="B127" s="9" t="n"/>
      <c r="C127" s="9" t="n"/>
      <c r="D127" s="9" t="n"/>
      <c r="E127" s="8" t="n"/>
      <c r="F127" s="10" t="n"/>
      <c r="G127" s="8" t="n"/>
      <c r="H127" s="11">
        <f>IF(D127="","",IF(G127="",Setup!$B$5,G127)-E127)</f>
        <v/>
      </c>
      <c r="I127" s="6">
        <f>IF(D127="","",AND(LOWER(B127)="y",H127&gt;Setup!$B$4))</f>
        <v/>
      </c>
      <c r="J127" s="12">
        <f>IF(D127="","",IF(AND(I127=TRUE,G127=""),F127,0))</f>
        <v/>
      </c>
      <c r="K127" s="12">
        <f>IF(OR(D127="",G127=""),0,F127)</f>
        <v/>
      </c>
      <c r="L127" s="12">
        <f>IF(OR(D127="",G127=""),0,H127*F127)</f>
        <v/>
      </c>
    </row>
    <row r="128">
      <c r="A128" s="9" t="n"/>
      <c r="B128" s="9" t="n"/>
      <c r="C128" s="9" t="n"/>
      <c r="D128" s="9" t="n"/>
      <c r="E128" s="8" t="n"/>
      <c r="F128" s="10" t="n"/>
      <c r="G128" s="8" t="n"/>
      <c r="H128" s="11">
        <f>IF(D128="","",IF(G128="",Setup!$B$5,G128)-E128)</f>
        <v/>
      </c>
      <c r="I128" s="6">
        <f>IF(D128="","",AND(LOWER(B128)="y",H128&gt;Setup!$B$4))</f>
        <v/>
      </c>
      <c r="J128" s="12">
        <f>IF(D128="","",IF(AND(I128=TRUE,G128=""),F128,0))</f>
        <v/>
      </c>
      <c r="K128" s="12">
        <f>IF(OR(D128="",G128=""),0,F128)</f>
        <v/>
      </c>
      <c r="L128" s="12">
        <f>IF(OR(D128="",G128=""),0,H128*F128)</f>
        <v/>
      </c>
    </row>
    <row r="129">
      <c r="A129" s="9" t="n"/>
      <c r="B129" s="9" t="n"/>
      <c r="C129" s="9" t="n"/>
      <c r="D129" s="9" t="n"/>
      <c r="E129" s="8" t="n"/>
      <c r="F129" s="10" t="n"/>
      <c r="G129" s="8" t="n"/>
      <c r="H129" s="11">
        <f>IF(D129="","",IF(G129="",Setup!$B$5,G129)-E129)</f>
        <v/>
      </c>
      <c r="I129" s="6">
        <f>IF(D129="","",AND(LOWER(B129)="y",H129&gt;Setup!$B$4))</f>
        <v/>
      </c>
      <c r="J129" s="12">
        <f>IF(D129="","",IF(AND(I129=TRUE,G129=""),F129,0))</f>
        <v/>
      </c>
      <c r="K129" s="12">
        <f>IF(OR(D129="",G129=""),0,F129)</f>
        <v/>
      </c>
      <c r="L129" s="12">
        <f>IF(OR(D129="",G129=""),0,H129*F129)</f>
        <v/>
      </c>
    </row>
    <row r="130">
      <c r="A130" s="9" t="n"/>
      <c r="B130" s="9" t="n"/>
      <c r="C130" s="9" t="n"/>
      <c r="D130" s="9" t="n"/>
      <c r="E130" s="8" t="n"/>
      <c r="F130" s="10" t="n"/>
      <c r="G130" s="8" t="n"/>
      <c r="H130" s="11">
        <f>IF(D130="","",IF(G130="",Setup!$B$5,G130)-E130)</f>
        <v/>
      </c>
      <c r="I130" s="6">
        <f>IF(D130="","",AND(LOWER(B130)="y",H130&gt;Setup!$B$4))</f>
        <v/>
      </c>
      <c r="J130" s="12">
        <f>IF(D130="","",IF(AND(I130=TRUE,G130=""),F130,0))</f>
        <v/>
      </c>
      <c r="K130" s="12">
        <f>IF(OR(D130="",G130=""),0,F130)</f>
        <v/>
      </c>
      <c r="L130" s="12">
        <f>IF(OR(D130="",G130=""),0,H130*F130)</f>
        <v/>
      </c>
    </row>
    <row r="131">
      <c r="A131" s="9" t="n"/>
      <c r="B131" s="9" t="n"/>
      <c r="C131" s="9" t="n"/>
      <c r="D131" s="9" t="n"/>
      <c r="E131" s="8" t="n"/>
      <c r="F131" s="10" t="n"/>
      <c r="G131" s="8" t="n"/>
      <c r="H131" s="11">
        <f>IF(D131="","",IF(G131="",Setup!$B$5,G131)-E131)</f>
        <v/>
      </c>
      <c r="I131" s="6">
        <f>IF(D131="","",AND(LOWER(B131)="y",H131&gt;Setup!$B$4))</f>
        <v/>
      </c>
      <c r="J131" s="12">
        <f>IF(D131="","",IF(AND(I131=TRUE,G131=""),F131,0))</f>
        <v/>
      </c>
      <c r="K131" s="12">
        <f>IF(OR(D131="",G131=""),0,F131)</f>
        <v/>
      </c>
      <c r="L131" s="12">
        <f>IF(OR(D131="",G131=""),0,H131*F131)</f>
        <v/>
      </c>
    </row>
    <row r="132">
      <c r="A132" s="9" t="n"/>
      <c r="B132" s="9" t="n"/>
      <c r="C132" s="9" t="n"/>
      <c r="D132" s="9" t="n"/>
      <c r="E132" s="8" t="n"/>
      <c r="F132" s="10" t="n"/>
      <c r="G132" s="8" t="n"/>
      <c r="H132" s="11">
        <f>IF(D132="","",IF(G132="",Setup!$B$5,G132)-E132)</f>
        <v/>
      </c>
      <c r="I132" s="6">
        <f>IF(D132="","",AND(LOWER(B132)="y",H132&gt;Setup!$B$4))</f>
        <v/>
      </c>
      <c r="J132" s="12">
        <f>IF(D132="","",IF(AND(I132=TRUE,G132=""),F132,0))</f>
        <v/>
      </c>
      <c r="K132" s="12">
        <f>IF(OR(D132="",G132=""),0,F132)</f>
        <v/>
      </c>
      <c r="L132" s="12">
        <f>IF(OR(D132="",G132=""),0,H132*F132)</f>
        <v/>
      </c>
    </row>
    <row r="133">
      <c r="A133" s="9" t="n"/>
      <c r="B133" s="9" t="n"/>
      <c r="C133" s="9" t="n"/>
      <c r="D133" s="9" t="n"/>
      <c r="E133" s="8" t="n"/>
      <c r="F133" s="10" t="n"/>
      <c r="G133" s="8" t="n"/>
      <c r="H133" s="11">
        <f>IF(D133="","",IF(G133="",Setup!$B$5,G133)-E133)</f>
        <v/>
      </c>
      <c r="I133" s="6">
        <f>IF(D133="","",AND(LOWER(B133)="y",H133&gt;Setup!$B$4))</f>
        <v/>
      </c>
      <c r="J133" s="12">
        <f>IF(D133="","",IF(AND(I133=TRUE,G133=""),F133,0))</f>
        <v/>
      </c>
      <c r="K133" s="12">
        <f>IF(OR(D133="",G133=""),0,F133)</f>
        <v/>
      </c>
      <c r="L133" s="12">
        <f>IF(OR(D133="",G133=""),0,H133*F133)</f>
        <v/>
      </c>
    </row>
    <row r="134">
      <c r="A134" s="9" t="n"/>
      <c r="B134" s="9" t="n"/>
      <c r="C134" s="9" t="n"/>
      <c r="D134" s="9" t="n"/>
      <c r="E134" s="8" t="n"/>
      <c r="F134" s="10" t="n"/>
      <c r="G134" s="8" t="n"/>
      <c r="H134" s="11">
        <f>IF(D134="","",IF(G134="",Setup!$B$5,G134)-E134)</f>
        <v/>
      </c>
      <c r="I134" s="6">
        <f>IF(D134="","",AND(LOWER(B134)="y",H134&gt;Setup!$B$4))</f>
        <v/>
      </c>
      <c r="J134" s="12">
        <f>IF(D134="","",IF(AND(I134=TRUE,G134=""),F134,0))</f>
        <v/>
      </c>
      <c r="K134" s="12">
        <f>IF(OR(D134="",G134=""),0,F134)</f>
        <v/>
      </c>
      <c r="L134" s="12">
        <f>IF(OR(D134="",G134=""),0,H134*F134)</f>
        <v/>
      </c>
    </row>
    <row r="135">
      <c r="A135" s="9" t="n"/>
      <c r="B135" s="9" t="n"/>
      <c r="C135" s="9" t="n"/>
      <c r="D135" s="9" t="n"/>
      <c r="E135" s="8" t="n"/>
      <c r="F135" s="10" t="n"/>
      <c r="G135" s="8" t="n"/>
      <c r="H135" s="11">
        <f>IF(D135="","",IF(G135="",Setup!$B$5,G135)-E135)</f>
        <v/>
      </c>
      <c r="I135" s="6">
        <f>IF(D135="","",AND(LOWER(B135)="y",H135&gt;Setup!$B$4))</f>
        <v/>
      </c>
      <c r="J135" s="12">
        <f>IF(D135="","",IF(AND(I135=TRUE,G135=""),F135,0))</f>
        <v/>
      </c>
      <c r="K135" s="12">
        <f>IF(OR(D135="",G135=""),0,F135)</f>
        <v/>
      </c>
      <c r="L135" s="12">
        <f>IF(OR(D135="",G135=""),0,H135*F135)</f>
        <v/>
      </c>
    </row>
    <row r="136">
      <c r="A136" s="9" t="n"/>
      <c r="B136" s="9" t="n"/>
      <c r="C136" s="9" t="n"/>
      <c r="D136" s="9" t="n"/>
      <c r="E136" s="8" t="n"/>
      <c r="F136" s="10" t="n"/>
      <c r="G136" s="8" t="n"/>
      <c r="H136" s="11">
        <f>IF(D136="","",IF(G136="",Setup!$B$5,G136)-E136)</f>
        <v/>
      </c>
      <c r="I136" s="6">
        <f>IF(D136="","",AND(LOWER(B136)="y",H136&gt;Setup!$B$4))</f>
        <v/>
      </c>
      <c r="J136" s="12">
        <f>IF(D136="","",IF(AND(I136=TRUE,G136=""),F136,0))</f>
        <v/>
      </c>
      <c r="K136" s="12">
        <f>IF(OR(D136="",G136=""),0,F136)</f>
        <v/>
      </c>
      <c r="L136" s="12">
        <f>IF(OR(D136="",G136=""),0,H136*F136)</f>
        <v/>
      </c>
    </row>
    <row r="137">
      <c r="A137" s="9" t="n"/>
      <c r="B137" s="9" t="n"/>
      <c r="C137" s="9" t="n"/>
      <c r="D137" s="9" t="n"/>
      <c r="E137" s="8" t="n"/>
      <c r="F137" s="10" t="n"/>
      <c r="G137" s="8" t="n"/>
      <c r="H137" s="11">
        <f>IF(D137="","",IF(G137="",Setup!$B$5,G137)-E137)</f>
        <v/>
      </c>
      <c r="I137" s="6">
        <f>IF(D137="","",AND(LOWER(B137)="y",H137&gt;Setup!$B$4))</f>
        <v/>
      </c>
      <c r="J137" s="12">
        <f>IF(D137="","",IF(AND(I137=TRUE,G137=""),F137,0))</f>
        <v/>
      </c>
      <c r="K137" s="12">
        <f>IF(OR(D137="",G137=""),0,F137)</f>
        <v/>
      </c>
      <c r="L137" s="12">
        <f>IF(OR(D137="",G137=""),0,H137*F137)</f>
        <v/>
      </c>
    </row>
    <row r="138">
      <c r="A138" s="9" t="n"/>
      <c r="B138" s="9" t="n"/>
      <c r="C138" s="9" t="n"/>
      <c r="D138" s="9" t="n"/>
      <c r="E138" s="8" t="n"/>
      <c r="F138" s="10" t="n"/>
      <c r="G138" s="8" t="n"/>
      <c r="H138" s="11">
        <f>IF(D138="","",IF(G138="",Setup!$B$5,G138)-E138)</f>
        <v/>
      </c>
      <c r="I138" s="6">
        <f>IF(D138="","",AND(LOWER(B138)="y",H138&gt;Setup!$B$4))</f>
        <v/>
      </c>
      <c r="J138" s="12">
        <f>IF(D138="","",IF(AND(I138=TRUE,G138=""),F138,0))</f>
        <v/>
      </c>
      <c r="K138" s="12">
        <f>IF(OR(D138="",G138=""),0,F138)</f>
        <v/>
      </c>
      <c r="L138" s="12">
        <f>IF(OR(D138="",G138=""),0,H138*F138)</f>
        <v/>
      </c>
    </row>
    <row r="139">
      <c r="A139" s="9" t="n"/>
      <c r="B139" s="9" t="n"/>
      <c r="C139" s="9" t="n"/>
      <c r="D139" s="9" t="n"/>
      <c r="E139" s="8" t="n"/>
      <c r="F139" s="10" t="n"/>
      <c r="G139" s="8" t="n"/>
      <c r="H139" s="11">
        <f>IF(D139="","",IF(G139="",Setup!$B$5,G139)-E139)</f>
        <v/>
      </c>
      <c r="I139" s="6">
        <f>IF(D139="","",AND(LOWER(B139)="y",H139&gt;Setup!$B$4))</f>
        <v/>
      </c>
      <c r="J139" s="12">
        <f>IF(D139="","",IF(AND(I139=TRUE,G139=""),F139,0))</f>
        <v/>
      </c>
      <c r="K139" s="12">
        <f>IF(OR(D139="",G139=""),0,F139)</f>
        <v/>
      </c>
      <c r="L139" s="12">
        <f>IF(OR(D139="",G139=""),0,H139*F139)</f>
        <v/>
      </c>
    </row>
    <row r="140">
      <c r="A140" s="9" t="n"/>
      <c r="B140" s="9" t="n"/>
      <c r="C140" s="9" t="n"/>
      <c r="D140" s="9" t="n"/>
      <c r="E140" s="8" t="n"/>
      <c r="F140" s="10" t="n"/>
      <c r="G140" s="8" t="n"/>
      <c r="H140" s="11">
        <f>IF(D140="","",IF(G140="",Setup!$B$5,G140)-E140)</f>
        <v/>
      </c>
      <c r="I140" s="6">
        <f>IF(D140="","",AND(LOWER(B140)="y",H140&gt;Setup!$B$4))</f>
        <v/>
      </c>
      <c r="J140" s="12">
        <f>IF(D140="","",IF(AND(I140=TRUE,G140=""),F140,0))</f>
        <v/>
      </c>
      <c r="K140" s="12">
        <f>IF(OR(D140="",G140=""),0,F140)</f>
        <v/>
      </c>
      <c r="L140" s="12">
        <f>IF(OR(D140="",G140=""),0,H140*F140)</f>
        <v/>
      </c>
    </row>
    <row r="141">
      <c r="A141" s="9" t="n"/>
      <c r="B141" s="9" t="n"/>
      <c r="C141" s="9" t="n"/>
      <c r="D141" s="9" t="n"/>
      <c r="E141" s="8" t="n"/>
      <c r="F141" s="10" t="n"/>
      <c r="G141" s="8" t="n"/>
      <c r="H141" s="11">
        <f>IF(D141="","",IF(G141="",Setup!$B$5,G141)-E141)</f>
        <v/>
      </c>
      <c r="I141" s="6">
        <f>IF(D141="","",AND(LOWER(B141)="y",H141&gt;Setup!$B$4))</f>
        <v/>
      </c>
      <c r="J141" s="12">
        <f>IF(D141="","",IF(AND(I141=TRUE,G141=""),F141,0))</f>
        <v/>
      </c>
      <c r="K141" s="12">
        <f>IF(OR(D141="",G141=""),0,F141)</f>
        <v/>
      </c>
      <c r="L141" s="12">
        <f>IF(OR(D141="",G141=""),0,H141*F141)</f>
        <v/>
      </c>
    </row>
    <row r="142">
      <c r="A142" s="9" t="n"/>
      <c r="B142" s="9" t="n"/>
      <c r="C142" s="9" t="n"/>
      <c r="D142" s="9" t="n"/>
      <c r="E142" s="8" t="n"/>
      <c r="F142" s="10" t="n"/>
      <c r="G142" s="8" t="n"/>
      <c r="H142" s="11">
        <f>IF(D142="","",IF(G142="",Setup!$B$5,G142)-E142)</f>
        <v/>
      </c>
      <c r="I142" s="6">
        <f>IF(D142="","",AND(LOWER(B142)="y",H142&gt;Setup!$B$4))</f>
        <v/>
      </c>
      <c r="J142" s="12">
        <f>IF(D142="","",IF(AND(I142=TRUE,G142=""),F142,0))</f>
        <v/>
      </c>
      <c r="K142" s="12">
        <f>IF(OR(D142="",G142=""),0,F142)</f>
        <v/>
      </c>
      <c r="L142" s="12">
        <f>IF(OR(D142="",G142=""),0,H142*F142)</f>
        <v/>
      </c>
    </row>
    <row r="143">
      <c r="A143" s="9" t="n"/>
      <c r="B143" s="9" t="n"/>
      <c r="C143" s="9" t="n"/>
      <c r="D143" s="9" t="n"/>
      <c r="E143" s="8" t="n"/>
      <c r="F143" s="10" t="n"/>
      <c r="G143" s="8" t="n"/>
      <c r="H143" s="11">
        <f>IF(D143="","",IF(G143="",Setup!$B$5,G143)-E143)</f>
        <v/>
      </c>
      <c r="I143" s="6">
        <f>IF(D143="","",AND(LOWER(B143)="y",H143&gt;Setup!$B$4))</f>
        <v/>
      </c>
      <c r="J143" s="12">
        <f>IF(D143="","",IF(AND(I143=TRUE,G143=""),F143,0))</f>
        <v/>
      </c>
      <c r="K143" s="12">
        <f>IF(OR(D143="",G143=""),0,F143)</f>
        <v/>
      </c>
      <c r="L143" s="12">
        <f>IF(OR(D143="",G143=""),0,H143*F143)</f>
        <v/>
      </c>
    </row>
    <row r="144">
      <c r="A144" s="9" t="n"/>
      <c r="B144" s="9" t="n"/>
      <c r="C144" s="9" t="n"/>
      <c r="D144" s="9" t="n"/>
      <c r="E144" s="8" t="n"/>
      <c r="F144" s="10" t="n"/>
      <c r="G144" s="8" t="n"/>
      <c r="H144" s="11">
        <f>IF(D144="","",IF(G144="",Setup!$B$5,G144)-E144)</f>
        <v/>
      </c>
      <c r="I144" s="6">
        <f>IF(D144="","",AND(LOWER(B144)="y",H144&gt;Setup!$B$4))</f>
        <v/>
      </c>
      <c r="J144" s="12">
        <f>IF(D144="","",IF(AND(I144=TRUE,G144=""),F144,0))</f>
        <v/>
      </c>
      <c r="K144" s="12">
        <f>IF(OR(D144="",G144=""),0,F144)</f>
        <v/>
      </c>
      <c r="L144" s="12">
        <f>IF(OR(D144="",G144=""),0,H144*F144)</f>
        <v/>
      </c>
    </row>
    <row r="145">
      <c r="A145" s="9" t="n"/>
      <c r="B145" s="9" t="n"/>
      <c r="C145" s="9" t="n"/>
      <c r="D145" s="9" t="n"/>
      <c r="E145" s="8" t="n"/>
      <c r="F145" s="10" t="n"/>
      <c r="G145" s="8" t="n"/>
      <c r="H145" s="11">
        <f>IF(D145="","",IF(G145="",Setup!$B$5,G145)-E145)</f>
        <v/>
      </c>
      <c r="I145" s="6">
        <f>IF(D145="","",AND(LOWER(B145)="y",H145&gt;Setup!$B$4))</f>
        <v/>
      </c>
      <c r="J145" s="12">
        <f>IF(D145="","",IF(AND(I145=TRUE,G145=""),F145,0))</f>
        <v/>
      </c>
      <c r="K145" s="12">
        <f>IF(OR(D145="",G145=""),0,F145)</f>
        <v/>
      </c>
      <c r="L145" s="12">
        <f>IF(OR(D145="",G145=""),0,H145*F145)</f>
        <v/>
      </c>
    </row>
    <row r="146">
      <c r="A146" s="9" t="n"/>
      <c r="B146" s="9" t="n"/>
      <c r="C146" s="9" t="n"/>
      <c r="D146" s="9" t="n"/>
      <c r="E146" s="8" t="n"/>
      <c r="F146" s="10" t="n"/>
      <c r="G146" s="8" t="n"/>
      <c r="H146" s="11">
        <f>IF(D146="","",IF(G146="",Setup!$B$5,G146)-E146)</f>
        <v/>
      </c>
      <c r="I146" s="6">
        <f>IF(D146="","",AND(LOWER(B146)="y",H146&gt;Setup!$B$4))</f>
        <v/>
      </c>
      <c r="J146" s="12">
        <f>IF(D146="","",IF(AND(I146=TRUE,G146=""),F146,0))</f>
        <v/>
      </c>
      <c r="K146" s="12">
        <f>IF(OR(D146="",G146=""),0,F146)</f>
        <v/>
      </c>
      <c r="L146" s="12">
        <f>IF(OR(D146="",G146=""),0,H146*F146)</f>
        <v/>
      </c>
    </row>
    <row r="147">
      <c r="A147" s="9" t="n"/>
      <c r="B147" s="9" t="n"/>
      <c r="C147" s="9" t="n"/>
      <c r="D147" s="9" t="n"/>
      <c r="E147" s="8" t="n"/>
      <c r="F147" s="10" t="n"/>
      <c r="G147" s="8" t="n"/>
      <c r="H147" s="11">
        <f>IF(D147="","",IF(G147="",Setup!$B$5,G147)-E147)</f>
        <v/>
      </c>
      <c r="I147" s="6">
        <f>IF(D147="","",AND(LOWER(B147)="y",H147&gt;Setup!$B$4))</f>
        <v/>
      </c>
      <c r="J147" s="12">
        <f>IF(D147="","",IF(AND(I147=TRUE,G147=""),F147,0))</f>
        <v/>
      </c>
      <c r="K147" s="12">
        <f>IF(OR(D147="",G147=""),0,F147)</f>
        <v/>
      </c>
      <c r="L147" s="12">
        <f>IF(OR(D147="",G147=""),0,H147*F147)</f>
        <v/>
      </c>
    </row>
    <row r="148">
      <c r="A148" s="9" t="n"/>
      <c r="B148" s="9" t="n"/>
      <c r="C148" s="9" t="n"/>
      <c r="D148" s="9" t="n"/>
      <c r="E148" s="8" t="n"/>
      <c r="F148" s="10" t="n"/>
      <c r="G148" s="8" t="n"/>
      <c r="H148" s="11">
        <f>IF(D148="","",IF(G148="",Setup!$B$5,G148)-E148)</f>
        <v/>
      </c>
      <c r="I148" s="6">
        <f>IF(D148="","",AND(LOWER(B148)="y",H148&gt;Setup!$B$4))</f>
        <v/>
      </c>
      <c r="J148" s="12">
        <f>IF(D148="","",IF(AND(I148=TRUE,G148=""),F148,0))</f>
        <v/>
      </c>
      <c r="K148" s="12">
        <f>IF(OR(D148="",G148=""),0,F148)</f>
        <v/>
      </c>
      <c r="L148" s="12">
        <f>IF(OR(D148="",G148=""),0,H148*F148)</f>
        <v/>
      </c>
    </row>
    <row r="149">
      <c r="A149" s="9" t="n"/>
      <c r="B149" s="9" t="n"/>
      <c r="C149" s="9" t="n"/>
      <c r="D149" s="9" t="n"/>
      <c r="E149" s="8" t="n"/>
      <c r="F149" s="10" t="n"/>
      <c r="G149" s="8" t="n"/>
      <c r="H149" s="11">
        <f>IF(D149="","",IF(G149="",Setup!$B$5,G149)-E149)</f>
        <v/>
      </c>
      <c r="I149" s="6">
        <f>IF(D149="","",AND(LOWER(B149)="y",H149&gt;Setup!$B$4))</f>
        <v/>
      </c>
      <c r="J149" s="12">
        <f>IF(D149="","",IF(AND(I149=TRUE,G149=""),F149,0))</f>
        <v/>
      </c>
      <c r="K149" s="12">
        <f>IF(OR(D149="",G149=""),0,F149)</f>
        <v/>
      </c>
      <c r="L149" s="12">
        <f>IF(OR(D149="",G149=""),0,H149*F149)</f>
        <v/>
      </c>
    </row>
    <row r="150">
      <c r="A150" s="9" t="n"/>
      <c r="B150" s="9" t="n"/>
      <c r="C150" s="9" t="n"/>
      <c r="D150" s="9" t="n"/>
      <c r="E150" s="8" t="n"/>
      <c r="F150" s="10" t="n"/>
      <c r="G150" s="8" t="n"/>
      <c r="H150" s="11">
        <f>IF(D150="","",IF(G150="",Setup!$B$5,G150)-E150)</f>
        <v/>
      </c>
      <c r="I150" s="6">
        <f>IF(D150="","",AND(LOWER(B150)="y",H150&gt;Setup!$B$4))</f>
        <v/>
      </c>
      <c r="J150" s="12">
        <f>IF(D150="","",IF(AND(I150=TRUE,G150=""),F150,0))</f>
        <v/>
      </c>
      <c r="K150" s="12">
        <f>IF(OR(D150="",G150=""),0,F150)</f>
        <v/>
      </c>
      <c r="L150" s="12">
        <f>IF(OR(D150="",G150=""),0,H150*F150)</f>
        <v/>
      </c>
    </row>
    <row r="151">
      <c r="A151" s="9" t="n"/>
      <c r="B151" s="9" t="n"/>
      <c r="C151" s="9" t="n"/>
      <c r="D151" s="9" t="n"/>
      <c r="E151" s="8" t="n"/>
      <c r="F151" s="10" t="n"/>
      <c r="G151" s="8" t="n"/>
      <c r="H151" s="11">
        <f>IF(D151="","",IF(G151="",Setup!$B$5,G151)-E151)</f>
        <v/>
      </c>
      <c r="I151" s="6">
        <f>IF(D151="","",AND(LOWER(B151)="y",H151&gt;Setup!$B$4))</f>
        <v/>
      </c>
      <c r="J151" s="12">
        <f>IF(D151="","",IF(AND(I151=TRUE,G151=""),F151,0))</f>
        <v/>
      </c>
      <c r="K151" s="12">
        <f>IF(OR(D151="",G151=""),0,F151)</f>
        <v/>
      </c>
      <c r="L151" s="12">
        <f>IF(OR(D151="",G151=""),0,H151*F151)</f>
        <v/>
      </c>
    </row>
    <row r="152">
      <c r="A152" s="9" t="n"/>
      <c r="B152" s="9" t="n"/>
      <c r="C152" s="9" t="n"/>
      <c r="D152" s="9" t="n"/>
      <c r="E152" s="8" t="n"/>
      <c r="F152" s="10" t="n"/>
      <c r="G152" s="8" t="n"/>
      <c r="H152" s="11">
        <f>IF(D152="","",IF(G152="",Setup!$B$5,G152)-E152)</f>
        <v/>
      </c>
      <c r="I152" s="6">
        <f>IF(D152="","",AND(LOWER(B152)="y",H152&gt;Setup!$B$4))</f>
        <v/>
      </c>
      <c r="J152" s="12">
        <f>IF(D152="","",IF(AND(I152=TRUE,G152=""),F152,0))</f>
        <v/>
      </c>
      <c r="K152" s="12">
        <f>IF(OR(D152="",G152=""),0,F152)</f>
        <v/>
      </c>
      <c r="L152" s="12">
        <f>IF(OR(D152="",G152=""),0,H152*F152)</f>
        <v/>
      </c>
    </row>
    <row r="153">
      <c r="A153" s="9" t="n"/>
      <c r="B153" s="9" t="n"/>
      <c r="C153" s="9" t="n"/>
      <c r="D153" s="9" t="n"/>
      <c r="E153" s="8" t="n"/>
      <c r="F153" s="10" t="n"/>
      <c r="G153" s="8" t="n"/>
      <c r="H153" s="11">
        <f>IF(D153="","",IF(G153="",Setup!$B$5,G153)-E153)</f>
        <v/>
      </c>
      <c r="I153" s="6">
        <f>IF(D153="","",AND(LOWER(B153)="y",H153&gt;Setup!$B$4))</f>
        <v/>
      </c>
      <c r="J153" s="12">
        <f>IF(D153="","",IF(AND(I153=TRUE,G153=""),F153,0))</f>
        <v/>
      </c>
      <c r="K153" s="12">
        <f>IF(OR(D153="",G153=""),0,F153)</f>
        <v/>
      </c>
      <c r="L153" s="12">
        <f>IF(OR(D153="",G153=""),0,H153*F153)</f>
        <v/>
      </c>
    </row>
    <row r="154">
      <c r="A154" s="9" t="n"/>
      <c r="B154" s="9" t="n"/>
      <c r="C154" s="9" t="n"/>
      <c r="D154" s="9" t="n"/>
      <c r="E154" s="8" t="n"/>
      <c r="F154" s="10" t="n"/>
      <c r="G154" s="8" t="n"/>
      <c r="H154" s="11">
        <f>IF(D154="","",IF(G154="",Setup!$B$5,G154)-E154)</f>
        <v/>
      </c>
      <c r="I154" s="6">
        <f>IF(D154="","",AND(LOWER(B154)="y",H154&gt;Setup!$B$4))</f>
        <v/>
      </c>
      <c r="J154" s="12">
        <f>IF(D154="","",IF(AND(I154=TRUE,G154=""),F154,0))</f>
        <v/>
      </c>
      <c r="K154" s="12">
        <f>IF(OR(D154="",G154=""),0,F154)</f>
        <v/>
      </c>
      <c r="L154" s="12">
        <f>IF(OR(D154="",G154=""),0,H154*F154)</f>
        <v/>
      </c>
    </row>
    <row r="155">
      <c r="A155" s="9" t="n"/>
      <c r="B155" s="9" t="n"/>
      <c r="C155" s="9" t="n"/>
      <c r="D155" s="9" t="n"/>
      <c r="E155" s="8" t="n"/>
      <c r="F155" s="10" t="n"/>
      <c r="G155" s="8" t="n"/>
      <c r="H155" s="11">
        <f>IF(D155="","",IF(G155="",Setup!$B$5,G155)-E155)</f>
        <v/>
      </c>
      <c r="I155" s="6">
        <f>IF(D155="","",AND(LOWER(B155)="y",H155&gt;Setup!$B$4))</f>
        <v/>
      </c>
      <c r="J155" s="12">
        <f>IF(D155="","",IF(AND(I155=TRUE,G155=""),F155,0))</f>
        <v/>
      </c>
      <c r="K155" s="12">
        <f>IF(OR(D155="",G155=""),0,F155)</f>
        <v/>
      </c>
      <c r="L155" s="12">
        <f>IF(OR(D155="",G155=""),0,H155*F155)</f>
        <v/>
      </c>
    </row>
    <row r="156">
      <c r="A156" s="9" t="n"/>
      <c r="B156" s="9" t="n"/>
      <c r="C156" s="9" t="n"/>
      <c r="D156" s="9" t="n"/>
      <c r="E156" s="8" t="n"/>
      <c r="F156" s="10" t="n"/>
      <c r="G156" s="8" t="n"/>
      <c r="H156" s="11">
        <f>IF(D156="","",IF(G156="",Setup!$B$5,G156)-E156)</f>
        <v/>
      </c>
      <c r="I156" s="6">
        <f>IF(D156="","",AND(LOWER(B156)="y",H156&gt;Setup!$B$4))</f>
        <v/>
      </c>
      <c r="J156" s="12">
        <f>IF(D156="","",IF(AND(I156=TRUE,G156=""),F156,0))</f>
        <v/>
      </c>
      <c r="K156" s="12">
        <f>IF(OR(D156="",G156=""),0,F156)</f>
        <v/>
      </c>
      <c r="L156" s="12">
        <f>IF(OR(D156="",G156=""),0,H156*F156)</f>
        <v/>
      </c>
    </row>
    <row r="157">
      <c r="A157" s="9" t="n"/>
      <c r="B157" s="9" t="n"/>
      <c r="C157" s="9" t="n"/>
      <c r="D157" s="9" t="n"/>
      <c r="E157" s="8" t="n"/>
      <c r="F157" s="10" t="n"/>
      <c r="G157" s="8" t="n"/>
      <c r="H157" s="11">
        <f>IF(D157="","",IF(G157="",Setup!$B$5,G157)-E157)</f>
        <v/>
      </c>
      <c r="I157" s="6">
        <f>IF(D157="","",AND(LOWER(B157)="y",H157&gt;Setup!$B$4))</f>
        <v/>
      </c>
      <c r="J157" s="12">
        <f>IF(D157="","",IF(AND(I157=TRUE,G157=""),F157,0))</f>
        <v/>
      </c>
      <c r="K157" s="12">
        <f>IF(OR(D157="",G157=""),0,F157)</f>
        <v/>
      </c>
      <c r="L157" s="12">
        <f>IF(OR(D157="",G157=""),0,H157*F157)</f>
        <v/>
      </c>
    </row>
    <row r="158">
      <c r="A158" s="9" t="n"/>
      <c r="B158" s="9" t="n"/>
      <c r="C158" s="9" t="n"/>
      <c r="D158" s="9" t="n"/>
      <c r="E158" s="8" t="n"/>
      <c r="F158" s="10" t="n"/>
      <c r="G158" s="8" t="n"/>
      <c r="H158" s="11">
        <f>IF(D158="","",IF(G158="",Setup!$B$5,G158)-E158)</f>
        <v/>
      </c>
      <c r="I158" s="6">
        <f>IF(D158="","",AND(LOWER(B158)="y",H158&gt;Setup!$B$4))</f>
        <v/>
      </c>
      <c r="J158" s="12">
        <f>IF(D158="","",IF(AND(I158=TRUE,G158=""),F158,0))</f>
        <v/>
      </c>
      <c r="K158" s="12">
        <f>IF(OR(D158="",G158=""),0,F158)</f>
        <v/>
      </c>
      <c r="L158" s="12">
        <f>IF(OR(D158="",G158=""),0,H158*F158)</f>
        <v/>
      </c>
    </row>
    <row r="159">
      <c r="A159" s="9" t="n"/>
      <c r="B159" s="9" t="n"/>
      <c r="C159" s="9" t="n"/>
      <c r="D159" s="9" t="n"/>
      <c r="E159" s="8" t="n"/>
      <c r="F159" s="10" t="n"/>
      <c r="G159" s="8" t="n"/>
      <c r="H159" s="11">
        <f>IF(D159="","",IF(G159="",Setup!$B$5,G159)-E159)</f>
        <v/>
      </c>
      <c r="I159" s="6">
        <f>IF(D159="","",AND(LOWER(B159)="y",H159&gt;Setup!$B$4))</f>
        <v/>
      </c>
      <c r="J159" s="12">
        <f>IF(D159="","",IF(AND(I159=TRUE,G159=""),F159,0))</f>
        <v/>
      </c>
      <c r="K159" s="12">
        <f>IF(OR(D159="",G159=""),0,F159)</f>
        <v/>
      </c>
      <c r="L159" s="12">
        <f>IF(OR(D159="",G159=""),0,H159*F159)</f>
        <v/>
      </c>
    </row>
    <row r="160">
      <c r="A160" s="9" t="n"/>
      <c r="B160" s="9" t="n"/>
      <c r="C160" s="9" t="n"/>
      <c r="D160" s="9" t="n"/>
      <c r="E160" s="8" t="n"/>
      <c r="F160" s="10" t="n"/>
      <c r="G160" s="8" t="n"/>
      <c r="H160" s="11">
        <f>IF(D160="","",IF(G160="",Setup!$B$5,G160)-E160)</f>
        <v/>
      </c>
      <c r="I160" s="6">
        <f>IF(D160="","",AND(LOWER(B160)="y",H160&gt;Setup!$B$4))</f>
        <v/>
      </c>
      <c r="J160" s="12">
        <f>IF(D160="","",IF(AND(I160=TRUE,G160=""),F160,0))</f>
        <v/>
      </c>
      <c r="K160" s="12">
        <f>IF(OR(D160="",G160=""),0,F160)</f>
        <v/>
      </c>
      <c r="L160" s="12">
        <f>IF(OR(D160="",G160=""),0,H160*F160)</f>
        <v/>
      </c>
    </row>
    <row r="161">
      <c r="A161" s="9" t="n"/>
      <c r="B161" s="9" t="n"/>
      <c r="C161" s="9" t="n"/>
      <c r="D161" s="9" t="n"/>
      <c r="E161" s="8" t="n"/>
      <c r="F161" s="10" t="n"/>
      <c r="G161" s="8" t="n"/>
      <c r="H161" s="11">
        <f>IF(D161="","",IF(G161="",Setup!$B$5,G161)-E161)</f>
        <v/>
      </c>
      <c r="I161" s="6">
        <f>IF(D161="","",AND(LOWER(B161)="y",H161&gt;Setup!$B$4))</f>
        <v/>
      </c>
      <c r="J161" s="12">
        <f>IF(D161="","",IF(AND(I161=TRUE,G161=""),F161,0))</f>
        <v/>
      </c>
      <c r="K161" s="12">
        <f>IF(OR(D161="",G161=""),0,F161)</f>
        <v/>
      </c>
      <c r="L161" s="12">
        <f>IF(OR(D161="",G161=""),0,H161*F161)</f>
        <v/>
      </c>
    </row>
    <row r="162">
      <c r="A162" s="9" t="n"/>
      <c r="B162" s="9" t="n"/>
      <c r="C162" s="9" t="n"/>
      <c r="D162" s="9" t="n"/>
      <c r="E162" s="8" t="n"/>
      <c r="F162" s="10" t="n"/>
      <c r="G162" s="8" t="n"/>
      <c r="H162" s="11">
        <f>IF(D162="","",IF(G162="",Setup!$B$5,G162)-E162)</f>
        <v/>
      </c>
      <c r="I162" s="6">
        <f>IF(D162="","",AND(LOWER(B162)="y",H162&gt;Setup!$B$4))</f>
        <v/>
      </c>
      <c r="J162" s="12">
        <f>IF(D162="","",IF(AND(I162=TRUE,G162=""),F162,0))</f>
        <v/>
      </c>
      <c r="K162" s="12">
        <f>IF(OR(D162="",G162=""),0,F162)</f>
        <v/>
      </c>
      <c r="L162" s="12">
        <f>IF(OR(D162="",G162=""),0,H162*F162)</f>
        <v/>
      </c>
    </row>
    <row r="163">
      <c r="A163" s="9" t="n"/>
      <c r="B163" s="9" t="n"/>
      <c r="C163" s="9" t="n"/>
      <c r="D163" s="9" t="n"/>
      <c r="E163" s="8" t="n"/>
      <c r="F163" s="10" t="n"/>
      <c r="G163" s="8" t="n"/>
      <c r="H163" s="11">
        <f>IF(D163="","",IF(G163="",Setup!$B$5,G163)-E163)</f>
        <v/>
      </c>
      <c r="I163" s="6">
        <f>IF(D163="","",AND(LOWER(B163)="y",H163&gt;Setup!$B$4))</f>
        <v/>
      </c>
      <c r="J163" s="12">
        <f>IF(D163="","",IF(AND(I163=TRUE,G163=""),F163,0))</f>
        <v/>
      </c>
      <c r="K163" s="12">
        <f>IF(OR(D163="",G163=""),0,F163)</f>
        <v/>
      </c>
      <c r="L163" s="12">
        <f>IF(OR(D163="",G163=""),0,H163*F163)</f>
        <v/>
      </c>
    </row>
    <row r="164">
      <c r="A164" s="9" t="n"/>
      <c r="B164" s="9" t="n"/>
      <c r="C164" s="9" t="n"/>
      <c r="D164" s="9" t="n"/>
      <c r="E164" s="8" t="n"/>
      <c r="F164" s="10" t="n"/>
      <c r="G164" s="8" t="n"/>
      <c r="H164" s="11">
        <f>IF(D164="","",IF(G164="",Setup!$B$5,G164)-E164)</f>
        <v/>
      </c>
      <c r="I164" s="6">
        <f>IF(D164="","",AND(LOWER(B164)="y",H164&gt;Setup!$B$4))</f>
        <v/>
      </c>
      <c r="J164" s="12">
        <f>IF(D164="","",IF(AND(I164=TRUE,G164=""),F164,0))</f>
        <v/>
      </c>
      <c r="K164" s="12">
        <f>IF(OR(D164="",G164=""),0,F164)</f>
        <v/>
      </c>
      <c r="L164" s="12">
        <f>IF(OR(D164="",G164=""),0,H164*F164)</f>
        <v/>
      </c>
    </row>
    <row r="165">
      <c r="A165" s="9" t="n"/>
      <c r="B165" s="9" t="n"/>
      <c r="C165" s="9" t="n"/>
      <c r="D165" s="9" t="n"/>
      <c r="E165" s="8" t="n"/>
      <c r="F165" s="10" t="n"/>
      <c r="G165" s="8" t="n"/>
      <c r="H165" s="11">
        <f>IF(D165="","",IF(G165="",Setup!$B$5,G165)-E165)</f>
        <v/>
      </c>
      <c r="I165" s="6">
        <f>IF(D165="","",AND(LOWER(B165)="y",H165&gt;Setup!$B$4))</f>
        <v/>
      </c>
      <c r="J165" s="12">
        <f>IF(D165="","",IF(AND(I165=TRUE,G165=""),F165,0))</f>
        <v/>
      </c>
      <c r="K165" s="12">
        <f>IF(OR(D165="",G165=""),0,F165)</f>
        <v/>
      </c>
      <c r="L165" s="12">
        <f>IF(OR(D165="",G165=""),0,H165*F165)</f>
        <v/>
      </c>
    </row>
    <row r="166">
      <c r="A166" s="9" t="n"/>
      <c r="B166" s="9" t="n"/>
      <c r="C166" s="9" t="n"/>
      <c r="D166" s="9" t="n"/>
      <c r="E166" s="8" t="n"/>
      <c r="F166" s="10" t="n"/>
      <c r="G166" s="8" t="n"/>
      <c r="H166" s="11">
        <f>IF(D166="","",IF(G166="",Setup!$B$5,G166)-E166)</f>
        <v/>
      </c>
      <c r="I166" s="6">
        <f>IF(D166="","",AND(LOWER(B166)="y",H166&gt;Setup!$B$4))</f>
        <v/>
      </c>
      <c r="J166" s="12">
        <f>IF(D166="","",IF(AND(I166=TRUE,G166=""),F166,0))</f>
        <v/>
      </c>
      <c r="K166" s="12">
        <f>IF(OR(D166="",G166=""),0,F166)</f>
        <v/>
      </c>
      <c r="L166" s="12">
        <f>IF(OR(D166="",G166=""),0,H166*F166)</f>
        <v/>
      </c>
    </row>
    <row r="167">
      <c r="A167" s="9" t="n"/>
      <c r="B167" s="9" t="n"/>
      <c r="C167" s="9" t="n"/>
      <c r="D167" s="9" t="n"/>
      <c r="E167" s="8" t="n"/>
      <c r="F167" s="10" t="n"/>
      <c r="G167" s="8" t="n"/>
      <c r="H167" s="11">
        <f>IF(D167="","",IF(G167="",Setup!$B$5,G167)-E167)</f>
        <v/>
      </c>
      <c r="I167" s="6">
        <f>IF(D167="","",AND(LOWER(B167)="y",H167&gt;Setup!$B$4))</f>
        <v/>
      </c>
      <c r="J167" s="12">
        <f>IF(D167="","",IF(AND(I167=TRUE,G167=""),F167,0))</f>
        <v/>
      </c>
      <c r="K167" s="12">
        <f>IF(OR(D167="",G167=""),0,F167)</f>
        <v/>
      </c>
      <c r="L167" s="12">
        <f>IF(OR(D167="",G167=""),0,H167*F167)</f>
        <v/>
      </c>
    </row>
    <row r="168">
      <c r="A168" s="9" t="n"/>
      <c r="B168" s="9" t="n"/>
      <c r="C168" s="9" t="n"/>
      <c r="D168" s="9" t="n"/>
      <c r="E168" s="8" t="n"/>
      <c r="F168" s="10" t="n"/>
      <c r="G168" s="8" t="n"/>
      <c r="H168" s="11">
        <f>IF(D168="","",IF(G168="",Setup!$B$5,G168)-E168)</f>
        <v/>
      </c>
      <c r="I168" s="6">
        <f>IF(D168="","",AND(LOWER(B168)="y",H168&gt;Setup!$B$4))</f>
        <v/>
      </c>
      <c r="J168" s="12">
        <f>IF(D168="","",IF(AND(I168=TRUE,G168=""),F168,0))</f>
        <v/>
      </c>
      <c r="K168" s="12">
        <f>IF(OR(D168="",G168=""),0,F168)</f>
        <v/>
      </c>
      <c r="L168" s="12">
        <f>IF(OR(D168="",G168=""),0,H168*F168)</f>
        <v/>
      </c>
    </row>
    <row r="169">
      <c r="A169" s="9" t="n"/>
      <c r="B169" s="9" t="n"/>
      <c r="C169" s="9" t="n"/>
      <c r="D169" s="9" t="n"/>
      <c r="E169" s="8" t="n"/>
      <c r="F169" s="10" t="n"/>
      <c r="G169" s="8" t="n"/>
      <c r="H169" s="11">
        <f>IF(D169="","",IF(G169="",Setup!$B$5,G169)-E169)</f>
        <v/>
      </c>
      <c r="I169" s="6">
        <f>IF(D169="","",AND(LOWER(B169)="y",H169&gt;Setup!$B$4))</f>
        <v/>
      </c>
      <c r="J169" s="12">
        <f>IF(D169="","",IF(AND(I169=TRUE,G169=""),F169,0))</f>
        <v/>
      </c>
      <c r="K169" s="12">
        <f>IF(OR(D169="",G169=""),0,F169)</f>
        <v/>
      </c>
      <c r="L169" s="12">
        <f>IF(OR(D169="",G169=""),0,H169*F169)</f>
        <v/>
      </c>
    </row>
    <row r="170">
      <c r="A170" s="9" t="n"/>
      <c r="B170" s="9" t="n"/>
      <c r="C170" s="9" t="n"/>
      <c r="D170" s="9" t="n"/>
      <c r="E170" s="8" t="n"/>
      <c r="F170" s="10" t="n"/>
      <c r="G170" s="8" t="n"/>
      <c r="H170" s="11">
        <f>IF(D170="","",IF(G170="",Setup!$B$5,G170)-E170)</f>
        <v/>
      </c>
      <c r="I170" s="6">
        <f>IF(D170="","",AND(LOWER(B170)="y",H170&gt;Setup!$B$4))</f>
        <v/>
      </c>
      <c r="J170" s="12">
        <f>IF(D170="","",IF(AND(I170=TRUE,G170=""),F170,0))</f>
        <v/>
      </c>
      <c r="K170" s="12">
        <f>IF(OR(D170="",G170=""),0,F170)</f>
        <v/>
      </c>
      <c r="L170" s="12">
        <f>IF(OR(D170="",G170=""),0,H170*F170)</f>
        <v/>
      </c>
    </row>
    <row r="171">
      <c r="A171" s="9" t="n"/>
      <c r="B171" s="9" t="n"/>
      <c r="C171" s="9" t="n"/>
      <c r="D171" s="9" t="n"/>
      <c r="E171" s="8" t="n"/>
      <c r="F171" s="10" t="n"/>
      <c r="G171" s="8" t="n"/>
      <c r="H171" s="11">
        <f>IF(D171="","",IF(G171="",Setup!$B$5,G171)-E171)</f>
        <v/>
      </c>
      <c r="I171" s="6">
        <f>IF(D171="","",AND(LOWER(B171)="y",H171&gt;Setup!$B$4))</f>
        <v/>
      </c>
      <c r="J171" s="12">
        <f>IF(D171="","",IF(AND(I171=TRUE,G171=""),F171,0))</f>
        <v/>
      </c>
      <c r="K171" s="12">
        <f>IF(OR(D171="",G171=""),0,F171)</f>
        <v/>
      </c>
      <c r="L171" s="12">
        <f>IF(OR(D171="",G171=""),0,H171*F171)</f>
        <v/>
      </c>
    </row>
    <row r="172">
      <c r="A172" s="9" t="n"/>
      <c r="B172" s="9" t="n"/>
      <c r="C172" s="9" t="n"/>
      <c r="D172" s="9" t="n"/>
      <c r="E172" s="8" t="n"/>
      <c r="F172" s="10" t="n"/>
      <c r="G172" s="8" t="n"/>
      <c r="H172" s="11">
        <f>IF(D172="","",IF(G172="",Setup!$B$5,G172)-E172)</f>
        <v/>
      </c>
      <c r="I172" s="6">
        <f>IF(D172="","",AND(LOWER(B172)="y",H172&gt;Setup!$B$4))</f>
        <v/>
      </c>
      <c r="J172" s="12">
        <f>IF(D172="","",IF(AND(I172=TRUE,G172=""),F172,0))</f>
        <v/>
      </c>
      <c r="K172" s="12">
        <f>IF(OR(D172="",G172=""),0,F172)</f>
        <v/>
      </c>
      <c r="L172" s="12">
        <f>IF(OR(D172="",G172=""),0,H172*F172)</f>
        <v/>
      </c>
    </row>
    <row r="173">
      <c r="A173" s="9" t="n"/>
      <c r="B173" s="9" t="n"/>
      <c r="C173" s="9" t="n"/>
      <c r="D173" s="9" t="n"/>
      <c r="E173" s="8" t="n"/>
      <c r="F173" s="10" t="n"/>
      <c r="G173" s="8" t="n"/>
      <c r="H173" s="11">
        <f>IF(D173="","",IF(G173="",Setup!$B$5,G173)-E173)</f>
        <v/>
      </c>
      <c r="I173" s="6">
        <f>IF(D173="","",AND(LOWER(B173)="y",H173&gt;Setup!$B$4))</f>
        <v/>
      </c>
      <c r="J173" s="12">
        <f>IF(D173="","",IF(AND(I173=TRUE,G173=""),F173,0))</f>
        <v/>
      </c>
      <c r="K173" s="12">
        <f>IF(OR(D173="",G173=""),0,F173)</f>
        <v/>
      </c>
      <c r="L173" s="12">
        <f>IF(OR(D173="",G173=""),0,H173*F173)</f>
        <v/>
      </c>
    </row>
    <row r="174">
      <c r="A174" s="9" t="n"/>
      <c r="B174" s="9" t="n"/>
      <c r="C174" s="9" t="n"/>
      <c r="D174" s="9" t="n"/>
      <c r="E174" s="8" t="n"/>
      <c r="F174" s="10" t="n"/>
      <c r="G174" s="8" t="n"/>
      <c r="H174" s="11">
        <f>IF(D174="","",IF(G174="",Setup!$B$5,G174)-E174)</f>
        <v/>
      </c>
      <c r="I174" s="6">
        <f>IF(D174="","",AND(LOWER(B174)="y",H174&gt;Setup!$B$4))</f>
        <v/>
      </c>
      <c r="J174" s="12">
        <f>IF(D174="","",IF(AND(I174=TRUE,G174=""),F174,0))</f>
        <v/>
      </c>
      <c r="K174" s="12">
        <f>IF(OR(D174="",G174=""),0,F174)</f>
        <v/>
      </c>
      <c r="L174" s="12">
        <f>IF(OR(D174="",G174=""),0,H174*F174)</f>
        <v/>
      </c>
    </row>
    <row r="175">
      <c r="A175" s="9" t="n"/>
      <c r="B175" s="9" t="n"/>
      <c r="C175" s="9" t="n"/>
      <c r="D175" s="9" t="n"/>
      <c r="E175" s="8" t="n"/>
      <c r="F175" s="10" t="n"/>
      <c r="G175" s="8" t="n"/>
      <c r="H175" s="11">
        <f>IF(D175="","",IF(G175="",Setup!$B$5,G175)-E175)</f>
        <v/>
      </c>
      <c r="I175" s="6">
        <f>IF(D175="","",AND(LOWER(B175)="y",H175&gt;Setup!$B$4))</f>
        <v/>
      </c>
      <c r="J175" s="12">
        <f>IF(D175="","",IF(AND(I175=TRUE,G175=""),F175,0))</f>
        <v/>
      </c>
      <c r="K175" s="12">
        <f>IF(OR(D175="",G175=""),0,F175)</f>
        <v/>
      </c>
      <c r="L175" s="12">
        <f>IF(OR(D175="",G175=""),0,H175*F175)</f>
        <v/>
      </c>
    </row>
    <row r="176">
      <c r="A176" s="9" t="n"/>
      <c r="B176" s="9" t="n"/>
      <c r="C176" s="9" t="n"/>
      <c r="D176" s="9" t="n"/>
      <c r="E176" s="8" t="n"/>
      <c r="F176" s="10" t="n"/>
      <c r="G176" s="8" t="n"/>
      <c r="H176" s="11">
        <f>IF(D176="","",IF(G176="",Setup!$B$5,G176)-E176)</f>
        <v/>
      </c>
      <c r="I176" s="6">
        <f>IF(D176="","",AND(LOWER(B176)="y",H176&gt;Setup!$B$4))</f>
        <v/>
      </c>
      <c r="J176" s="12">
        <f>IF(D176="","",IF(AND(I176=TRUE,G176=""),F176,0))</f>
        <v/>
      </c>
      <c r="K176" s="12">
        <f>IF(OR(D176="",G176=""),0,F176)</f>
        <v/>
      </c>
      <c r="L176" s="12">
        <f>IF(OR(D176="",G176=""),0,H176*F176)</f>
        <v/>
      </c>
    </row>
    <row r="177">
      <c r="A177" s="9" t="n"/>
      <c r="B177" s="9" t="n"/>
      <c r="C177" s="9" t="n"/>
      <c r="D177" s="9" t="n"/>
      <c r="E177" s="8" t="n"/>
      <c r="F177" s="10" t="n"/>
      <c r="G177" s="8" t="n"/>
      <c r="H177" s="11">
        <f>IF(D177="","",IF(G177="",Setup!$B$5,G177)-E177)</f>
        <v/>
      </c>
      <c r="I177" s="6">
        <f>IF(D177="","",AND(LOWER(B177)="y",H177&gt;Setup!$B$4))</f>
        <v/>
      </c>
      <c r="J177" s="12">
        <f>IF(D177="","",IF(AND(I177=TRUE,G177=""),F177,0))</f>
        <v/>
      </c>
      <c r="K177" s="12">
        <f>IF(OR(D177="",G177=""),0,F177)</f>
        <v/>
      </c>
      <c r="L177" s="12">
        <f>IF(OR(D177="",G177=""),0,H177*F177)</f>
        <v/>
      </c>
    </row>
    <row r="178">
      <c r="A178" s="9" t="n"/>
      <c r="B178" s="9" t="n"/>
      <c r="C178" s="9" t="n"/>
      <c r="D178" s="9" t="n"/>
      <c r="E178" s="8" t="n"/>
      <c r="F178" s="10" t="n"/>
      <c r="G178" s="8" t="n"/>
      <c r="H178" s="11">
        <f>IF(D178="","",IF(G178="",Setup!$B$5,G178)-E178)</f>
        <v/>
      </c>
      <c r="I178" s="6">
        <f>IF(D178="","",AND(LOWER(B178)="y",H178&gt;Setup!$B$4))</f>
        <v/>
      </c>
      <c r="J178" s="12">
        <f>IF(D178="","",IF(AND(I178=TRUE,G178=""),F178,0))</f>
        <v/>
      </c>
      <c r="K178" s="12">
        <f>IF(OR(D178="",G178=""),0,F178)</f>
        <v/>
      </c>
      <c r="L178" s="12">
        <f>IF(OR(D178="",G178=""),0,H178*F178)</f>
        <v/>
      </c>
    </row>
    <row r="179">
      <c r="A179" s="9" t="n"/>
      <c r="B179" s="9" t="n"/>
      <c r="C179" s="9" t="n"/>
      <c r="D179" s="9" t="n"/>
      <c r="E179" s="8" t="n"/>
      <c r="F179" s="10" t="n"/>
      <c r="G179" s="8" t="n"/>
      <c r="H179" s="11">
        <f>IF(D179="","",IF(G179="",Setup!$B$5,G179)-E179)</f>
        <v/>
      </c>
      <c r="I179" s="6">
        <f>IF(D179="","",AND(LOWER(B179)="y",H179&gt;Setup!$B$4))</f>
        <v/>
      </c>
      <c r="J179" s="12">
        <f>IF(D179="","",IF(AND(I179=TRUE,G179=""),F179,0))</f>
        <v/>
      </c>
      <c r="K179" s="12">
        <f>IF(OR(D179="",G179=""),0,F179)</f>
        <v/>
      </c>
      <c r="L179" s="12">
        <f>IF(OR(D179="",G179=""),0,H179*F179)</f>
        <v/>
      </c>
    </row>
    <row r="180">
      <c r="A180" s="9" t="n"/>
      <c r="B180" s="9" t="n"/>
      <c r="C180" s="9" t="n"/>
      <c r="D180" s="9" t="n"/>
      <c r="E180" s="8" t="n"/>
      <c r="F180" s="10" t="n"/>
      <c r="G180" s="8" t="n"/>
      <c r="H180" s="11">
        <f>IF(D180="","",IF(G180="",Setup!$B$5,G180)-E180)</f>
        <v/>
      </c>
      <c r="I180" s="6">
        <f>IF(D180="","",AND(LOWER(B180)="y",H180&gt;Setup!$B$4))</f>
        <v/>
      </c>
      <c r="J180" s="12">
        <f>IF(D180="","",IF(AND(I180=TRUE,G180=""),F180,0))</f>
        <v/>
      </c>
      <c r="K180" s="12">
        <f>IF(OR(D180="",G180=""),0,F180)</f>
        <v/>
      </c>
      <c r="L180" s="12">
        <f>IF(OR(D180="",G180=""),0,H180*F180)</f>
        <v/>
      </c>
    </row>
    <row r="181">
      <c r="A181" s="9" t="n"/>
      <c r="B181" s="9" t="n"/>
      <c r="C181" s="9" t="n"/>
      <c r="D181" s="9" t="n"/>
      <c r="E181" s="8" t="n"/>
      <c r="F181" s="10" t="n"/>
      <c r="G181" s="8" t="n"/>
      <c r="H181" s="11">
        <f>IF(D181="","",IF(G181="",Setup!$B$5,G181)-E181)</f>
        <v/>
      </c>
      <c r="I181" s="6">
        <f>IF(D181="","",AND(LOWER(B181)="y",H181&gt;Setup!$B$4))</f>
        <v/>
      </c>
      <c r="J181" s="12">
        <f>IF(D181="","",IF(AND(I181=TRUE,G181=""),F181,0))</f>
        <v/>
      </c>
      <c r="K181" s="12">
        <f>IF(OR(D181="",G181=""),0,F181)</f>
        <v/>
      </c>
      <c r="L181" s="12">
        <f>IF(OR(D181="",G181=""),0,H181*F181)</f>
        <v/>
      </c>
    </row>
    <row r="182">
      <c r="A182" s="9" t="n"/>
      <c r="B182" s="9" t="n"/>
      <c r="C182" s="9" t="n"/>
      <c r="D182" s="9" t="n"/>
      <c r="E182" s="8" t="n"/>
      <c r="F182" s="10" t="n"/>
      <c r="G182" s="8" t="n"/>
      <c r="H182" s="11">
        <f>IF(D182="","",IF(G182="",Setup!$B$5,G182)-E182)</f>
        <v/>
      </c>
      <c r="I182" s="6">
        <f>IF(D182="","",AND(LOWER(B182)="y",H182&gt;Setup!$B$4))</f>
        <v/>
      </c>
      <c r="J182" s="12">
        <f>IF(D182="","",IF(AND(I182=TRUE,G182=""),F182,0))</f>
        <v/>
      </c>
      <c r="K182" s="12">
        <f>IF(OR(D182="",G182=""),0,F182)</f>
        <v/>
      </c>
      <c r="L182" s="12">
        <f>IF(OR(D182="",G182=""),0,H182*F182)</f>
        <v/>
      </c>
    </row>
    <row r="183">
      <c r="A183" s="9" t="n"/>
      <c r="B183" s="9" t="n"/>
      <c r="C183" s="9" t="n"/>
      <c r="D183" s="9" t="n"/>
      <c r="E183" s="8" t="n"/>
      <c r="F183" s="10" t="n"/>
      <c r="G183" s="8" t="n"/>
      <c r="H183" s="11">
        <f>IF(D183="","",IF(G183="",Setup!$B$5,G183)-E183)</f>
        <v/>
      </c>
      <c r="I183" s="6">
        <f>IF(D183="","",AND(LOWER(B183)="y",H183&gt;Setup!$B$4))</f>
        <v/>
      </c>
      <c r="J183" s="12">
        <f>IF(D183="","",IF(AND(I183=TRUE,G183=""),F183,0))</f>
        <v/>
      </c>
      <c r="K183" s="12">
        <f>IF(OR(D183="",G183=""),0,F183)</f>
        <v/>
      </c>
      <c r="L183" s="12">
        <f>IF(OR(D183="",G183=""),0,H183*F183)</f>
        <v/>
      </c>
    </row>
    <row r="184">
      <c r="A184" s="9" t="n"/>
      <c r="B184" s="9" t="n"/>
      <c r="C184" s="9" t="n"/>
      <c r="D184" s="9" t="n"/>
      <c r="E184" s="8" t="n"/>
      <c r="F184" s="10" t="n"/>
      <c r="G184" s="8" t="n"/>
      <c r="H184" s="11">
        <f>IF(D184="","",IF(G184="",Setup!$B$5,G184)-E184)</f>
        <v/>
      </c>
      <c r="I184" s="6">
        <f>IF(D184="","",AND(LOWER(B184)="y",H184&gt;Setup!$B$4))</f>
        <v/>
      </c>
      <c r="J184" s="12">
        <f>IF(D184="","",IF(AND(I184=TRUE,G184=""),F184,0))</f>
        <v/>
      </c>
      <c r="K184" s="12">
        <f>IF(OR(D184="",G184=""),0,F184)</f>
        <v/>
      </c>
      <c r="L184" s="12">
        <f>IF(OR(D184="",G184=""),0,H184*F184)</f>
        <v/>
      </c>
    </row>
    <row r="185">
      <c r="A185" s="9" t="n"/>
      <c r="B185" s="9" t="n"/>
      <c r="C185" s="9" t="n"/>
      <c r="D185" s="9" t="n"/>
      <c r="E185" s="8" t="n"/>
      <c r="F185" s="10" t="n"/>
      <c r="G185" s="8" t="n"/>
      <c r="H185" s="11">
        <f>IF(D185="","",IF(G185="",Setup!$B$5,G185)-E185)</f>
        <v/>
      </c>
      <c r="I185" s="6">
        <f>IF(D185="","",AND(LOWER(B185)="y",H185&gt;Setup!$B$4))</f>
        <v/>
      </c>
      <c r="J185" s="12">
        <f>IF(D185="","",IF(AND(I185=TRUE,G185=""),F185,0))</f>
        <v/>
      </c>
      <c r="K185" s="12">
        <f>IF(OR(D185="",G185=""),0,F185)</f>
        <v/>
      </c>
      <c r="L185" s="12">
        <f>IF(OR(D185="",G185=""),0,H185*F185)</f>
        <v/>
      </c>
    </row>
    <row r="186">
      <c r="A186" s="9" t="n"/>
      <c r="B186" s="9" t="n"/>
      <c r="C186" s="9" t="n"/>
      <c r="D186" s="9" t="n"/>
      <c r="E186" s="8" t="n"/>
      <c r="F186" s="10" t="n"/>
      <c r="G186" s="8" t="n"/>
      <c r="H186" s="11">
        <f>IF(D186="","",IF(G186="",Setup!$B$5,G186)-E186)</f>
        <v/>
      </c>
      <c r="I186" s="6">
        <f>IF(D186="","",AND(LOWER(B186)="y",H186&gt;Setup!$B$4))</f>
        <v/>
      </c>
      <c r="J186" s="12">
        <f>IF(D186="","",IF(AND(I186=TRUE,G186=""),F186,0))</f>
        <v/>
      </c>
      <c r="K186" s="12">
        <f>IF(OR(D186="",G186=""),0,F186)</f>
        <v/>
      </c>
      <c r="L186" s="12">
        <f>IF(OR(D186="",G186=""),0,H186*F186)</f>
        <v/>
      </c>
    </row>
    <row r="187">
      <c r="A187" s="9" t="n"/>
      <c r="B187" s="9" t="n"/>
      <c r="C187" s="9" t="n"/>
      <c r="D187" s="9" t="n"/>
      <c r="E187" s="8" t="n"/>
      <c r="F187" s="10" t="n"/>
      <c r="G187" s="8" t="n"/>
      <c r="H187" s="11">
        <f>IF(D187="","",IF(G187="",Setup!$B$5,G187)-E187)</f>
        <v/>
      </c>
      <c r="I187" s="6">
        <f>IF(D187="","",AND(LOWER(B187)="y",H187&gt;Setup!$B$4))</f>
        <v/>
      </c>
      <c r="J187" s="12">
        <f>IF(D187="","",IF(AND(I187=TRUE,G187=""),F187,0))</f>
        <v/>
      </c>
      <c r="K187" s="12">
        <f>IF(OR(D187="",G187=""),0,F187)</f>
        <v/>
      </c>
      <c r="L187" s="12">
        <f>IF(OR(D187="",G187=""),0,H187*F187)</f>
        <v/>
      </c>
    </row>
    <row r="188">
      <c r="A188" s="9" t="n"/>
      <c r="B188" s="9" t="n"/>
      <c r="C188" s="9" t="n"/>
      <c r="D188" s="9" t="n"/>
      <c r="E188" s="8" t="n"/>
      <c r="F188" s="10" t="n"/>
      <c r="G188" s="8" t="n"/>
      <c r="H188" s="11">
        <f>IF(D188="","",IF(G188="",Setup!$B$5,G188)-E188)</f>
        <v/>
      </c>
      <c r="I188" s="6">
        <f>IF(D188="","",AND(LOWER(B188)="y",H188&gt;Setup!$B$4))</f>
        <v/>
      </c>
      <c r="J188" s="12">
        <f>IF(D188="","",IF(AND(I188=TRUE,G188=""),F188,0))</f>
        <v/>
      </c>
      <c r="K188" s="12">
        <f>IF(OR(D188="",G188=""),0,F188)</f>
        <v/>
      </c>
      <c r="L188" s="12">
        <f>IF(OR(D188="",G188=""),0,H188*F188)</f>
        <v/>
      </c>
    </row>
    <row r="189">
      <c r="A189" s="9" t="n"/>
      <c r="B189" s="9" t="n"/>
      <c r="C189" s="9" t="n"/>
      <c r="D189" s="9" t="n"/>
      <c r="E189" s="8" t="n"/>
      <c r="F189" s="10" t="n"/>
      <c r="G189" s="8" t="n"/>
      <c r="H189" s="11">
        <f>IF(D189="","",IF(G189="",Setup!$B$5,G189)-E189)</f>
        <v/>
      </c>
      <c r="I189" s="6">
        <f>IF(D189="","",AND(LOWER(B189)="y",H189&gt;Setup!$B$4))</f>
        <v/>
      </c>
      <c r="J189" s="12">
        <f>IF(D189="","",IF(AND(I189=TRUE,G189=""),F189,0))</f>
        <v/>
      </c>
      <c r="K189" s="12">
        <f>IF(OR(D189="",G189=""),0,F189)</f>
        <v/>
      </c>
      <c r="L189" s="12">
        <f>IF(OR(D189="",G189=""),0,H189*F189)</f>
        <v/>
      </c>
    </row>
    <row r="190">
      <c r="A190" s="9" t="n"/>
      <c r="B190" s="9" t="n"/>
      <c r="C190" s="9" t="n"/>
      <c r="D190" s="9" t="n"/>
      <c r="E190" s="8" t="n"/>
      <c r="F190" s="10" t="n"/>
      <c r="G190" s="8" t="n"/>
      <c r="H190" s="11">
        <f>IF(D190="","",IF(G190="",Setup!$B$5,G190)-E190)</f>
        <v/>
      </c>
      <c r="I190" s="6">
        <f>IF(D190="","",AND(LOWER(B190)="y",H190&gt;Setup!$B$4))</f>
        <v/>
      </c>
      <c r="J190" s="12">
        <f>IF(D190="","",IF(AND(I190=TRUE,G190=""),F190,0))</f>
        <v/>
      </c>
      <c r="K190" s="12">
        <f>IF(OR(D190="",G190=""),0,F190)</f>
        <v/>
      </c>
      <c r="L190" s="12">
        <f>IF(OR(D190="",G190=""),0,H190*F190)</f>
        <v/>
      </c>
    </row>
    <row r="191">
      <c r="A191" s="9" t="n"/>
      <c r="B191" s="9" t="n"/>
      <c r="C191" s="9" t="n"/>
      <c r="D191" s="9" t="n"/>
      <c r="E191" s="8" t="n"/>
      <c r="F191" s="10" t="n"/>
      <c r="G191" s="8" t="n"/>
      <c r="H191" s="11">
        <f>IF(D191="","",IF(G191="",Setup!$B$5,G191)-E191)</f>
        <v/>
      </c>
      <c r="I191" s="6">
        <f>IF(D191="","",AND(LOWER(B191)="y",H191&gt;Setup!$B$4))</f>
        <v/>
      </c>
      <c r="J191" s="12">
        <f>IF(D191="","",IF(AND(I191=TRUE,G191=""),F191,0))</f>
        <v/>
      </c>
      <c r="K191" s="12">
        <f>IF(OR(D191="",G191=""),0,F191)</f>
        <v/>
      </c>
      <c r="L191" s="12">
        <f>IF(OR(D191="",G191=""),0,H191*F191)</f>
        <v/>
      </c>
    </row>
    <row r="192">
      <c r="A192" s="9" t="n"/>
      <c r="B192" s="9" t="n"/>
      <c r="C192" s="9" t="n"/>
      <c r="D192" s="9" t="n"/>
      <c r="E192" s="8" t="n"/>
      <c r="F192" s="10" t="n"/>
      <c r="G192" s="8" t="n"/>
      <c r="H192" s="11">
        <f>IF(D192="","",IF(G192="",Setup!$B$5,G192)-E192)</f>
        <v/>
      </c>
      <c r="I192" s="6">
        <f>IF(D192="","",AND(LOWER(B192)="y",H192&gt;Setup!$B$4))</f>
        <v/>
      </c>
      <c r="J192" s="12">
        <f>IF(D192="","",IF(AND(I192=TRUE,G192=""),F192,0))</f>
        <v/>
      </c>
      <c r="K192" s="12">
        <f>IF(OR(D192="",G192=""),0,F192)</f>
        <v/>
      </c>
      <c r="L192" s="12">
        <f>IF(OR(D192="",G192=""),0,H192*F192)</f>
        <v/>
      </c>
    </row>
    <row r="193">
      <c r="A193" s="9" t="n"/>
      <c r="B193" s="9" t="n"/>
      <c r="C193" s="9" t="n"/>
      <c r="D193" s="9" t="n"/>
      <c r="E193" s="8" t="n"/>
      <c r="F193" s="10" t="n"/>
      <c r="G193" s="8" t="n"/>
      <c r="H193" s="11">
        <f>IF(D193="","",IF(G193="",Setup!$B$5,G193)-E193)</f>
        <v/>
      </c>
      <c r="I193" s="6">
        <f>IF(D193="","",AND(LOWER(B193)="y",H193&gt;Setup!$B$4))</f>
        <v/>
      </c>
      <c r="J193" s="12">
        <f>IF(D193="","",IF(AND(I193=TRUE,G193=""),F193,0))</f>
        <v/>
      </c>
      <c r="K193" s="12">
        <f>IF(OR(D193="",G193=""),0,F193)</f>
        <v/>
      </c>
      <c r="L193" s="12">
        <f>IF(OR(D193="",G193=""),0,H193*F193)</f>
        <v/>
      </c>
    </row>
    <row r="194">
      <c r="A194" s="9" t="n"/>
      <c r="B194" s="9" t="n"/>
      <c r="C194" s="9" t="n"/>
      <c r="D194" s="9" t="n"/>
      <c r="E194" s="8" t="n"/>
      <c r="F194" s="10" t="n"/>
      <c r="G194" s="8" t="n"/>
      <c r="H194" s="11">
        <f>IF(D194="","",IF(G194="",Setup!$B$5,G194)-E194)</f>
        <v/>
      </c>
      <c r="I194" s="6">
        <f>IF(D194="","",AND(LOWER(B194)="y",H194&gt;Setup!$B$4))</f>
        <v/>
      </c>
      <c r="J194" s="12">
        <f>IF(D194="","",IF(AND(I194=TRUE,G194=""),F194,0))</f>
        <v/>
      </c>
      <c r="K194" s="12">
        <f>IF(OR(D194="",G194=""),0,F194)</f>
        <v/>
      </c>
      <c r="L194" s="12">
        <f>IF(OR(D194="",G194=""),0,H194*F194)</f>
        <v/>
      </c>
    </row>
    <row r="195">
      <c r="A195" s="9" t="n"/>
      <c r="B195" s="9" t="n"/>
      <c r="C195" s="9" t="n"/>
      <c r="D195" s="9" t="n"/>
      <c r="E195" s="8" t="n"/>
      <c r="F195" s="10" t="n"/>
      <c r="G195" s="8" t="n"/>
      <c r="H195" s="11">
        <f>IF(D195="","",IF(G195="",Setup!$B$5,G195)-E195)</f>
        <v/>
      </c>
      <c r="I195" s="6">
        <f>IF(D195="","",AND(LOWER(B195)="y",H195&gt;Setup!$B$4))</f>
        <v/>
      </c>
      <c r="J195" s="12">
        <f>IF(D195="","",IF(AND(I195=TRUE,G195=""),F195,0))</f>
        <v/>
      </c>
      <c r="K195" s="12">
        <f>IF(OR(D195="",G195=""),0,F195)</f>
        <v/>
      </c>
      <c r="L195" s="12">
        <f>IF(OR(D195="",G195=""),0,H195*F195)</f>
        <v/>
      </c>
    </row>
    <row r="196">
      <c r="A196" s="9" t="n"/>
      <c r="B196" s="9" t="n"/>
      <c r="C196" s="9" t="n"/>
      <c r="D196" s="9" t="n"/>
      <c r="E196" s="8" t="n"/>
      <c r="F196" s="10" t="n"/>
      <c r="G196" s="8" t="n"/>
      <c r="H196" s="11">
        <f>IF(D196="","",IF(G196="",Setup!$B$5,G196)-E196)</f>
        <v/>
      </c>
      <c r="I196" s="6">
        <f>IF(D196="","",AND(LOWER(B196)="y",H196&gt;Setup!$B$4))</f>
        <v/>
      </c>
      <c r="J196" s="12">
        <f>IF(D196="","",IF(AND(I196=TRUE,G196=""),F196,0))</f>
        <v/>
      </c>
      <c r="K196" s="12">
        <f>IF(OR(D196="",G196=""),0,F196)</f>
        <v/>
      </c>
      <c r="L196" s="12">
        <f>IF(OR(D196="",G196=""),0,H196*F196)</f>
        <v/>
      </c>
    </row>
    <row r="197">
      <c r="A197" s="9" t="n"/>
      <c r="B197" s="9" t="n"/>
      <c r="C197" s="9" t="n"/>
      <c r="D197" s="9" t="n"/>
      <c r="E197" s="8" t="n"/>
      <c r="F197" s="10" t="n"/>
      <c r="G197" s="8" t="n"/>
      <c r="H197" s="11">
        <f>IF(D197="","",IF(G197="",Setup!$B$5,G197)-E197)</f>
        <v/>
      </c>
      <c r="I197" s="6">
        <f>IF(D197="","",AND(LOWER(B197)="y",H197&gt;Setup!$B$4))</f>
        <v/>
      </c>
      <c r="J197" s="12">
        <f>IF(D197="","",IF(AND(I197=TRUE,G197=""),F197,0))</f>
        <v/>
      </c>
      <c r="K197" s="12">
        <f>IF(OR(D197="",G197=""),0,F197)</f>
        <v/>
      </c>
      <c r="L197" s="12">
        <f>IF(OR(D197="",G197=""),0,H197*F197)</f>
        <v/>
      </c>
    </row>
    <row r="198">
      <c r="A198" s="9" t="n"/>
      <c r="B198" s="9" t="n"/>
      <c r="C198" s="9" t="n"/>
      <c r="D198" s="9" t="n"/>
      <c r="E198" s="8" t="n"/>
      <c r="F198" s="10" t="n"/>
      <c r="G198" s="8" t="n"/>
      <c r="H198" s="11">
        <f>IF(D198="","",IF(G198="",Setup!$B$5,G198)-E198)</f>
        <v/>
      </c>
      <c r="I198" s="6">
        <f>IF(D198="","",AND(LOWER(B198)="y",H198&gt;Setup!$B$4))</f>
        <v/>
      </c>
      <c r="J198" s="12">
        <f>IF(D198="","",IF(AND(I198=TRUE,G198=""),F198,0))</f>
        <v/>
      </c>
      <c r="K198" s="12">
        <f>IF(OR(D198="",G198=""),0,F198)</f>
        <v/>
      </c>
      <c r="L198" s="12">
        <f>IF(OR(D198="",G198=""),0,H198*F198)</f>
        <v/>
      </c>
    </row>
    <row r="199">
      <c r="A199" s="9" t="n"/>
      <c r="B199" s="9" t="n"/>
      <c r="C199" s="9" t="n"/>
      <c r="D199" s="9" t="n"/>
      <c r="E199" s="8" t="n"/>
      <c r="F199" s="10" t="n"/>
      <c r="G199" s="8" t="n"/>
      <c r="H199" s="11">
        <f>IF(D199="","",IF(G199="",Setup!$B$5,G199)-E199)</f>
        <v/>
      </c>
      <c r="I199" s="6">
        <f>IF(D199="","",AND(LOWER(B199)="y",H199&gt;Setup!$B$4))</f>
        <v/>
      </c>
      <c r="J199" s="12">
        <f>IF(D199="","",IF(AND(I199=TRUE,G199=""),F199,0))</f>
        <v/>
      </c>
      <c r="K199" s="12">
        <f>IF(OR(D199="",G199=""),0,F199)</f>
        <v/>
      </c>
      <c r="L199" s="12">
        <f>IF(OR(D199="",G199=""),0,H199*F199)</f>
        <v/>
      </c>
    </row>
    <row r="200">
      <c r="A200" s="9" t="n"/>
      <c r="B200" s="9" t="n"/>
      <c r="C200" s="9" t="n"/>
      <c r="D200" s="9" t="n"/>
      <c r="E200" s="8" t="n"/>
      <c r="F200" s="10" t="n"/>
      <c r="G200" s="8" t="n"/>
      <c r="H200" s="11">
        <f>IF(D200="","",IF(G200="",Setup!$B$5,G200)-E200)</f>
        <v/>
      </c>
      <c r="I200" s="6">
        <f>IF(D200="","",AND(LOWER(B200)="y",H200&gt;Setup!$B$4))</f>
        <v/>
      </c>
      <c r="J200" s="12">
        <f>IF(D200="","",IF(AND(I200=TRUE,G200=""),F200,0))</f>
        <v/>
      </c>
      <c r="K200" s="12">
        <f>IF(OR(D200="",G200=""),0,F200)</f>
        <v/>
      </c>
      <c r="L200" s="12">
        <f>IF(OR(D200="",G200=""),0,H200*F200)</f>
        <v/>
      </c>
    </row>
    <row r="201">
      <c r="A201" s="9" t="n"/>
      <c r="B201" s="9" t="n"/>
      <c r="C201" s="9" t="n"/>
      <c r="D201" s="9" t="n"/>
      <c r="E201" s="8" t="n"/>
      <c r="F201" s="10" t="n"/>
      <c r="G201" s="8" t="n"/>
      <c r="H201" s="11">
        <f>IF(D201="","",IF(G201="",Setup!$B$5,G201)-E201)</f>
        <v/>
      </c>
      <c r="I201" s="6">
        <f>IF(D201="","",AND(LOWER(B201)="y",H201&gt;Setup!$B$4))</f>
        <v/>
      </c>
      <c r="J201" s="12">
        <f>IF(D201="","",IF(AND(I201=TRUE,G201=""),F201,0))</f>
        <v/>
      </c>
      <c r="K201" s="12">
        <f>IF(OR(D201="",G201=""),0,F201)</f>
        <v/>
      </c>
      <c r="L201" s="12">
        <f>IF(OR(D201="",G201=""),0,H201*F201)</f>
        <v/>
      </c>
    </row>
    <row r="202">
      <c r="A202" s="9" t="n"/>
      <c r="B202" s="9" t="n"/>
      <c r="C202" s="9" t="n"/>
      <c r="D202" s="9" t="n"/>
      <c r="E202" s="8" t="n"/>
      <c r="F202" s="10" t="n"/>
      <c r="G202" s="8" t="n"/>
      <c r="H202" s="11">
        <f>IF(D202="","",IF(G202="",Setup!$B$5,G202)-E202)</f>
        <v/>
      </c>
      <c r="I202" s="6">
        <f>IF(D202="","",AND(LOWER(B202)="y",H202&gt;Setup!$B$4))</f>
        <v/>
      </c>
      <c r="J202" s="12">
        <f>IF(D202="","",IF(AND(I202=TRUE,G202=""),F202,0))</f>
        <v/>
      </c>
      <c r="K202" s="12">
        <f>IF(OR(D202="",G202=""),0,F202)</f>
        <v/>
      </c>
      <c r="L202" s="12">
        <f>IF(OR(D202="",G202=""),0,H202*F202)</f>
        <v/>
      </c>
    </row>
    <row r="203">
      <c r="A203" s="9" t="n"/>
      <c r="B203" s="9" t="n"/>
      <c r="C203" s="9" t="n"/>
      <c r="D203" s="9" t="n"/>
      <c r="E203" s="8" t="n"/>
      <c r="F203" s="10" t="n"/>
      <c r="G203" s="8" t="n"/>
      <c r="H203" s="11">
        <f>IF(D203="","",IF(G203="",Setup!$B$5,G203)-E203)</f>
        <v/>
      </c>
      <c r="I203" s="6">
        <f>IF(D203="","",AND(LOWER(B203)="y",H203&gt;Setup!$B$4))</f>
        <v/>
      </c>
      <c r="J203" s="12">
        <f>IF(D203="","",IF(AND(I203=TRUE,G203=""),F203,0))</f>
        <v/>
      </c>
      <c r="K203" s="12">
        <f>IF(OR(D203="",G203=""),0,F203)</f>
        <v/>
      </c>
      <c r="L203" s="12">
        <f>IF(OR(D203="",G203=""),0,H203*F203)</f>
        <v/>
      </c>
    </row>
    <row r="204">
      <c r="A204" s="9" t="n"/>
      <c r="B204" s="9" t="n"/>
      <c r="C204" s="9" t="n"/>
      <c r="D204" s="9" t="n"/>
      <c r="E204" s="8" t="n"/>
      <c r="F204" s="10" t="n"/>
      <c r="G204" s="8" t="n"/>
      <c r="H204" s="11">
        <f>IF(D204="","",IF(G204="",Setup!$B$5,G204)-E204)</f>
        <v/>
      </c>
      <c r="I204" s="6">
        <f>IF(D204="","",AND(LOWER(B204)="y",H204&gt;Setup!$B$4))</f>
        <v/>
      </c>
      <c r="J204" s="12">
        <f>IF(D204="","",IF(AND(I204=TRUE,G204=""),F204,0))</f>
        <v/>
      </c>
      <c r="K204" s="12">
        <f>IF(OR(D204="",G204=""),0,F204)</f>
        <v/>
      </c>
      <c r="L204" s="12">
        <f>IF(OR(D204="",G204=""),0,H204*F204)</f>
        <v/>
      </c>
    </row>
    <row r="205">
      <c r="A205" s="9" t="n"/>
      <c r="B205" s="9" t="n"/>
      <c r="C205" s="9" t="n"/>
      <c r="D205" s="9" t="n"/>
      <c r="E205" s="8" t="n"/>
      <c r="F205" s="10" t="n"/>
      <c r="G205" s="8" t="n"/>
      <c r="H205" s="11">
        <f>IF(D205="","",IF(G205="",Setup!$B$5,G205)-E205)</f>
        <v/>
      </c>
      <c r="I205" s="6">
        <f>IF(D205="","",AND(LOWER(B205)="y",H205&gt;Setup!$B$4))</f>
        <v/>
      </c>
      <c r="J205" s="12">
        <f>IF(D205="","",IF(AND(I205=TRUE,G205=""),F205,0))</f>
        <v/>
      </c>
      <c r="K205" s="12">
        <f>IF(OR(D205="",G205=""),0,F205)</f>
        <v/>
      </c>
      <c r="L205" s="12">
        <f>IF(OR(D205="",G205=""),0,H205*F205)</f>
        <v/>
      </c>
    </row>
    <row r="206">
      <c r="A206" s="9" t="n"/>
      <c r="B206" s="9" t="n"/>
      <c r="C206" s="9" t="n"/>
      <c r="D206" s="9" t="n"/>
      <c r="E206" s="8" t="n"/>
      <c r="F206" s="10" t="n"/>
      <c r="G206" s="8" t="n"/>
      <c r="H206" s="11">
        <f>IF(D206="","",IF(G206="",Setup!$B$5,G206)-E206)</f>
        <v/>
      </c>
      <c r="I206" s="6">
        <f>IF(D206="","",AND(LOWER(B206)="y",H206&gt;Setup!$B$4))</f>
        <v/>
      </c>
      <c r="J206" s="12">
        <f>IF(D206="","",IF(AND(I206=TRUE,G206=""),F206,0))</f>
        <v/>
      </c>
      <c r="K206" s="12">
        <f>IF(OR(D206="",G206=""),0,F206)</f>
        <v/>
      </c>
      <c r="L206" s="12">
        <f>IF(OR(D206="",G206=""),0,H206*F206)</f>
        <v/>
      </c>
    </row>
    <row r="207">
      <c r="A207" s="9" t="n"/>
      <c r="B207" s="9" t="n"/>
      <c r="C207" s="9" t="n"/>
      <c r="D207" s="9" t="n"/>
      <c r="E207" s="8" t="n"/>
      <c r="F207" s="10" t="n"/>
      <c r="G207" s="8" t="n"/>
      <c r="H207" s="11">
        <f>IF(D207="","",IF(G207="",Setup!$B$5,G207)-E207)</f>
        <v/>
      </c>
      <c r="I207" s="6">
        <f>IF(D207="","",AND(LOWER(B207)="y",H207&gt;Setup!$B$4))</f>
        <v/>
      </c>
      <c r="J207" s="12">
        <f>IF(D207="","",IF(AND(I207=TRUE,G207=""),F207,0))</f>
        <v/>
      </c>
      <c r="K207" s="12">
        <f>IF(OR(D207="",G207=""),0,F207)</f>
        <v/>
      </c>
      <c r="L207" s="12">
        <f>IF(OR(D207="",G207=""),0,H207*F207)</f>
        <v/>
      </c>
    </row>
    <row r="208">
      <c r="A208" s="9" t="n"/>
      <c r="B208" s="9" t="n"/>
      <c r="C208" s="9" t="n"/>
      <c r="D208" s="9" t="n"/>
      <c r="E208" s="8" t="n"/>
      <c r="F208" s="10" t="n"/>
      <c r="G208" s="8" t="n"/>
      <c r="H208" s="11">
        <f>IF(D208="","",IF(G208="",Setup!$B$5,G208)-E208)</f>
        <v/>
      </c>
      <c r="I208" s="6">
        <f>IF(D208="","",AND(LOWER(B208)="y",H208&gt;Setup!$B$4))</f>
        <v/>
      </c>
      <c r="J208" s="12">
        <f>IF(D208="","",IF(AND(I208=TRUE,G208=""),F208,0))</f>
        <v/>
      </c>
      <c r="K208" s="12">
        <f>IF(OR(D208="",G208=""),0,F208)</f>
        <v/>
      </c>
      <c r="L208" s="12">
        <f>IF(OR(D208="",G208=""),0,H208*F208)</f>
        <v/>
      </c>
    </row>
    <row r="209">
      <c r="A209" s="9" t="n"/>
      <c r="B209" s="9" t="n"/>
      <c r="C209" s="9" t="n"/>
      <c r="D209" s="9" t="n"/>
      <c r="E209" s="8" t="n"/>
      <c r="F209" s="10" t="n"/>
      <c r="G209" s="8" t="n"/>
      <c r="H209" s="11">
        <f>IF(D209="","",IF(G209="",Setup!$B$5,G209)-E209)</f>
        <v/>
      </c>
      <c r="I209" s="6">
        <f>IF(D209="","",AND(LOWER(B209)="y",H209&gt;Setup!$B$4))</f>
        <v/>
      </c>
      <c r="J209" s="12">
        <f>IF(D209="","",IF(AND(I209=TRUE,G209=""),F209,0))</f>
        <v/>
      </c>
      <c r="K209" s="12">
        <f>IF(OR(D209="",G209=""),0,F209)</f>
        <v/>
      </c>
      <c r="L209" s="12">
        <f>IF(OR(D209="",G209=""),0,H209*F209)</f>
        <v/>
      </c>
    </row>
    <row r="210">
      <c r="A210" s="9" t="n"/>
      <c r="B210" s="9" t="n"/>
      <c r="C210" s="9" t="n"/>
      <c r="D210" s="9" t="n"/>
      <c r="E210" s="8" t="n"/>
      <c r="F210" s="10" t="n"/>
      <c r="G210" s="8" t="n"/>
      <c r="H210" s="11">
        <f>IF(D210="","",IF(G210="",Setup!$B$5,G210)-E210)</f>
        <v/>
      </c>
      <c r="I210" s="6">
        <f>IF(D210="","",AND(LOWER(B210)="y",H210&gt;Setup!$B$4))</f>
        <v/>
      </c>
      <c r="J210" s="12">
        <f>IF(D210="","",IF(AND(I210=TRUE,G210=""),F210,0))</f>
        <v/>
      </c>
      <c r="K210" s="12">
        <f>IF(OR(D210="",G210=""),0,F210)</f>
        <v/>
      </c>
      <c r="L210" s="12">
        <f>IF(OR(D210="",G210=""),0,H210*F210)</f>
        <v/>
      </c>
    </row>
    <row r="211">
      <c r="A211" s="9" t="n"/>
      <c r="B211" s="9" t="n"/>
      <c r="C211" s="9" t="n"/>
      <c r="D211" s="9" t="n"/>
      <c r="E211" s="8" t="n"/>
      <c r="F211" s="10" t="n"/>
      <c r="G211" s="8" t="n"/>
      <c r="H211" s="11">
        <f>IF(D211="","",IF(G211="",Setup!$B$5,G211)-E211)</f>
        <v/>
      </c>
      <c r="I211" s="6">
        <f>IF(D211="","",AND(LOWER(B211)="y",H211&gt;Setup!$B$4))</f>
        <v/>
      </c>
      <c r="J211" s="12">
        <f>IF(D211="","",IF(AND(I211=TRUE,G211=""),F211,0))</f>
        <v/>
      </c>
      <c r="K211" s="12">
        <f>IF(OR(D211="",G211=""),0,F211)</f>
        <v/>
      </c>
      <c r="L211" s="12">
        <f>IF(OR(D211="",G211=""),0,H211*F211)</f>
        <v/>
      </c>
    </row>
    <row r="212">
      <c r="A212" s="9" t="n"/>
      <c r="B212" s="9" t="n"/>
      <c r="C212" s="9" t="n"/>
      <c r="D212" s="9" t="n"/>
      <c r="E212" s="8" t="n"/>
      <c r="F212" s="10" t="n"/>
      <c r="G212" s="8" t="n"/>
      <c r="H212" s="11">
        <f>IF(D212="","",IF(G212="",Setup!$B$5,G212)-E212)</f>
        <v/>
      </c>
      <c r="I212" s="6">
        <f>IF(D212="","",AND(LOWER(B212)="y",H212&gt;Setup!$B$4))</f>
        <v/>
      </c>
      <c r="J212" s="12">
        <f>IF(D212="","",IF(AND(I212=TRUE,G212=""),F212,0))</f>
        <v/>
      </c>
      <c r="K212" s="12">
        <f>IF(OR(D212="",G212=""),0,F212)</f>
        <v/>
      </c>
      <c r="L212" s="12">
        <f>IF(OR(D212="",G212=""),0,H212*F212)</f>
        <v/>
      </c>
    </row>
    <row r="213">
      <c r="A213" s="9" t="n"/>
      <c r="B213" s="9" t="n"/>
      <c r="C213" s="9" t="n"/>
      <c r="D213" s="9" t="n"/>
      <c r="E213" s="8" t="n"/>
      <c r="F213" s="10" t="n"/>
      <c r="G213" s="8" t="n"/>
      <c r="H213" s="11">
        <f>IF(D213="","",IF(G213="",Setup!$B$5,G213)-E213)</f>
        <v/>
      </c>
      <c r="I213" s="6">
        <f>IF(D213="","",AND(LOWER(B213)="y",H213&gt;Setup!$B$4))</f>
        <v/>
      </c>
      <c r="J213" s="12">
        <f>IF(D213="","",IF(AND(I213=TRUE,G213=""),F213,0))</f>
        <v/>
      </c>
      <c r="K213" s="12">
        <f>IF(OR(D213="",G213=""),0,F213)</f>
        <v/>
      </c>
      <c r="L213" s="12">
        <f>IF(OR(D213="",G213=""),0,H213*F213)</f>
        <v/>
      </c>
    </row>
    <row r="214">
      <c r="A214" s="9" t="n"/>
      <c r="B214" s="9" t="n"/>
      <c r="C214" s="9" t="n"/>
      <c r="D214" s="9" t="n"/>
      <c r="E214" s="8" t="n"/>
      <c r="F214" s="10" t="n"/>
      <c r="G214" s="8" t="n"/>
      <c r="H214" s="11">
        <f>IF(D214="","",IF(G214="",Setup!$B$5,G214)-E214)</f>
        <v/>
      </c>
      <c r="I214" s="6">
        <f>IF(D214="","",AND(LOWER(B214)="y",H214&gt;Setup!$B$4))</f>
        <v/>
      </c>
      <c r="J214" s="12">
        <f>IF(D214="","",IF(AND(I214=TRUE,G214=""),F214,0))</f>
        <v/>
      </c>
      <c r="K214" s="12">
        <f>IF(OR(D214="",G214=""),0,F214)</f>
        <v/>
      </c>
      <c r="L214" s="12">
        <f>IF(OR(D214="",G214=""),0,H214*F214)</f>
        <v/>
      </c>
    </row>
    <row r="215">
      <c r="A215" s="9" t="n"/>
      <c r="B215" s="9" t="n"/>
      <c r="C215" s="9" t="n"/>
      <c r="D215" s="9" t="n"/>
      <c r="E215" s="8" t="n"/>
      <c r="F215" s="10" t="n"/>
      <c r="G215" s="8" t="n"/>
      <c r="H215" s="11">
        <f>IF(D215="","",IF(G215="",Setup!$B$5,G215)-E215)</f>
        <v/>
      </c>
      <c r="I215" s="6">
        <f>IF(D215="","",AND(LOWER(B215)="y",H215&gt;Setup!$B$4))</f>
        <v/>
      </c>
      <c r="J215" s="12">
        <f>IF(D215="","",IF(AND(I215=TRUE,G215=""),F215,0))</f>
        <v/>
      </c>
      <c r="K215" s="12">
        <f>IF(OR(D215="",G215=""),0,F215)</f>
        <v/>
      </c>
      <c r="L215" s="12">
        <f>IF(OR(D215="",G215=""),0,H215*F215)</f>
        <v/>
      </c>
    </row>
    <row r="216">
      <c r="A216" s="9" t="n"/>
      <c r="B216" s="9" t="n"/>
      <c r="C216" s="9" t="n"/>
      <c r="D216" s="9" t="n"/>
      <c r="E216" s="8" t="n"/>
      <c r="F216" s="10" t="n"/>
      <c r="G216" s="8" t="n"/>
      <c r="H216" s="11">
        <f>IF(D216="","",IF(G216="",Setup!$B$5,G216)-E216)</f>
        <v/>
      </c>
      <c r="I216" s="6">
        <f>IF(D216="","",AND(LOWER(B216)="y",H216&gt;Setup!$B$4))</f>
        <v/>
      </c>
      <c r="J216" s="12">
        <f>IF(D216="","",IF(AND(I216=TRUE,G216=""),F216,0))</f>
        <v/>
      </c>
      <c r="K216" s="12">
        <f>IF(OR(D216="",G216=""),0,F216)</f>
        <v/>
      </c>
      <c r="L216" s="12">
        <f>IF(OR(D216="",G216=""),0,H216*F216)</f>
        <v/>
      </c>
    </row>
    <row r="217">
      <c r="A217" s="9" t="n"/>
      <c r="B217" s="9" t="n"/>
      <c r="C217" s="9" t="n"/>
      <c r="D217" s="9" t="n"/>
      <c r="E217" s="8" t="n"/>
      <c r="F217" s="10" t="n"/>
      <c r="G217" s="8" t="n"/>
      <c r="H217" s="11">
        <f>IF(D217="","",IF(G217="",Setup!$B$5,G217)-E217)</f>
        <v/>
      </c>
      <c r="I217" s="6">
        <f>IF(D217="","",AND(LOWER(B217)="y",H217&gt;Setup!$B$4))</f>
        <v/>
      </c>
      <c r="J217" s="12">
        <f>IF(D217="","",IF(AND(I217=TRUE,G217=""),F217,0))</f>
        <v/>
      </c>
      <c r="K217" s="12">
        <f>IF(OR(D217="",G217=""),0,F217)</f>
        <v/>
      </c>
      <c r="L217" s="12">
        <f>IF(OR(D217="",G217=""),0,H217*F217)</f>
        <v/>
      </c>
    </row>
    <row r="218">
      <c r="A218" s="9" t="n"/>
      <c r="B218" s="9" t="n"/>
      <c r="C218" s="9" t="n"/>
      <c r="D218" s="9" t="n"/>
      <c r="E218" s="8" t="n"/>
      <c r="F218" s="10" t="n"/>
      <c r="G218" s="8" t="n"/>
      <c r="H218" s="11">
        <f>IF(D218="","",IF(G218="",Setup!$B$5,G218)-E218)</f>
        <v/>
      </c>
      <c r="I218" s="6">
        <f>IF(D218="","",AND(LOWER(B218)="y",H218&gt;Setup!$B$4))</f>
        <v/>
      </c>
      <c r="J218" s="12">
        <f>IF(D218="","",IF(AND(I218=TRUE,G218=""),F218,0))</f>
        <v/>
      </c>
      <c r="K218" s="12">
        <f>IF(OR(D218="",G218=""),0,F218)</f>
        <v/>
      </c>
      <c r="L218" s="12">
        <f>IF(OR(D218="",G218=""),0,H218*F218)</f>
        <v/>
      </c>
    </row>
    <row r="219">
      <c r="A219" s="9" t="n"/>
      <c r="B219" s="9" t="n"/>
      <c r="C219" s="9" t="n"/>
      <c r="D219" s="9" t="n"/>
      <c r="E219" s="8" t="n"/>
      <c r="F219" s="10" t="n"/>
      <c r="G219" s="8" t="n"/>
      <c r="H219" s="11">
        <f>IF(D219="","",IF(G219="",Setup!$B$5,G219)-E219)</f>
        <v/>
      </c>
      <c r="I219" s="6">
        <f>IF(D219="","",AND(LOWER(B219)="y",H219&gt;Setup!$B$4))</f>
        <v/>
      </c>
      <c r="J219" s="12">
        <f>IF(D219="","",IF(AND(I219=TRUE,G219=""),F219,0))</f>
        <v/>
      </c>
      <c r="K219" s="12">
        <f>IF(OR(D219="",G219=""),0,F219)</f>
        <v/>
      </c>
      <c r="L219" s="12">
        <f>IF(OR(D219="",G219=""),0,H219*F219)</f>
        <v/>
      </c>
    </row>
    <row r="220">
      <c r="A220" s="9" t="n"/>
      <c r="B220" s="9" t="n"/>
      <c r="C220" s="9" t="n"/>
      <c r="D220" s="9" t="n"/>
      <c r="E220" s="8" t="n"/>
      <c r="F220" s="10" t="n"/>
      <c r="G220" s="8" t="n"/>
      <c r="H220" s="11">
        <f>IF(D220="","",IF(G220="",Setup!$B$5,G220)-E220)</f>
        <v/>
      </c>
      <c r="I220" s="6">
        <f>IF(D220="","",AND(LOWER(B220)="y",H220&gt;Setup!$B$4))</f>
        <v/>
      </c>
      <c r="J220" s="12">
        <f>IF(D220="","",IF(AND(I220=TRUE,G220=""),F220,0))</f>
        <v/>
      </c>
      <c r="K220" s="12">
        <f>IF(OR(D220="",G220=""),0,F220)</f>
        <v/>
      </c>
      <c r="L220" s="12">
        <f>IF(OR(D220="",G220=""),0,H220*F220)</f>
        <v/>
      </c>
    </row>
    <row r="221">
      <c r="A221" s="9" t="n"/>
      <c r="B221" s="9" t="n"/>
      <c r="C221" s="9" t="n"/>
      <c r="D221" s="9" t="n"/>
      <c r="E221" s="8" t="n"/>
      <c r="F221" s="10" t="n"/>
      <c r="G221" s="8" t="n"/>
      <c r="H221" s="11">
        <f>IF(D221="","",IF(G221="",Setup!$B$5,G221)-E221)</f>
        <v/>
      </c>
      <c r="I221" s="6">
        <f>IF(D221="","",AND(LOWER(B221)="y",H221&gt;Setup!$B$4))</f>
        <v/>
      </c>
      <c r="J221" s="12">
        <f>IF(D221="","",IF(AND(I221=TRUE,G221=""),F221,0))</f>
        <v/>
      </c>
      <c r="K221" s="12">
        <f>IF(OR(D221="",G221=""),0,F221)</f>
        <v/>
      </c>
      <c r="L221" s="12">
        <f>IF(OR(D221="",G221=""),0,H221*F221)</f>
        <v/>
      </c>
    </row>
    <row r="222">
      <c r="A222" s="9" t="n"/>
      <c r="B222" s="9" t="n"/>
      <c r="C222" s="9" t="n"/>
      <c r="D222" s="9" t="n"/>
      <c r="E222" s="8" t="n"/>
      <c r="F222" s="10" t="n"/>
      <c r="G222" s="8" t="n"/>
      <c r="H222" s="11">
        <f>IF(D222="","",IF(G222="",Setup!$B$5,G222)-E222)</f>
        <v/>
      </c>
      <c r="I222" s="6">
        <f>IF(D222="","",AND(LOWER(B222)="y",H222&gt;Setup!$B$4))</f>
        <v/>
      </c>
      <c r="J222" s="12">
        <f>IF(D222="","",IF(AND(I222=TRUE,G222=""),F222,0))</f>
        <v/>
      </c>
      <c r="K222" s="12">
        <f>IF(OR(D222="",G222=""),0,F222)</f>
        <v/>
      </c>
      <c r="L222" s="12">
        <f>IF(OR(D222="",G222=""),0,H222*F222)</f>
        <v/>
      </c>
    </row>
    <row r="223">
      <c r="A223" s="9" t="n"/>
      <c r="B223" s="9" t="n"/>
      <c r="C223" s="9" t="n"/>
      <c r="D223" s="9" t="n"/>
      <c r="E223" s="8" t="n"/>
      <c r="F223" s="10" t="n"/>
      <c r="G223" s="8" t="n"/>
      <c r="H223" s="11">
        <f>IF(D223="","",IF(G223="",Setup!$B$5,G223)-E223)</f>
        <v/>
      </c>
      <c r="I223" s="6">
        <f>IF(D223="","",AND(LOWER(B223)="y",H223&gt;Setup!$B$4))</f>
        <v/>
      </c>
      <c r="J223" s="12">
        <f>IF(D223="","",IF(AND(I223=TRUE,G223=""),F223,0))</f>
        <v/>
      </c>
      <c r="K223" s="12">
        <f>IF(OR(D223="",G223=""),0,F223)</f>
        <v/>
      </c>
      <c r="L223" s="12">
        <f>IF(OR(D223="",G223=""),0,H223*F223)</f>
        <v/>
      </c>
    </row>
    <row r="224">
      <c r="A224" s="9" t="n"/>
      <c r="B224" s="9" t="n"/>
      <c r="C224" s="9" t="n"/>
      <c r="D224" s="9" t="n"/>
      <c r="E224" s="8" t="n"/>
      <c r="F224" s="10" t="n"/>
      <c r="G224" s="8" t="n"/>
      <c r="H224" s="11">
        <f>IF(D224="","",IF(G224="",Setup!$B$5,G224)-E224)</f>
        <v/>
      </c>
      <c r="I224" s="6">
        <f>IF(D224="","",AND(LOWER(B224)="y",H224&gt;Setup!$B$4))</f>
        <v/>
      </c>
      <c r="J224" s="12">
        <f>IF(D224="","",IF(AND(I224=TRUE,G224=""),F224,0))</f>
        <v/>
      </c>
      <c r="K224" s="12">
        <f>IF(OR(D224="",G224=""),0,F224)</f>
        <v/>
      </c>
      <c r="L224" s="12">
        <f>IF(OR(D224="",G224=""),0,H224*F224)</f>
        <v/>
      </c>
    </row>
    <row r="225">
      <c r="A225" s="9" t="n"/>
      <c r="B225" s="9" t="n"/>
      <c r="C225" s="9" t="n"/>
      <c r="D225" s="9" t="n"/>
      <c r="E225" s="8" t="n"/>
      <c r="F225" s="10" t="n"/>
      <c r="G225" s="8" t="n"/>
      <c r="H225" s="11">
        <f>IF(D225="","",IF(G225="",Setup!$B$5,G225)-E225)</f>
        <v/>
      </c>
      <c r="I225" s="6">
        <f>IF(D225="","",AND(LOWER(B225)="y",H225&gt;Setup!$B$4))</f>
        <v/>
      </c>
      <c r="J225" s="12">
        <f>IF(D225="","",IF(AND(I225=TRUE,G225=""),F225,0))</f>
        <v/>
      </c>
      <c r="K225" s="12">
        <f>IF(OR(D225="",G225=""),0,F225)</f>
        <v/>
      </c>
      <c r="L225" s="12">
        <f>IF(OR(D225="",G225=""),0,H225*F225)</f>
        <v/>
      </c>
    </row>
    <row r="226">
      <c r="A226" s="9" t="n"/>
      <c r="B226" s="9" t="n"/>
      <c r="C226" s="9" t="n"/>
      <c r="D226" s="9" t="n"/>
      <c r="E226" s="8" t="n"/>
      <c r="F226" s="10" t="n"/>
      <c r="G226" s="8" t="n"/>
      <c r="H226" s="11">
        <f>IF(D226="","",IF(G226="",Setup!$B$5,G226)-E226)</f>
        <v/>
      </c>
      <c r="I226" s="6">
        <f>IF(D226="","",AND(LOWER(B226)="y",H226&gt;Setup!$B$4))</f>
        <v/>
      </c>
      <c r="J226" s="12">
        <f>IF(D226="","",IF(AND(I226=TRUE,G226=""),F226,0))</f>
        <v/>
      </c>
      <c r="K226" s="12">
        <f>IF(OR(D226="",G226=""),0,F226)</f>
        <v/>
      </c>
      <c r="L226" s="12">
        <f>IF(OR(D226="",G226=""),0,H226*F226)</f>
        <v/>
      </c>
    </row>
    <row r="227">
      <c r="A227" s="9" t="n"/>
      <c r="B227" s="9" t="n"/>
      <c r="C227" s="9" t="n"/>
      <c r="D227" s="9" t="n"/>
      <c r="E227" s="8" t="n"/>
      <c r="F227" s="10" t="n"/>
      <c r="G227" s="8" t="n"/>
      <c r="H227" s="11">
        <f>IF(D227="","",IF(G227="",Setup!$B$5,G227)-E227)</f>
        <v/>
      </c>
      <c r="I227" s="6">
        <f>IF(D227="","",AND(LOWER(B227)="y",H227&gt;Setup!$B$4))</f>
        <v/>
      </c>
      <c r="J227" s="12">
        <f>IF(D227="","",IF(AND(I227=TRUE,G227=""),F227,0))</f>
        <v/>
      </c>
      <c r="K227" s="12">
        <f>IF(OR(D227="",G227=""),0,F227)</f>
        <v/>
      </c>
      <c r="L227" s="12">
        <f>IF(OR(D227="",G227=""),0,H227*F227)</f>
        <v/>
      </c>
    </row>
    <row r="228">
      <c r="A228" s="9" t="n"/>
      <c r="B228" s="9" t="n"/>
      <c r="C228" s="9" t="n"/>
      <c r="D228" s="9" t="n"/>
      <c r="E228" s="8" t="n"/>
      <c r="F228" s="10" t="n"/>
      <c r="G228" s="8" t="n"/>
      <c r="H228" s="11">
        <f>IF(D228="","",IF(G228="",Setup!$B$5,G228)-E228)</f>
        <v/>
      </c>
      <c r="I228" s="6">
        <f>IF(D228="","",AND(LOWER(B228)="y",H228&gt;Setup!$B$4))</f>
        <v/>
      </c>
      <c r="J228" s="12">
        <f>IF(D228="","",IF(AND(I228=TRUE,G228=""),F228,0))</f>
        <v/>
      </c>
      <c r="K228" s="12">
        <f>IF(OR(D228="",G228=""),0,F228)</f>
        <v/>
      </c>
      <c r="L228" s="12">
        <f>IF(OR(D228="",G228=""),0,H228*F228)</f>
        <v/>
      </c>
    </row>
    <row r="229">
      <c r="A229" s="9" t="n"/>
      <c r="B229" s="9" t="n"/>
      <c r="C229" s="9" t="n"/>
      <c r="D229" s="9" t="n"/>
      <c r="E229" s="8" t="n"/>
      <c r="F229" s="10" t="n"/>
      <c r="G229" s="8" t="n"/>
      <c r="H229" s="11">
        <f>IF(D229="","",IF(G229="",Setup!$B$5,G229)-E229)</f>
        <v/>
      </c>
      <c r="I229" s="6">
        <f>IF(D229="","",AND(LOWER(B229)="y",H229&gt;Setup!$B$4))</f>
        <v/>
      </c>
      <c r="J229" s="12">
        <f>IF(D229="","",IF(AND(I229=TRUE,G229=""),F229,0))</f>
        <v/>
      </c>
      <c r="K229" s="12">
        <f>IF(OR(D229="",G229=""),0,F229)</f>
        <v/>
      </c>
      <c r="L229" s="12">
        <f>IF(OR(D229="",G229=""),0,H229*F229)</f>
        <v/>
      </c>
    </row>
    <row r="230">
      <c r="A230" s="9" t="n"/>
      <c r="B230" s="9" t="n"/>
      <c r="C230" s="9" t="n"/>
      <c r="D230" s="9" t="n"/>
      <c r="E230" s="8" t="n"/>
      <c r="F230" s="10" t="n"/>
      <c r="G230" s="8" t="n"/>
      <c r="H230" s="11">
        <f>IF(D230="","",IF(G230="",Setup!$B$5,G230)-E230)</f>
        <v/>
      </c>
      <c r="I230" s="6">
        <f>IF(D230="","",AND(LOWER(B230)="y",H230&gt;Setup!$B$4))</f>
        <v/>
      </c>
      <c r="J230" s="12">
        <f>IF(D230="","",IF(AND(I230=TRUE,G230=""),F230,0))</f>
        <v/>
      </c>
      <c r="K230" s="12">
        <f>IF(OR(D230="",G230=""),0,F230)</f>
        <v/>
      </c>
      <c r="L230" s="12">
        <f>IF(OR(D230="",G230=""),0,H230*F230)</f>
        <v/>
      </c>
    </row>
    <row r="231">
      <c r="A231" s="9" t="n"/>
      <c r="B231" s="9" t="n"/>
      <c r="C231" s="9" t="n"/>
      <c r="D231" s="9" t="n"/>
      <c r="E231" s="8" t="n"/>
      <c r="F231" s="10" t="n"/>
      <c r="G231" s="8" t="n"/>
      <c r="H231" s="11">
        <f>IF(D231="","",IF(G231="",Setup!$B$5,G231)-E231)</f>
        <v/>
      </c>
      <c r="I231" s="6">
        <f>IF(D231="","",AND(LOWER(B231)="y",H231&gt;Setup!$B$4))</f>
        <v/>
      </c>
      <c r="J231" s="12">
        <f>IF(D231="","",IF(AND(I231=TRUE,G231=""),F231,0))</f>
        <v/>
      </c>
      <c r="K231" s="12">
        <f>IF(OR(D231="",G231=""),0,F231)</f>
        <v/>
      </c>
      <c r="L231" s="12">
        <f>IF(OR(D231="",G231=""),0,H231*F231)</f>
        <v/>
      </c>
    </row>
    <row r="232">
      <c r="A232" s="9" t="n"/>
      <c r="B232" s="9" t="n"/>
      <c r="C232" s="9" t="n"/>
      <c r="D232" s="9" t="n"/>
      <c r="E232" s="8" t="n"/>
      <c r="F232" s="10" t="n"/>
      <c r="G232" s="8" t="n"/>
      <c r="H232" s="11">
        <f>IF(D232="","",IF(G232="",Setup!$B$5,G232)-E232)</f>
        <v/>
      </c>
      <c r="I232" s="6">
        <f>IF(D232="","",AND(LOWER(B232)="y",H232&gt;Setup!$B$4))</f>
        <v/>
      </c>
      <c r="J232" s="12">
        <f>IF(D232="","",IF(AND(I232=TRUE,G232=""),F232,0))</f>
        <v/>
      </c>
      <c r="K232" s="12">
        <f>IF(OR(D232="",G232=""),0,F232)</f>
        <v/>
      </c>
      <c r="L232" s="12">
        <f>IF(OR(D232="",G232=""),0,H232*F232)</f>
        <v/>
      </c>
    </row>
    <row r="233">
      <c r="A233" s="9" t="n"/>
      <c r="B233" s="9" t="n"/>
      <c r="C233" s="9" t="n"/>
      <c r="D233" s="9" t="n"/>
      <c r="E233" s="8" t="n"/>
      <c r="F233" s="10" t="n"/>
      <c r="G233" s="8" t="n"/>
      <c r="H233" s="11">
        <f>IF(D233="","",IF(G233="",Setup!$B$5,G233)-E233)</f>
        <v/>
      </c>
      <c r="I233" s="6">
        <f>IF(D233="","",AND(LOWER(B233)="y",H233&gt;Setup!$B$4))</f>
        <v/>
      </c>
      <c r="J233" s="12">
        <f>IF(D233="","",IF(AND(I233=TRUE,G233=""),F233,0))</f>
        <v/>
      </c>
      <c r="K233" s="12">
        <f>IF(OR(D233="",G233=""),0,F233)</f>
        <v/>
      </c>
      <c r="L233" s="12">
        <f>IF(OR(D233="",G233=""),0,H233*F233)</f>
        <v/>
      </c>
    </row>
    <row r="234">
      <c r="A234" s="9" t="n"/>
      <c r="B234" s="9" t="n"/>
      <c r="C234" s="9" t="n"/>
      <c r="D234" s="9" t="n"/>
      <c r="E234" s="8" t="n"/>
      <c r="F234" s="10" t="n"/>
      <c r="G234" s="8" t="n"/>
      <c r="H234" s="11">
        <f>IF(D234="","",IF(G234="",Setup!$B$5,G234)-E234)</f>
        <v/>
      </c>
      <c r="I234" s="6">
        <f>IF(D234="","",AND(LOWER(B234)="y",H234&gt;Setup!$B$4))</f>
        <v/>
      </c>
      <c r="J234" s="12">
        <f>IF(D234="","",IF(AND(I234=TRUE,G234=""),F234,0))</f>
        <v/>
      </c>
      <c r="K234" s="12">
        <f>IF(OR(D234="",G234=""),0,F234)</f>
        <v/>
      </c>
      <c r="L234" s="12">
        <f>IF(OR(D234="",G234=""),0,H234*F234)</f>
        <v/>
      </c>
    </row>
    <row r="235">
      <c r="A235" s="9" t="n"/>
      <c r="B235" s="9" t="n"/>
      <c r="C235" s="9" t="n"/>
      <c r="D235" s="9" t="n"/>
      <c r="E235" s="8" t="n"/>
      <c r="F235" s="10" t="n"/>
      <c r="G235" s="8" t="n"/>
      <c r="H235" s="11">
        <f>IF(D235="","",IF(G235="",Setup!$B$5,G235)-E235)</f>
        <v/>
      </c>
      <c r="I235" s="6">
        <f>IF(D235="","",AND(LOWER(B235)="y",H235&gt;Setup!$B$4))</f>
        <v/>
      </c>
      <c r="J235" s="12">
        <f>IF(D235="","",IF(AND(I235=TRUE,G235=""),F235,0))</f>
        <v/>
      </c>
      <c r="K235" s="12">
        <f>IF(OR(D235="",G235=""),0,F235)</f>
        <v/>
      </c>
      <c r="L235" s="12">
        <f>IF(OR(D235="",G235=""),0,H235*F235)</f>
        <v/>
      </c>
    </row>
    <row r="236">
      <c r="A236" s="9" t="n"/>
      <c r="B236" s="9" t="n"/>
      <c r="C236" s="9" t="n"/>
      <c r="D236" s="9" t="n"/>
      <c r="E236" s="8" t="n"/>
      <c r="F236" s="10" t="n"/>
      <c r="G236" s="8" t="n"/>
      <c r="H236" s="11">
        <f>IF(D236="","",IF(G236="",Setup!$B$5,G236)-E236)</f>
        <v/>
      </c>
      <c r="I236" s="6">
        <f>IF(D236="","",AND(LOWER(B236)="y",H236&gt;Setup!$B$4))</f>
        <v/>
      </c>
      <c r="J236" s="12">
        <f>IF(D236="","",IF(AND(I236=TRUE,G236=""),F236,0))</f>
        <v/>
      </c>
      <c r="K236" s="12">
        <f>IF(OR(D236="",G236=""),0,F236)</f>
        <v/>
      </c>
      <c r="L236" s="12">
        <f>IF(OR(D236="",G236=""),0,H236*F236)</f>
        <v/>
      </c>
    </row>
    <row r="237">
      <c r="A237" s="9" t="n"/>
      <c r="B237" s="9" t="n"/>
      <c r="C237" s="9" t="n"/>
      <c r="D237" s="9" t="n"/>
      <c r="E237" s="8" t="n"/>
      <c r="F237" s="10" t="n"/>
      <c r="G237" s="8" t="n"/>
      <c r="H237" s="11">
        <f>IF(D237="","",IF(G237="",Setup!$B$5,G237)-E237)</f>
        <v/>
      </c>
      <c r="I237" s="6">
        <f>IF(D237="","",AND(LOWER(B237)="y",H237&gt;Setup!$B$4))</f>
        <v/>
      </c>
      <c r="J237" s="12">
        <f>IF(D237="","",IF(AND(I237=TRUE,G237=""),F237,0))</f>
        <v/>
      </c>
      <c r="K237" s="12">
        <f>IF(OR(D237="",G237=""),0,F237)</f>
        <v/>
      </c>
      <c r="L237" s="12">
        <f>IF(OR(D237="",G237=""),0,H237*F237)</f>
        <v/>
      </c>
    </row>
    <row r="238">
      <c r="A238" s="9" t="n"/>
      <c r="B238" s="9" t="n"/>
      <c r="C238" s="9" t="n"/>
      <c r="D238" s="9" t="n"/>
      <c r="E238" s="8" t="n"/>
      <c r="F238" s="10" t="n"/>
      <c r="G238" s="8" t="n"/>
      <c r="H238" s="11">
        <f>IF(D238="","",IF(G238="",Setup!$B$5,G238)-E238)</f>
        <v/>
      </c>
      <c r="I238" s="6">
        <f>IF(D238="","",AND(LOWER(B238)="y",H238&gt;Setup!$B$4))</f>
        <v/>
      </c>
      <c r="J238" s="12">
        <f>IF(D238="","",IF(AND(I238=TRUE,G238=""),F238,0))</f>
        <v/>
      </c>
      <c r="K238" s="12">
        <f>IF(OR(D238="",G238=""),0,F238)</f>
        <v/>
      </c>
      <c r="L238" s="12">
        <f>IF(OR(D238="",G238=""),0,H238*F238)</f>
        <v/>
      </c>
    </row>
    <row r="239">
      <c r="A239" s="9" t="n"/>
      <c r="B239" s="9" t="n"/>
      <c r="C239" s="9" t="n"/>
      <c r="D239" s="9" t="n"/>
      <c r="E239" s="8" t="n"/>
      <c r="F239" s="10" t="n"/>
      <c r="G239" s="8" t="n"/>
      <c r="H239" s="11">
        <f>IF(D239="","",IF(G239="",Setup!$B$5,G239)-E239)</f>
        <v/>
      </c>
      <c r="I239" s="6">
        <f>IF(D239="","",AND(LOWER(B239)="y",H239&gt;Setup!$B$4))</f>
        <v/>
      </c>
      <c r="J239" s="12">
        <f>IF(D239="","",IF(AND(I239=TRUE,G239=""),F239,0))</f>
        <v/>
      </c>
      <c r="K239" s="12">
        <f>IF(OR(D239="",G239=""),0,F239)</f>
        <v/>
      </c>
      <c r="L239" s="12">
        <f>IF(OR(D239="",G239=""),0,H239*F239)</f>
        <v/>
      </c>
    </row>
    <row r="240">
      <c r="A240" s="9" t="n"/>
      <c r="B240" s="9" t="n"/>
      <c r="C240" s="9" t="n"/>
      <c r="D240" s="9" t="n"/>
      <c r="E240" s="8" t="n"/>
      <c r="F240" s="10" t="n"/>
      <c r="G240" s="8" t="n"/>
      <c r="H240" s="11">
        <f>IF(D240="","",IF(G240="",Setup!$B$5,G240)-E240)</f>
        <v/>
      </c>
      <c r="I240" s="6">
        <f>IF(D240="","",AND(LOWER(B240)="y",H240&gt;Setup!$B$4))</f>
        <v/>
      </c>
      <c r="J240" s="12">
        <f>IF(D240="","",IF(AND(I240=TRUE,G240=""),F240,0))</f>
        <v/>
      </c>
      <c r="K240" s="12">
        <f>IF(OR(D240="",G240=""),0,F240)</f>
        <v/>
      </c>
      <c r="L240" s="12">
        <f>IF(OR(D240="",G240=""),0,H240*F240)</f>
        <v/>
      </c>
    </row>
    <row r="241">
      <c r="A241" s="9" t="n"/>
      <c r="B241" s="9" t="n"/>
      <c r="C241" s="9" t="n"/>
      <c r="D241" s="9" t="n"/>
      <c r="E241" s="8" t="n"/>
      <c r="F241" s="10" t="n"/>
      <c r="G241" s="8" t="n"/>
      <c r="H241" s="11">
        <f>IF(D241="","",IF(G241="",Setup!$B$5,G241)-E241)</f>
        <v/>
      </c>
      <c r="I241" s="6">
        <f>IF(D241="","",AND(LOWER(B241)="y",H241&gt;Setup!$B$4))</f>
        <v/>
      </c>
      <c r="J241" s="12">
        <f>IF(D241="","",IF(AND(I241=TRUE,G241=""),F241,0))</f>
        <v/>
      </c>
      <c r="K241" s="12">
        <f>IF(OR(D241="",G241=""),0,F241)</f>
        <v/>
      </c>
      <c r="L241" s="12">
        <f>IF(OR(D241="",G241=""),0,H241*F241)</f>
        <v/>
      </c>
    </row>
    <row r="242">
      <c r="A242" s="9" t="n"/>
      <c r="B242" s="9" t="n"/>
      <c r="C242" s="9" t="n"/>
      <c r="D242" s="9" t="n"/>
      <c r="E242" s="8" t="n"/>
      <c r="F242" s="10" t="n"/>
      <c r="G242" s="8" t="n"/>
      <c r="H242" s="11">
        <f>IF(D242="","",IF(G242="",Setup!$B$5,G242)-E242)</f>
        <v/>
      </c>
      <c r="I242" s="6">
        <f>IF(D242="","",AND(LOWER(B242)="y",H242&gt;Setup!$B$4))</f>
        <v/>
      </c>
      <c r="J242" s="12">
        <f>IF(D242="","",IF(AND(I242=TRUE,G242=""),F242,0))</f>
        <v/>
      </c>
      <c r="K242" s="12">
        <f>IF(OR(D242="",G242=""),0,F242)</f>
        <v/>
      </c>
      <c r="L242" s="12">
        <f>IF(OR(D242="",G242=""),0,H242*F242)</f>
        <v/>
      </c>
    </row>
    <row r="243">
      <c r="A243" s="9" t="n"/>
      <c r="B243" s="9" t="n"/>
      <c r="C243" s="9" t="n"/>
      <c r="D243" s="9" t="n"/>
      <c r="E243" s="8" t="n"/>
      <c r="F243" s="10" t="n"/>
      <c r="G243" s="8" t="n"/>
      <c r="H243" s="11">
        <f>IF(D243="","",IF(G243="",Setup!$B$5,G243)-E243)</f>
        <v/>
      </c>
      <c r="I243" s="6">
        <f>IF(D243="","",AND(LOWER(B243)="y",H243&gt;Setup!$B$4))</f>
        <v/>
      </c>
      <c r="J243" s="12">
        <f>IF(D243="","",IF(AND(I243=TRUE,G243=""),F243,0))</f>
        <v/>
      </c>
      <c r="K243" s="12">
        <f>IF(OR(D243="",G243=""),0,F243)</f>
        <v/>
      </c>
      <c r="L243" s="12">
        <f>IF(OR(D243="",G243=""),0,H243*F243)</f>
        <v/>
      </c>
    </row>
    <row r="244">
      <c r="A244" s="9" t="n"/>
      <c r="B244" s="9" t="n"/>
      <c r="C244" s="9" t="n"/>
      <c r="D244" s="9" t="n"/>
      <c r="E244" s="8" t="n"/>
      <c r="F244" s="10" t="n"/>
      <c r="G244" s="8" t="n"/>
      <c r="H244" s="11">
        <f>IF(D244="","",IF(G244="",Setup!$B$5,G244)-E244)</f>
        <v/>
      </c>
      <c r="I244" s="6">
        <f>IF(D244="","",AND(LOWER(B244)="y",H244&gt;Setup!$B$4))</f>
        <v/>
      </c>
      <c r="J244" s="12">
        <f>IF(D244="","",IF(AND(I244=TRUE,G244=""),F244,0))</f>
        <v/>
      </c>
      <c r="K244" s="12">
        <f>IF(OR(D244="",G244=""),0,F244)</f>
        <v/>
      </c>
      <c r="L244" s="12">
        <f>IF(OR(D244="",G244=""),0,H244*F244)</f>
        <v/>
      </c>
    </row>
    <row r="245">
      <c r="A245" s="9" t="n"/>
      <c r="B245" s="9" t="n"/>
      <c r="C245" s="9" t="n"/>
      <c r="D245" s="9" t="n"/>
      <c r="E245" s="8" t="n"/>
      <c r="F245" s="10" t="n"/>
      <c r="G245" s="8" t="n"/>
      <c r="H245" s="11">
        <f>IF(D245="","",IF(G245="",Setup!$B$5,G245)-E245)</f>
        <v/>
      </c>
      <c r="I245" s="6">
        <f>IF(D245="","",AND(LOWER(B245)="y",H245&gt;Setup!$B$4))</f>
        <v/>
      </c>
      <c r="J245" s="12">
        <f>IF(D245="","",IF(AND(I245=TRUE,G245=""),F245,0))</f>
        <v/>
      </c>
      <c r="K245" s="12">
        <f>IF(OR(D245="",G245=""),0,F245)</f>
        <v/>
      </c>
      <c r="L245" s="12">
        <f>IF(OR(D245="",G245=""),0,H245*F245)</f>
        <v/>
      </c>
    </row>
    <row r="246">
      <c r="A246" s="9" t="n"/>
      <c r="B246" s="9" t="n"/>
      <c r="C246" s="9" t="n"/>
      <c r="D246" s="9" t="n"/>
      <c r="E246" s="8" t="n"/>
      <c r="F246" s="10" t="n"/>
      <c r="G246" s="8" t="n"/>
      <c r="H246" s="11">
        <f>IF(D246="","",IF(G246="",Setup!$B$5,G246)-E246)</f>
        <v/>
      </c>
      <c r="I246" s="6">
        <f>IF(D246="","",AND(LOWER(B246)="y",H246&gt;Setup!$B$4))</f>
        <v/>
      </c>
      <c r="J246" s="12">
        <f>IF(D246="","",IF(AND(I246=TRUE,G246=""),F246,0))</f>
        <v/>
      </c>
      <c r="K246" s="12">
        <f>IF(OR(D246="",G246=""),0,F246)</f>
        <v/>
      </c>
      <c r="L246" s="12">
        <f>IF(OR(D246="",G246=""),0,H246*F246)</f>
        <v/>
      </c>
    </row>
    <row r="247">
      <c r="A247" s="9" t="n"/>
      <c r="B247" s="9" t="n"/>
      <c r="C247" s="9" t="n"/>
      <c r="D247" s="9" t="n"/>
      <c r="E247" s="8" t="n"/>
      <c r="F247" s="10" t="n"/>
      <c r="G247" s="8" t="n"/>
      <c r="H247" s="11">
        <f>IF(D247="","",IF(G247="",Setup!$B$5,G247)-E247)</f>
        <v/>
      </c>
      <c r="I247" s="6">
        <f>IF(D247="","",AND(LOWER(B247)="y",H247&gt;Setup!$B$4))</f>
        <v/>
      </c>
      <c r="J247" s="12">
        <f>IF(D247="","",IF(AND(I247=TRUE,G247=""),F247,0))</f>
        <v/>
      </c>
      <c r="K247" s="12">
        <f>IF(OR(D247="",G247=""),0,F247)</f>
        <v/>
      </c>
      <c r="L247" s="12">
        <f>IF(OR(D247="",G247=""),0,H247*F247)</f>
        <v/>
      </c>
    </row>
    <row r="248">
      <c r="A248" s="9" t="n"/>
      <c r="B248" s="9" t="n"/>
      <c r="C248" s="9" t="n"/>
      <c r="D248" s="9" t="n"/>
      <c r="E248" s="8" t="n"/>
      <c r="F248" s="10" t="n"/>
      <c r="G248" s="8" t="n"/>
      <c r="H248" s="11">
        <f>IF(D248="","",IF(G248="",Setup!$B$5,G248)-E248)</f>
        <v/>
      </c>
      <c r="I248" s="6">
        <f>IF(D248="","",AND(LOWER(B248)="y",H248&gt;Setup!$B$4))</f>
        <v/>
      </c>
      <c r="J248" s="12">
        <f>IF(D248="","",IF(AND(I248=TRUE,G248=""),F248,0))</f>
        <v/>
      </c>
      <c r="K248" s="12">
        <f>IF(OR(D248="",G248=""),0,F248)</f>
        <v/>
      </c>
      <c r="L248" s="12">
        <f>IF(OR(D248="",G248=""),0,H248*F248)</f>
        <v/>
      </c>
    </row>
    <row r="249">
      <c r="A249" s="9" t="n"/>
      <c r="B249" s="9" t="n"/>
      <c r="C249" s="9" t="n"/>
      <c r="D249" s="9" t="n"/>
      <c r="E249" s="8" t="n"/>
      <c r="F249" s="10" t="n"/>
      <c r="G249" s="8" t="n"/>
      <c r="H249" s="11">
        <f>IF(D249="","",IF(G249="",Setup!$B$5,G249)-E249)</f>
        <v/>
      </c>
      <c r="I249" s="6">
        <f>IF(D249="","",AND(LOWER(B249)="y",H249&gt;Setup!$B$4))</f>
        <v/>
      </c>
      <c r="J249" s="12">
        <f>IF(D249="","",IF(AND(I249=TRUE,G249=""),F249,0))</f>
        <v/>
      </c>
      <c r="K249" s="12">
        <f>IF(OR(D249="",G249=""),0,F249)</f>
        <v/>
      </c>
      <c r="L249" s="12">
        <f>IF(OR(D249="",G249=""),0,H249*F249)</f>
        <v/>
      </c>
    </row>
    <row r="250">
      <c r="A250" s="9" t="n"/>
      <c r="B250" s="9" t="n"/>
      <c r="C250" s="9" t="n"/>
      <c r="D250" s="9" t="n"/>
      <c r="E250" s="8" t="n"/>
      <c r="F250" s="10" t="n"/>
      <c r="G250" s="8" t="n"/>
      <c r="H250" s="11">
        <f>IF(D250="","",IF(G250="",Setup!$B$5,G250)-E250)</f>
        <v/>
      </c>
      <c r="I250" s="6">
        <f>IF(D250="","",AND(LOWER(B250)="y",H250&gt;Setup!$B$4))</f>
        <v/>
      </c>
      <c r="J250" s="12">
        <f>IF(D250="","",IF(AND(I250=TRUE,G250=""),F250,0))</f>
        <v/>
      </c>
      <c r="K250" s="12">
        <f>IF(OR(D250="",G250=""),0,F250)</f>
        <v/>
      </c>
      <c r="L250" s="12">
        <f>IF(OR(D250="",G250=""),0,H250*F250)</f>
        <v/>
      </c>
    </row>
    <row r="251">
      <c r="A251" s="9" t="n"/>
      <c r="B251" s="9" t="n"/>
      <c r="C251" s="9" t="n"/>
      <c r="D251" s="9" t="n"/>
      <c r="E251" s="8" t="n"/>
      <c r="F251" s="10" t="n"/>
      <c r="G251" s="8" t="n"/>
      <c r="H251" s="11">
        <f>IF(D251="","",IF(G251="",Setup!$B$5,G251)-E251)</f>
        <v/>
      </c>
      <c r="I251" s="6">
        <f>IF(D251="","",AND(LOWER(B251)="y",H251&gt;Setup!$B$4))</f>
        <v/>
      </c>
      <c r="J251" s="12">
        <f>IF(D251="","",IF(AND(I251=TRUE,G251=""),F251,0))</f>
        <v/>
      </c>
      <c r="K251" s="12">
        <f>IF(OR(D251="",G251=""),0,F251)</f>
        <v/>
      </c>
      <c r="L251" s="12">
        <f>IF(OR(D251="",G251=""),0,H251*F251)</f>
        <v/>
      </c>
    </row>
    <row r="252">
      <c r="A252" s="9" t="n"/>
      <c r="B252" s="9" t="n"/>
      <c r="C252" s="9" t="n"/>
      <c r="D252" s="9" t="n"/>
      <c r="E252" s="8" t="n"/>
      <c r="F252" s="10" t="n"/>
      <c r="G252" s="8" t="n"/>
      <c r="H252" s="11">
        <f>IF(D252="","",IF(G252="",Setup!$B$5,G252)-E252)</f>
        <v/>
      </c>
      <c r="I252" s="6">
        <f>IF(D252="","",AND(LOWER(B252)="y",H252&gt;Setup!$B$4))</f>
        <v/>
      </c>
      <c r="J252" s="12">
        <f>IF(D252="","",IF(AND(I252=TRUE,G252=""),F252,0))</f>
        <v/>
      </c>
      <c r="K252" s="12">
        <f>IF(OR(D252="",G252=""),0,F252)</f>
        <v/>
      </c>
      <c r="L252" s="12">
        <f>IF(OR(D252="",G252=""),0,H252*F252)</f>
        <v/>
      </c>
    </row>
    <row r="253">
      <c r="A253" s="9" t="n"/>
      <c r="B253" s="9" t="n"/>
      <c r="C253" s="9" t="n"/>
      <c r="D253" s="9" t="n"/>
      <c r="E253" s="8" t="n"/>
      <c r="F253" s="10" t="n"/>
      <c r="G253" s="8" t="n"/>
      <c r="H253" s="11">
        <f>IF(D253="","",IF(G253="",Setup!$B$5,G253)-E253)</f>
        <v/>
      </c>
      <c r="I253" s="6">
        <f>IF(D253="","",AND(LOWER(B253)="y",H253&gt;Setup!$B$4))</f>
        <v/>
      </c>
      <c r="J253" s="12">
        <f>IF(D253="","",IF(AND(I253=TRUE,G253=""),F253,0))</f>
        <v/>
      </c>
      <c r="K253" s="12">
        <f>IF(OR(D253="",G253=""),0,F253)</f>
        <v/>
      </c>
      <c r="L253" s="12">
        <f>IF(OR(D253="",G253=""),0,H253*F253)</f>
        <v/>
      </c>
    </row>
    <row r="254">
      <c r="A254" s="9" t="n"/>
      <c r="B254" s="9" t="n"/>
      <c r="C254" s="9" t="n"/>
      <c r="D254" s="9" t="n"/>
      <c r="E254" s="8" t="n"/>
      <c r="F254" s="10" t="n"/>
      <c r="G254" s="8" t="n"/>
      <c r="H254" s="11">
        <f>IF(D254="","",IF(G254="",Setup!$B$5,G254)-E254)</f>
        <v/>
      </c>
      <c r="I254" s="6">
        <f>IF(D254="","",AND(LOWER(B254)="y",H254&gt;Setup!$B$4))</f>
        <v/>
      </c>
      <c r="J254" s="12">
        <f>IF(D254="","",IF(AND(I254=TRUE,G254=""),F254,0))</f>
        <v/>
      </c>
      <c r="K254" s="12">
        <f>IF(OR(D254="",G254=""),0,F254)</f>
        <v/>
      </c>
      <c r="L254" s="12">
        <f>IF(OR(D254="",G254=""),0,H254*F254)</f>
        <v/>
      </c>
    </row>
    <row r="255">
      <c r="A255" s="9" t="n"/>
      <c r="B255" s="9" t="n"/>
      <c r="C255" s="9" t="n"/>
      <c r="D255" s="9" t="n"/>
      <c r="E255" s="8" t="n"/>
      <c r="F255" s="10" t="n"/>
      <c r="G255" s="8" t="n"/>
      <c r="H255" s="11">
        <f>IF(D255="","",IF(G255="",Setup!$B$5,G255)-E255)</f>
        <v/>
      </c>
      <c r="I255" s="6">
        <f>IF(D255="","",AND(LOWER(B255)="y",H255&gt;Setup!$B$4))</f>
        <v/>
      </c>
      <c r="J255" s="12">
        <f>IF(D255="","",IF(AND(I255=TRUE,G255=""),F255,0))</f>
        <v/>
      </c>
      <c r="K255" s="12">
        <f>IF(OR(D255="",G255=""),0,F255)</f>
        <v/>
      </c>
      <c r="L255" s="12">
        <f>IF(OR(D255="",G255=""),0,H255*F255)</f>
        <v/>
      </c>
    </row>
    <row r="256">
      <c r="A256" s="9" t="n"/>
      <c r="B256" s="9" t="n"/>
      <c r="C256" s="9" t="n"/>
      <c r="D256" s="9" t="n"/>
      <c r="E256" s="8" t="n"/>
      <c r="F256" s="10" t="n"/>
      <c r="G256" s="8" t="n"/>
      <c r="H256" s="11">
        <f>IF(D256="","",IF(G256="",Setup!$B$5,G256)-E256)</f>
        <v/>
      </c>
      <c r="I256" s="6">
        <f>IF(D256="","",AND(LOWER(B256)="y",H256&gt;Setup!$B$4))</f>
        <v/>
      </c>
      <c r="J256" s="12">
        <f>IF(D256="","",IF(AND(I256=TRUE,G256=""),F256,0))</f>
        <v/>
      </c>
      <c r="K256" s="12">
        <f>IF(OR(D256="",G256=""),0,F256)</f>
        <v/>
      </c>
      <c r="L256" s="12">
        <f>IF(OR(D256="",G256=""),0,H256*F256)</f>
        <v/>
      </c>
    </row>
    <row r="257">
      <c r="A257" s="9" t="n"/>
      <c r="B257" s="9" t="n"/>
      <c r="C257" s="9" t="n"/>
      <c r="D257" s="9" t="n"/>
      <c r="E257" s="8" t="n"/>
      <c r="F257" s="10" t="n"/>
      <c r="G257" s="8" t="n"/>
      <c r="H257" s="11">
        <f>IF(D257="","",IF(G257="",Setup!$B$5,G257)-E257)</f>
        <v/>
      </c>
      <c r="I257" s="6">
        <f>IF(D257="","",AND(LOWER(B257)="y",H257&gt;Setup!$B$4))</f>
        <v/>
      </c>
      <c r="J257" s="12">
        <f>IF(D257="","",IF(AND(I257=TRUE,G257=""),F257,0))</f>
        <v/>
      </c>
      <c r="K257" s="12">
        <f>IF(OR(D257="",G257=""),0,F257)</f>
        <v/>
      </c>
      <c r="L257" s="12">
        <f>IF(OR(D257="",G257=""),0,H257*F257)</f>
        <v/>
      </c>
    </row>
    <row r="258">
      <c r="A258" s="9" t="n"/>
      <c r="B258" s="9" t="n"/>
      <c r="C258" s="9" t="n"/>
      <c r="D258" s="9" t="n"/>
      <c r="E258" s="8" t="n"/>
      <c r="F258" s="10" t="n"/>
      <c r="G258" s="8" t="n"/>
      <c r="H258" s="11">
        <f>IF(D258="","",IF(G258="",Setup!$B$5,G258)-E258)</f>
        <v/>
      </c>
      <c r="I258" s="6">
        <f>IF(D258="","",AND(LOWER(B258)="y",H258&gt;Setup!$B$4))</f>
        <v/>
      </c>
      <c r="J258" s="12">
        <f>IF(D258="","",IF(AND(I258=TRUE,G258=""),F258,0))</f>
        <v/>
      </c>
      <c r="K258" s="12">
        <f>IF(OR(D258="",G258=""),0,F258)</f>
        <v/>
      </c>
      <c r="L258" s="12">
        <f>IF(OR(D258="",G258=""),0,H258*F258)</f>
        <v/>
      </c>
    </row>
    <row r="259">
      <c r="A259" s="9" t="n"/>
      <c r="B259" s="9" t="n"/>
      <c r="C259" s="9" t="n"/>
      <c r="D259" s="9" t="n"/>
      <c r="E259" s="8" t="n"/>
      <c r="F259" s="10" t="n"/>
      <c r="G259" s="8" t="n"/>
      <c r="H259" s="11">
        <f>IF(D259="","",IF(G259="",Setup!$B$5,G259)-E259)</f>
        <v/>
      </c>
      <c r="I259" s="6">
        <f>IF(D259="","",AND(LOWER(B259)="y",H259&gt;Setup!$B$4))</f>
        <v/>
      </c>
      <c r="J259" s="12">
        <f>IF(D259="","",IF(AND(I259=TRUE,G259=""),F259,0))</f>
        <v/>
      </c>
      <c r="K259" s="12">
        <f>IF(OR(D259="",G259=""),0,F259)</f>
        <v/>
      </c>
      <c r="L259" s="12">
        <f>IF(OR(D259="",G259=""),0,H259*F259)</f>
        <v/>
      </c>
    </row>
    <row r="260">
      <c r="A260" s="9" t="n"/>
      <c r="B260" s="9" t="n"/>
      <c r="C260" s="9" t="n"/>
      <c r="D260" s="9" t="n"/>
      <c r="E260" s="8" t="n"/>
      <c r="F260" s="10" t="n"/>
      <c r="G260" s="8" t="n"/>
      <c r="H260" s="11">
        <f>IF(D260="","",IF(G260="",Setup!$B$5,G260)-E260)</f>
        <v/>
      </c>
      <c r="I260" s="6">
        <f>IF(D260="","",AND(LOWER(B260)="y",H260&gt;Setup!$B$4))</f>
        <v/>
      </c>
      <c r="J260" s="12">
        <f>IF(D260="","",IF(AND(I260=TRUE,G260=""),F260,0))</f>
        <v/>
      </c>
      <c r="K260" s="12">
        <f>IF(OR(D260="",G260=""),0,F260)</f>
        <v/>
      </c>
      <c r="L260" s="12">
        <f>IF(OR(D260="",G260=""),0,H260*F260)</f>
        <v/>
      </c>
    </row>
    <row r="261">
      <c r="A261" s="9" t="n"/>
      <c r="B261" s="9" t="n"/>
      <c r="C261" s="9" t="n"/>
      <c r="D261" s="9" t="n"/>
      <c r="E261" s="8" t="n"/>
      <c r="F261" s="10" t="n"/>
      <c r="G261" s="8" t="n"/>
      <c r="H261" s="11">
        <f>IF(D261="","",IF(G261="",Setup!$B$5,G261)-E261)</f>
        <v/>
      </c>
      <c r="I261" s="6">
        <f>IF(D261="","",AND(LOWER(B261)="y",H261&gt;Setup!$B$4))</f>
        <v/>
      </c>
      <c r="J261" s="12">
        <f>IF(D261="","",IF(AND(I261=TRUE,G261=""),F261,0))</f>
        <v/>
      </c>
      <c r="K261" s="12">
        <f>IF(OR(D261="",G261=""),0,F261)</f>
        <v/>
      </c>
      <c r="L261" s="12">
        <f>IF(OR(D261="",G261=""),0,H261*F261)</f>
        <v/>
      </c>
    </row>
    <row r="262">
      <c r="A262" s="9" t="n"/>
      <c r="B262" s="9" t="n"/>
      <c r="C262" s="9" t="n"/>
      <c r="D262" s="9" t="n"/>
      <c r="E262" s="8" t="n"/>
      <c r="F262" s="10" t="n"/>
      <c r="G262" s="8" t="n"/>
      <c r="H262" s="11">
        <f>IF(D262="","",IF(G262="",Setup!$B$5,G262)-E262)</f>
        <v/>
      </c>
      <c r="I262" s="6">
        <f>IF(D262="","",AND(LOWER(B262)="y",H262&gt;Setup!$B$4))</f>
        <v/>
      </c>
      <c r="J262" s="12">
        <f>IF(D262="","",IF(AND(I262=TRUE,G262=""),F262,0))</f>
        <v/>
      </c>
      <c r="K262" s="12">
        <f>IF(OR(D262="",G262=""),0,F262)</f>
        <v/>
      </c>
      <c r="L262" s="12">
        <f>IF(OR(D262="",G262=""),0,H262*F262)</f>
        <v/>
      </c>
    </row>
    <row r="263">
      <c r="A263" s="9" t="n"/>
      <c r="B263" s="9" t="n"/>
      <c r="C263" s="9" t="n"/>
      <c r="D263" s="9" t="n"/>
      <c r="E263" s="8" t="n"/>
      <c r="F263" s="10" t="n"/>
      <c r="G263" s="8" t="n"/>
      <c r="H263" s="11">
        <f>IF(D263="","",IF(G263="",Setup!$B$5,G263)-E263)</f>
        <v/>
      </c>
      <c r="I263" s="6">
        <f>IF(D263="","",AND(LOWER(B263)="y",H263&gt;Setup!$B$4))</f>
        <v/>
      </c>
      <c r="J263" s="12">
        <f>IF(D263="","",IF(AND(I263=TRUE,G263=""),F263,0))</f>
        <v/>
      </c>
      <c r="K263" s="12">
        <f>IF(OR(D263="",G263=""),0,F263)</f>
        <v/>
      </c>
      <c r="L263" s="12">
        <f>IF(OR(D263="",G263=""),0,H263*F263)</f>
        <v/>
      </c>
    </row>
    <row r="264">
      <c r="A264" s="9" t="n"/>
      <c r="B264" s="9" t="n"/>
      <c r="C264" s="9" t="n"/>
      <c r="D264" s="9" t="n"/>
      <c r="E264" s="8" t="n"/>
      <c r="F264" s="10" t="n"/>
      <c r="G264" s="8" t="n"/>
      <c r="H264" s="11">
        <f>IF(D264="","",IF(G264="",Setup!$B$5,G264)-E264)</f>
        <v/>
      </c>
      <c r="I264" s="6">
        <f>IF(D264="","",AND(LOWER(B264)="y",H264&gt;Setup!$B$4))</f>
        <v/>
      </c>
      <c r="J264" s="12">
        <f>IF(D264="","",IF(AND(I264=TRUE,G264=""),F264,0))</f>
        <v/>
      </c>
      <c r="K264" s="12">
        <f>IF(OR(D264="",G264=""),0,F264)</f>
        <v/>
      </c>
      <c r="L264" s="12">
        <f>IF(OR(D264="",G264=""),0,H264*F264)</f>
        <v/>
      </c>
    </row>
    <row r="265">
      <c r="A265" s="9" t="n"/>
      <c r="B265" s="9" t="n"/>
      <c r="C265" s="9" t="n"/>
      <c r="D265" s="9" t="n"/>
      <c r="E265" s="8" t="n"/>
      <c r="F265" s="10" t="n"/>
      <c r="G265" s="8" t="n"/>
      <c r="H265" s="11">
        <f>IF(D265="","",IF(G265="",Setup!$B$5,G265)-E265)</f>
        <v/>
      </c>
      <c r="I265" s="6">
        <f>IF(D265="","",AND(LOWER(B265)="y",H265&gt;Setup!$B$4))</f>
        <v/>
      </c>
      <c r="J265" s="12">
        <f>IF(D265="","",IF(AND(I265=TRUE,G265=""),F265,0))</f>
        <v/>
      </c>
      <c r="K265" s="12">
        <f>IF(OR(D265="",G265=""),0,F265)</f>
        <v/>
      </c>
      <c r="L265" s="12">
        <f>IF(OR(D265="",G265=""),0,H265*F265)</f>
        <v/>
      </c>
    </row>
    <row r="266">
      <c r="A266" s="9" t="n"/>
      <c r="B266" s="9" t="n"/>
      <c r="C266" s="9" t="n"/>
      <c r="D266" s="9" t="n"/>
      <c r="E266" s="8" t="n"/>
      <c r="F266" s="10" t="n"/>
      <c r="G266" s="8" t="n"/>
      <c r="H266" s="11">
        <f>IF(D266="","",IF(G266="",Setup!$B$5,G266)-E266)</f>
        <v/>
      </c>
      <c r="I266" s="6">
        <f>IF(D266="","",AND(LOWER(B266)="y",H266&gt;Setup!$B$4))</f>
        <v/>
      </c>
      <c r="J266" s="12">
        <f>IF(D266="","",IF(AND(I266=TRUE,G266=""),F266,0))</f>
        <v/>
      </c>
      <c r="K266" s="12">
        <f>IF(OR(D266="",G266=""),0,F266)</f>
        <v/>
      </c>
      <c r="L266" s="12">
        <f>IF(OR(D266="",G266=""),0,H266*F266)</f>
        <v/>
      </c>
    </row>
    <row r="267">
      <c r="A267" s="9" t="n"/>
      <c r="B267" s="9" t="n"/>
      <c r="C267" s="9" t="n"/>
      <c r="D267" s="9" t="n"/>
      <c r="E267" s="8" t="n"/>
      <c r="F267" s="10" t="n"/>
      <c r="G267" s="8" t="n"/>
      <c r="H267" s="11">
        <f>IF(D267="","",IF(G267="",Setup!$B$5,G267)-E267)</f>
        <v/>
      </c>
      <c r="I267" s="6">
        <f>IF(D267="","",AND(LOWER(B267)="y",H267&gt;Setup!$B$4))</f>
        <v/>
      </c>
      <c r="J267" s="12">
        <f>IF(D267="","",IF(AND(I267=TRUE,G267=""),F267,0))</f>
        <v/>
      </c>
      <c r="K267" s="12">
        <f>IF(OR(D267="",G267=""),0,F267)</f>
        <v/>
      </c>
      <c r="L267" s="12">
        <f>IF(OR(D267="",G267=""),0,H267*F267)</f>
        <v/>
      </c>
    </row>
    <row r="268">
      <c r="A268" s="9" t="n"/>
      <c r="B268" s="9" t="n"/>
      <c r="C268" s="9" t="n"/>
      <c r="D268" s="9" t="n"/>
      <c r="E268" s="8" t="n"/>
      <c r="F268" s="10" t="n"/>
      <c r="G268" s="8" t="n"/>
      <c r="H268" s="11">
        <f>IF(D268="","",IF(G268="",Setup!$B$5,G268)-E268)</f>
        <v/>
      </c>
      <c r="I268" s="6">
        <f>IF(D268="","",AND(LOWER(B268)="y",H268&gt;Setup!$B$4))</f>
        <v/>
      </c>
      <c r="J268" s="12">
        <f>IF(D268="","",IF(AND(I268=TRUE,G268=""),F268,0))</f>
        <v/>
      </c>
      <c r="K268" s="12">
        <f>IF(OR(D268="",G268=""),0,F268)</f>
        <v/>
      </c>
      <c r="L268" s="12">
        <f>IF(OR(D268="",G268=""),0,H268*F268)</f>
        <v/>
      </c>
    </row>
    <row r="269">
      <c r="A269" s="9" t="n"/>
      <c r="B269" s="9" t="n"/>
      <c r="C269" s="9" t="n"/>
      <c r="D269" s="9" t="n"/>
      <c r="E269" s="8" t="n"/>
      <c r="F269" s="10" t="n"/>
      <c r="G269" s="8" t="n"/>
      <c r="H269" s="11">
        <f>IF(D269="","",IF(G269="",Setup!$B$5,G269)-E269)</f>
        <v/>
      </c>
      <c r="I269" s="6">
        <f>IF(D269="","",AND(LOWER(B269)="y",H269&gt;Setup!$B$4))</f>
        <v/>
      </c>
      <c r="J269" s="12">
        <f>IF(D269="","",IF(AND(I269=TRUE,G269=""),F269,0))</f>
        <v/>
      </c>
      <c r="K269" s="12">
        <f>IF(OR(D269="",G269=""),0,F269)</f>
        <v/>
      </c>
      <c r="L269" s="12">
        <f>IF(OR(D269="",G269=""),0,H269*F269)</f>
        <v/>
      </c>
    </row>
    <row r="270">
      <c r="A270" s="9" t="n"/>
      <c r="B270" s="9" t="n"/>
      <c r="C270" s="9" t="n"/>
      <c r="D270" s="9" t="n"/>
      <c r="E270" s="8" t="n"/>
      <c r="F270" s="10" t="n"/>
      <c r="G270" s="8" t="n"/>
      <c r="H270" s="11">
        <f>IF(D270="","",IF(G270="",Setup!$B$5,G270)-E270)</f>
        <v/>
      </c>
      <c r="I270" s="6">
        <f>IF(D270="","",AND(LOWER(B270)="y",H270&gt;Setup!$B$4))</f>
        <v/>
      </c>
      <c r="J270" s="12">
        <f>IF(D270="","",IF(AND(I270=TRUE,G270=""),F270,0))</f>
        <v/>
      </c>
      <c r="K270" s="12">
        <f>IF(OR(D270="",G270=""),0,F270)</f>
        <v/>
      </c>
      <c r="L270" s="12">
        <f>IF(OR(D270="",G270=""),0,H270*F270)</f>
        <v/>
      </c>
    </row>
    <row r="271">
      <c r="A271" s="9" t="n"/>
      <c r="B271" s="9" t="n"/>
      <c r="C271" s="9" t="n"/>
      <c r="D271" s="9" t="n"/>
      <c r="E271" s="8" t="n"/>
      <c r="F271" s="10" t="n"/>
      <c r="G271" s="8" t="n"/>
      <c r="H271" s="11">
        <f>IF(D271="","",IF(G271="",Setup!$B$5,G271)-E271)</f>
        <v/>
      </c>
      <c r="I271" s="6">
        <f>IF(D271="","",AND(LOWER(B271)="y",H271&gt;Setup!$B$4))</f>
        <v/>
      </c>
      <c r="J271" s="12">
        <f>IF(D271="","",IF(AND(I271=TRUE,G271=""),F271,0))</f>
        <v/>
      </c>
      <c r="K271" s="12">
        <f>IF(OR(D271="",G271=""),0,F271)</f>
        <v/>
      </c>
      <c r="L271" s="12">
        <f>IF(OR(D271="",G271=""),0,H271*F271)</f>
        <v/>
      </c>
    </row>
    <row r="272">
      <c r="A272" s="9" t="n"/>
      <c r="B272" s="9" t="n"/>
      <c r="C272" s="9" t="n"/>
      <c r="D272" s="9" t="n"/>
      <c r="E272" s="8" t="n"/>
      <c r="F272" s="10" t="n"/>
      <c r="G272" s="8" t="n"/>
      <c r="H272" s="11">
        <f>IF(D272="","",IF(G272="",Setup!$B$5,G272)-E272)</f>
        <v/>
      </c>
      <c r="I272" s="6">
        <f>IF(D272="","",AND(LOWER(B272)="y",H272&gt;Setup!$B$4))</f>
        <v/>
      </c>
      <c r="J272" s="12">
        <f>IF(D272="","",IF(AND(I272=TRUE,G272=""),F272,0))</f>
        <v/>
      </c>
      <c r="K272" s="12">
        <f>IF(OR(D272="",G272=""),0,F272)</f>
        <v/>
      </c>
      <c r="L272" s="12">
        <f>IF(OR(D272="",G272=""),0,H272*F272)</f>
        <v/>
      </c>
    </row>
    <row r="273">
      <c r="A273" s="9" t="n"/>
      <c r="B273" s="9" t="n"/>
      <c r="C273" s="9" t="n"/>
      <c r="D273" s="9" t="n"/>
      <c r="E273" s="8" t="n"/>
      <c r="F273" s="10" t="n"/>
      <c r="G273" s="8" t="n"/>
      <c r="H273" s="11">
        <f>IF(D273="","",IF(G273="",Setup!$B$5,G273)-E273)</f>
        <v/>
      </c>
      <c r="I273" s="6">
        <f>IF(D273="","",AND(LOWER(B273)="y",H273&gt;Setup!$B$4))</f>
        <v/>
      </c>
      <c r="J273" s="12">
        <f>IF(D273="","",IF(AND(I273=TRUE,G273=""),F273,0))</f>
        <v/>
      </c>
      <c r="K273" s="12">
        <f>IF(OR(D273="",G273=""),0,F273)</f>
        <v/>
      </c>
      <c r="L273" s="12">
        <f>IF(OR(D273="",G273=""),0,H273*F273)</f>
        <v/>
      </c>
    </row>
    <row r="274">
      <c r="A274" s="9" t="n"/>
      <c r="B274" s="9" t="n"/>
      <c r="C274" s="9" t="n"/>
      <c r="D274" s="9" t="n"/>
      <c r="E274" s="8" t="n"/>
      <c r="F274" s="10" t="n"/>
      <c r="G274" s="8" t="n"/>
      <c r="H274" s="11">
        <f>IF(D274="","",IF(G274="",Setup!$B$5,G274)-E274)</f>
        <v/>
      </c>
      <c r="I274" s="6">
        <f>IF(D274="","",AND(LOWER(B274)="y",H274&gt;Setup!$B$4))</f>
        <v/>
      </c>
      <c r="J274" s="12">
        <f>IF(D274="","",IF(AND(I274=TRUE,G274=""),F274,0))</f>
        <v/>
      </c>
      <c r="K274" s="12">
        <f>IF(OR(D274="",G274=""),0,F274)</f>
        <v/>
      </c>
      <c r="L274" s="12">
        <f>IF(OR(D274="",G274=""),0,H274*F274)</f>
        <v/>
      </c>
    </row>
    <row r="275">
      <c r="A275" s="9" t="n"/>
      <c r="B275" s="9" t="n"/>
      <c r="C275" s="9" t="n"/>
      <c r="D275" s="9" t="n"/>
      <c r="E275" s="8" t="n"/>
      <c r="F275" s="10" t="n"/>
      <c r="G275" s="8" t="n"/>
      <c r="H275" s="11">
        <f>IF(D275="","",IF(G275="",Setup!$B$5,G275)-E275)</f>
        <v/>
      </c>
      <c r="I275" s="6">
        <f>IF(D275="","",AND(LOWER(B275)="y",H275&gt;Setup!$B$4))</f>
        <v/>
      </c>
      <c r="J275" s="12">
        <f>IF(D275="","",IF(AND(I275=TRUE,G275=""),F275,0))</f>
        <v/>
      </c>
      <c r="K275" s="12">
        <f>IF(OR(D275="",G275=""),0,F275)</f>
        <v/>
      </c>
      <c r="L275" s="12">
        <f>IF(OR(D275="",G275=""),0,H275*F275)</f>
        <v/>
      </c>
    </row>
    <row r="276">
      <c r="A276" s="9" t="n"/>
      <c r="B276" s="9" t="n"/>
      <c r="C276" s="9" t="n"/>
      <c r="D276" s="9" t="n"/>
      <c r="E276" s="8" t="n"/>
      <c r="F276" s="10" t="n"/>
      <c r="G276" s="8" t="n"/>
      <c r="H276" s="11">
        <f>IF(D276="","",IF(G276="",Setup!$B$5,G276)-E276)</f>
        <v/>
      </c>
      <c r="I276" s="6">
        <f>IF(D276="","",AND(LOWER(B276)="y",H276&gt;Setup!$B$4))</f>
        <v/>
      </c>
      <c r="J276" s="12">
        <f>IF(D276="","",IF(AND(I276=TRUE,G276=""),F276,0))</f>
        <v/>
      </c>
      <c r="K276" s="12">
        <f>IF(OR(D276="",G276=""),0,F276)</f>
        <v/>
      </c>
      <c r="L276" s="12">
        <f>IF(OR(D276="",G276=""),0,H276*F276)</f>
        <v/>
      </c>
    </row>
    <row r="277">
      <c r="A277" s="9" t="n"/>
      <c r="B277" s="9" t="n"/>
      <c r="C277" s="9" t="n"/>
      <c r="D277" s="9" t="n"/>
      <c r="E277" s="8" t="n"/>
      <c r="F277" s="10" t="n"/>
      <c r="G277" s="8" t="n"/>
      <c r="H277" s="11">
        <f>IF(D277="","",IF(G277="",Setup!$B$5,G277)-E277)</f>
        <v/>
      </c>
      <c r="I277" s="6">
        <f>IF(D277="","",AND(LOWER(B277)="y",H277&gt;Setup!$B$4))</f>
        <v/>
      </c>
      <c r="J277" s="12">
        <f>IF(D277="","",IF(AND(I277=TRUE,G277=""),F277,0))</f>
        <v/>
      </c>
      <c r="K277" s="12">
        <f>IF(OR(D277="",G277=""),0,F277)</f>
        <v/>
      </c>
      <c r="L277" s="12">
        <f>IF(OR(D277="",G277=""),0,H277*F277)</f>
        <v/>
      </c>
    </row>
    <row r="278">
      <c r="A278" s="9" t="n"/>
      <c r="B278" s="9" t="n"/>
      <c r="C278" s="9" t="n"/>
      <c r="D278" s="9" t="n"/>
      <c r="E278" s="8" t="n"/>
      <c r="F278" s="10" t="n"/>
      <c r="G278" s="8" t="n"/>
      <c r="H278" s="11">
        <f>IF(D278="","",IF(G278="",Setup!$B$5,G278)-E278)</f>
        <v/>
      </c>
      <c r="I278" s="6">
        <f>IF(D278="","",AND(LOWER(B278)="y",H278&gt;Setup!$B$4))</f>
        <v/>
      </c>
      <c r="J278" s="12">
        <f>IF(D278="","",IF(AND(I278=TRUE,G278=""),F278,0))</f>
        <v/>
      </c>
      <c r="K278" s="12">
        <f>IF(OR(D278="",G278=""),0,F278)</f>
        <v/>
      </c>
      <c r="L278" s="12">
        <f>IF(OR(D278="",G278=""),0,H278*F278)</f>
        <v/>
      </c>
    </row>
    <row r="279">
      <c r="A279" s="9" t="n"/>
      <c r="B279" s="9" t="n"/>
      <c r="C279" s="9" t="n"/>
      <c r="D279" s="9" t="n"/>
      <c r="E279" s="8" t="n"/>
      <c r="F279" s="10" t="n"/>
      <c r="G279" s="8" t="n"/>
      <c r="H279" s="11">
        <f>IF(D279="","",IF(G279="",Setup!$B$5,G279)-E279)</f>
        <v/>
      </c>
      <c r="I279" s="6">
        <f>IF(D279="","",AND(LOWER(B279)="y",H279&gt;Setup!$B$4))</f>
        <v/>
      </c>
      <c r="J279" s="12">
        <f>IF(D279="","",IF(AND(I279=TRUE,G279=""),F279,0))</f>
        <v/>
      </c>
      <c r="K279" s="12">
        <f>IF(OR(D279="",G279=""),0,F279)</f>
        <v/>
      </c>
      <c r="L279" s="12">
        <f>IF(OR(D279="",G279=""),0,H279*F279)</f>
        <v/>
      </c>
    </row>
    <row r="280">
      <c r="A280" s="9" t="n"/>
      <c r="B280" s="9" t="n"/>
      <c r="C280" s="9" t="n"/>
      <c r="D280" s="9" t="n"/>
      <c r="E280" s="8" t="n"/>
      <c r="F280" s="10" t="n"/>
      <c r="G280" s="8" t="n"/>
      <c r="H280" s="11">
        <f>IF(D280="","",IF(G280="",Setup!$B$5,G280)-E280)</f>
        <v/>
      </c>
      <c r="I280" s="6">
        <f>IF(D280="","",AND(LOWER(B280)="y",H280&gt;Setup!$B$4))</f>
        <v/>
      </c>
      <c r="J280" s="12">
        <f>IF(D280="","",IF(AND(I280=TRUE,G280=""),F280,0))</f>
        <v/>
      </c>
      <c r="K280" s="12">
        <f>IF(OR(D280="",G280=""),0,F280)</f>
        <v/>
      </c>
      <c r="L280" s="12">
        <f>IF(OR(D280="",G280=""),0,H280*F280)</f>
        <v/>
      </c>
    </row>
    <row r="281">
      <c r="A281" s="9" t="n"/>
      <c r="B281" s="9" t="n"/>
      <c r="C281" s="9" t="n"/>
      <c r="D281" s="9" t="n"/>
      <c r="E281" s="8" t="n"/>
      <c r="F281" s="10" t="n"/>
      <c r="G281" s="8" t="n"/>
      <c r="H281" s="11">
        <f>IF(D281="","",IF(G281="",Setup!$B$5,G281)-E281)</f>
        <v/>
      </c>
      <c r="I281" s="6">
        <f>IF(D281="","",AND(LOWER(B281)="y",H281&gt;Setup!$B$4))</f>
        <v/>
      </c>
      <c r="J281" s="12">
        <f>IF(D281="","",IF(AND(I281=TRUE,G281=""),F281,0))</f>
        <v/>
      </c>
      <c r="K281" s="12">
        <f>IF(OR(D281="",G281=""),0,F281)</f>
        <v/>
      </c>
      <c r="L281" s="12">
        <f>IF(OR(D281="",G281=""),0,H281*F281)</f>
        <v/>
      </c>
    </row>
    <row r="282">
      <c r="A282" s="9" t="n"/>
      <c r="B282" s="9" t="n"/>
      <c r="C282" s="9" t="n"/>
      <c r="D282" s="9" t="n"/>
      <c r="E282" s="8" t="n"/>
      <c r="F282" s="10" t="n"/>
      <c r="G282" s="8" t="n"/>
      <c r="H282" s="11">
        <f>IF(D282="","",IF(G282="",Setup!$B$5,G282)-E282)</f>
        <v/>
      </c>
      <c r="I282" s="6">
        <f>IF(D282="","",AND(LOWER(B282)="y",H282&gt;Setup!$B$4))</f>
        <v/>
      </c>
      <c r="J282" s="12">
        <f>IF(D282="","",IF(AND(I282=TRUE,G282=""),F282,0))</f>
        <v/>
      </c>
      <c r="K282" s="12">
        <f>IF(OR(D282="",G282=""),0,F282)</f>
        <v/>
      </c>
      <c r="L282" s="12">
        <f>IF(OR(D282="",G282=""),0,H282*F282)</f>
        <v/>
      </c>
    </row>
    <row r="283">
      <c r="A283" s="9" t="n"/>
      <c r="B283" s="9" t="n"/>
      <c r="C283" s="9" t="n"/>
      <c r="D283" s="9" t="n"/>
      <c r="E283" s="8" t="n"/>
      <c r="F283" s="10" t="n"/>
      <c r="G283" s="8" t="n"/>
      <c r="H283" s="11">
        <f>IF(D283="","",IF(G283="",Setup!$B$5,G283)-E283)</f>
        <v/>
      </c>
      <c r="I283" s="6">
        <f>IF(D283="","",AND(LOWER(B283)="y",H283&gt;Setup!$B$4))</f>
        <v/>
      </c>
      <c r="J283" s="12">
        <f>IF(D283="","",IF(AND(I283=TRUE,G283=""),F283,0))</f>
        <v/>
      </c>
      <c r="K283" s="12">
        <f>IF(OR(D283="",G283=""),0,F283)</f>
        <v/>
      </c>
      <c r="L283" s="12">
        <f>IF(OR(D283="",G283=""),0,H283*F283)</f>
        <v/>
      </c>
    </row>
    <row r="284">
      <c r="A284" s="9" t="n"/>
      <c r="B284" s="9" t="n"/>
      <c r="C284" s="9" t="n"/>
      <c r="D284" s="9" t="n"/>
      <c r="E284" s="8" t="n"/>
      <c r="F284" s="10" t="n"/>
      <c r="G284" s="8" t="n"/>
      <c r="H284" s="11">
        <f>IF(D284="","",IF(G284="",Setup!$B$5,G284)-E284)</f>
        <v/>
      </c>
      <c r="I284" s="6">
        <f>IF(D284="","",AND(LOWER(B284)="y",H284&gt;Setup!$B$4))</f>
        <v/>
      </c>
      <c r="J284" s="12">
        <f>IF(D284="","",IF(AND(I284=TRUE,G284=""),F284,0))</f>
        <v/>
      </c>
      <c r="K284" s="12">
        <f>IF(OR(D284="",G284=""),0,F284)</f>
        <v/>
      </c>
      <c r="L284" s="12">
        <f>IF(OR(D284="",G284=""),0,H284*F284)</f>
        <v/>
      </c>
    </row>
    <row r="285">
      <c r="A285" s="9" t="n"/>
      <c r="B285" s="9" t="n"/>
      <c r="C285" s="9" t="n"/>
      <c r="D285" s="9" t="n"/>
      <c r="E285" s="8" t="n"/>
      <c r="F285" s="10" t="n"/>
      <c r="G285" s="8" t="n"/>
      <c r="H285" s="11">
        <f>IF(D285="","",IF(G285="",Setup!$B$5,G285)-E285)</f>
        <v/>
      </c>
      <c r="I285" s="6">
        <f>IF(D285="","",AND(LOWER(B285)="y",H285&gt;Setup!$B$4))</f>
        <v/>
      </c>
      <c r="J285" s="12">
        <f>IF(D285="","",IF(AND(I285=TRUE,G285=""),F285,0))</f>
        <v/>
      </c>
      <c r="K285" s="12">
        <f>IF(OR(D285="",G285=""),0,F285)</f>
        <v/>
      </c>
      <c r="L285" s="12">
        <f>IF(OR(D285="",G285=""),0,H285*F285)</f>
        <v/>
      </c>
    </row>
    <row r="286">
      <c r="A286" s="9" t="n"/>
      <c r="B286" s="9" t="n"/>
      <c r="C286" s="9" t="n"/>
      <c r="D286" s="9" t="n"/>
      <c r="E286" s="8" t="n"/>
      <c r="F286" s="10" t="n"/>
      <c r="G286" s="8" t="n"/>
      <c r="H286" s="11">
        <f>IF(D286="","",IF(G286="",Setup!$B$5,G286)-E286)</f>
        <v/>
      </c>
      <c r="I286" s="6">
        <f>IF(D286="","",AND(LOWER(B286)="y",H286&gt;Setup!$B$4))</f>
        <v/>
      </c>
      <c r="J286" s="12">
        <f>IF(D286="","",IF(AND(I286=TRUE,G286=""),F286,0))</f>
        <v/>
      </c>
      <c r="K286" s="12">
        <f>IF(OR(D286="",G286=""),0,F286)</f>
        <v/>
      </c>
      <c r="L286" s="12">
        <f>IF(OR(D286="",G286=""),0,H286*F286)</f>
        <v/>
      </c>
    </row>
    <row r="287">
      <c r="A287" s="9" t="n"/>
      <c r="B287" s="9" t="n"/>
      <c r="C287" s="9" t="n"/>
      <c r="D287" s="9" t="n"/>
      <c r="E287" s="8" t="n"/>
      <c r="F287" s="10" t="n"/>
      <c r="G287" s="8" t="n"/>
      <c r="H287" s="11">
        <f>IF(D287="","",IF(G287="",Setup!$B$5,G287)-E287)</f>
        <v/>
      </c>
      <c r="I287" s="6">
        <f>IF(D287="","",AND(LOWER(B287)="y",H287&gt;Setup!$B$4))</f>
        <v/>
      </c>
      <c r="J287" s="12">
        <f>IF(D287="","",IF(AND(I287=TRUE,G287=""),F287,0))</f>
        <v/>
      </c>
      <c r="K287" s="12">
        <f>IF(OR(D287="",G287=""),0,F287)</f>
        <v/>
      </c>
      <c r="L287" s="12">
        <f>IF(OR(D287="",G287=""),0,H287*F287)</f>
        <v/>
      </c>
    </row>
    <row r="288">
      <c r="A288" s="9" t="n"/>
      <c r="B288" s="9" t="n"/>
      <c r="C288" s="9" t="n"/>
      <c r="D288" s="9" t="n"/>
      <c r="E288" s="8" t="n"/>
      <c r="F288" s="10" t="n"/>
      <c r="G288" s="8" t="n"/>
      <c r="H288" s="11">
        <f>IF(D288="","",IF(G288="",Setup!$B$5,G288)-E288)</f>
        <v/>
      </c>
      <c r="I288" s="6">
        <f>IF(D288="","",AND(LOWER(B288)="y",H288&gt;Setup!$B$4))</f>
        <v/>
      </c>
      <c r="J288" s="12">
        <f>IF(D288="","",IF(AND(I288=TRUE,G288=""),F288,0))</f>
        <v/>
      </c>
      <c r="K288" s="12">
        <f>IF(OR(D288="",G288=""),0,F288)</f>
        <v/>
      </c>
      <c r="L288" s="12">
        <f>IF(OR(D288="",G288=""),0,H288*F288)</f>
        <v/>
      </c>
    </row>
    <row r="289">
      <c r="A289" s="9" t="n"/>
      <c r="B289" s="9" t="n"/>
      <c r="C289" s="9" t="n"/>
      <c r="D289" s="9" t="n"/>
      <c r="E289" s="8" t="n"/>
      <c r="F289" s="10" t="n"/>
      <c r="G289" s="8" t="n"/>
      <c r="H289" s="11">
        <f>IF(D289="","",IF(G289="",Setup!$B$5,G289)-E289)</f>
        <v/>
      </c>
      <c r="I289" s="6">
        <f>IF(D289="","",AND(LOWER(B289)="y",H289&gt;Setup!$B$4))</f>
        <v/>
      </c>
      <c r="J289" s="12">
        <f>IF(D289="","",IF(AND(I289=TRUE,G289=""),F289,0))</f>
        <v/>
      </c>
      <c r="K289" s="12">
        <f>IF(OR(D289="",G289=""),0,F289)</f>
        <v/>
      </c>
      <c r="L289" s="12">
        <f>IF(OR(D289="",G289=""),0,H289*F289)</f>
        <v/>
      </c>
    </row>
    <row r="290">
      <c r="A290" s="9" t="n"/>
      <c r="B290" s="9" t="n"/>
      <c r="C290" s="9" t="n"/>
      <c r="D290" s="9" t="n"/>
      <c r="E290" s="8" t="n"/>
      <c r="F290" s="10" t="n"/>
      <c r="G290" s="8" t="n"/>
      <c r="H290" s="11">
        <f>IF(D290="","",IF(G290="",Setup!$B$5,G290)-E290)</f>
        <v/>
      </c>
      <c r="I290" s="6">
        <f>IF(D290="","",AND(LOWER(B290)="y",H290&gt;Setup!$B$4))</f>
        <v/>
      </c>
      <c r="J290" s="12">
        <f>IF(D290="","",IF(AND(I290=TRUE,G290=""),F290,0))</f>
        <v/>
      </c>
      <c r="K290" s="12">
        <f>IF(OR(D290="",G290=""),0,F290)</f>
        <v/>
      </c>
      <c r="L290" s="12">
        <f>IF(OR(D290="",G290=""),0,H290*F290)</f>
        <v/>
      </c>
    </row>
    <row r="291">
      <c r="A291" s="9" t="n"/>
      <c r="B291" s="9" t="n"/>
      <c r="C291" s="9" t="n"/>
      <c r="D291" s="9" t="n"/>
      <c r="E291" s="8" t="n"/>
      <c r="F291" s="10" t="n"/>
      <c r="G291" s="8" t="n"/>
      <c r="H291" s="11">
        <f>IF(D291="","",IF(G291="",Setup!$B$5,G291)-E291)</f>
        <v/>
      </c>
      <c r="I291" s="6">
        <f>IF(D291="","",AND(LOWER(B291)="y",H291&gt;Setup!$B$4))</f>
        <v/>
      </c>
      <c r="J291" s="12">
        <f>IF(D291="","",IF(AND(I291=TRUE,G291=""),F291,0))</f>
        <v/>
      </c>
      <c r="K291" s="12">
        <f>IF(OR(D291="",G291=""),0,F291)</f>
        <v/>
      </c>
      <c r="L291" s="12">
        <f>IF(OR(D291="",G291=""),0,H291*F291)</f>
        <v/>
      </c>
    </row>
    <row r="292">
      <c r="A292" s="9" t="n"/>
      <c r="B292" s="9" t="n"/>
      <c r="C292" s="9" t="n"/>
      <c r="D292" s="9" t="n"/>
      <c r="E292" s="8" t="n"/>
      <c r="F292" s="10" t="n"/>
      <c r="G292" s="8" t="n"/>
      <c r="H292" s="11">
        <f>IF(D292="","",IF(G292="",Setup!$B$5,G292)-E292)</f>
        <v/>
      </c>
      <c r="I292" s="6">
        <f>IF(D292="","",AND(LOWER(B292)="y",H292&gt;Setup!$B$4))</f>
        <v/>
      </c>
      <c r="J292" s="12">
        <f>IF(D292="","",IF(AND(I292=TRUE,G292=""),F292,0))</f>
        <v/>
      </c>
      <c r="K292" s="12">
        <f>IF(OR(D292="",G292=""),0,F292)</f>
        <v/>
      </c>
      <c r="L292" s="12">
        <f>IF(OR(D292="",G292=""),0,H292*F292)</f>
        <v/>
      </c>
    </row>
    <row r="293">
      <c r="A293" s="9" t="n"/>
      <c r="B293" s="9" t="n"/>
      <c r="C293" s="9" t="n"/>
      <c r="D293" s="9" t="n"/>
      <c r="E293" s="8" t="n"/>
      <c r="F293" s="10" t="n"/>
      <c r="G293" s="8" t="n"/>
      <c r="H293" s="11">
        <f>IF(D293="","",IF(G293="",Setup!$B$5,G293)-E293)</f>
        <v/>
      </c>
      <c r="I293" s="6">
        <f>IF(D293="","",AND(LOWER(B293)="y",H293&gt;Setup!$B$4))</f>
        <v/>
      </c>
      <c r="J293" s="12">
        <f>IF(D293="","",IF(AND(I293=TRUE,G293=""),F293,0))</f>
        <v/>
      </c>
      <c r="K293" s="12">
        <f>IF(OR(D293="",G293=""),0,F293)</f>
        <v/>
      </c>
      <c r="L293" s="12">
        <f>IF(OR(D293="",G293=""),0,H293*F293)</f>
        <v/>
      </c>
    </row>
    <row r="294">
      <c r="A294" s="9" t="n"/>
      <c r="B294" s="9" t="n"/>
      <c r="C294" s="9" t="n"/>
      <c r="D294" s="9" t="n"/>
      <c r="E294" s="8" t="n"/>
      <c r="F294" s="10" t="n"/>
      <c r="G294" s="8" t="n"/>
      <c r="H294" s="11">
        <f>IF(D294="","",IF(G294="",Setup!$B$5,G294)-E294)</f>
        <v/>
      </c>
      <c r="I294" s="6">
        <f>IF(D294="","",AND(LOWER(B294)="y",H294&gt;Setup!$B$4))</f>
        <v/>
      </c>
      <c r="J294" s="12">
        <f>IF(D294="","",IF(AND(I294=TRUE,G294=""),F294,0))</f>
        <v/>
      </c>
      <c r="K294" s="12">
        <f>IF(OR(D294="",G294=""),0,F294)</f>
        <v/>
      </c>
      <c r="L294" s="12">
        <f>IF(OR(D294="",G294=""),0,H294*F294)</f>
        <v/>
      </c>
    </row>
    <row r="295">
      <c r="A295" s="9" t="n"/>
      <c r="B295" s="9" t="n"/>
      <c r="C295" s="9" t="n"/>
      <c r="D295" s="9" t="n"/>
      <c r="E295" s="8" t="n"/>
      <c r="F295" s="10" t="n"/>
      <c r="G295" s="8" t="n"/>
      <c r="H295" s="11">
        <f>IF(D295="","",IF(G295="",Setup!$B$5,G295)-E295)</f>
        <v/>
      </c>
      <c r="I295" s="6">
        <f>IF(D295="","",AND(LOWER(B295)="y",H295&gt;Setup!$B$4))</f>
        <v/>
      </c>
      <c r="J295" s="12">
        <f>IF(D295="","",IF(AND(I295=TRUE,G295=""),F295,0))</f>
        <v/>
      </c>
      <c r="K295" s="12">
        <f>IF(OR(D295="",G295=""),0,F295)</f>
        <v/>
      </c>
      <c r="L295" s="12">
        <f>IF(OR(D295="",G295=""),0,H295*F295)</f>
        <v/>
      </c>
    </row>
    <row r="296">
      <c r="A296" s="9" t="n"/>
      <c r="B296" s="9" t="n"/>
      <c r="C296" s="9" t="n"/>
      <c r="D296" s="9" t="n"/>
      <c r="E296" s="8" t="n"/>
      <c r="F296" s="10" t="n"/>
      <c r="G296" s="8" t="n"/>
      <c r="H296" s="11">
        <f>IF(D296="","",IF(G296="",Setup!$B$5,G296)-E296)</f>
        <v/>
      </c>
      <c r="I296" s="6">
        <f>IF(D296="","",AND(LOWER(B296)="y",H296&gt;Setup!$B$4))</f>
        <v/>
      </c>
      <c r="J296" s="12">
        <f>IF(D296="","",IF(AND(I296=TRUE,G296=""),F296,0))</f>
        <v/>
      </c>
      <c r="K296" s="12">
        <f>IF(OR(D296="",G296=""),0,F296)</f>
        <v/>
      </c>
      <c r="L296" s="12">
        <f>IF(OR(D296="",G296=""),0,H296*F296)</f>
        <v/>
      </c>
    </row>
    <row r="297">
      <c r="A297" s="9" t="n"/>
      <c r="B297" s="9" t="n"/>
      <c r="C297" s="9" t="n"/>
      <c r="D297" s="9" t="n"/>
      <c r="E297" s="8" t="n"/>
      <c r="F297" s="10" t="n"/>
      <c r="G297" s="8" t="n"/>
      <c r="H297" s="11">
        <f>IF(D297="","",IF(G297="",Setup!$B$5,G297)-E297)</f>
        <v/>
      </c>
      <c r="I297" s="6">
        <f>IF(D297="","",AND(LOWER(B297)="y",H297&gt;Setup!$B$4))</f>
        <v/>
      </c>
      <c r="J297" s="12">
        <f>IF(D297="","",IF(AND(I297=TRUE,G297=""),F297,0))</f>
        <v/>
      </c>
      <c r="K297" s="12">
        <f>IF(OR(D297="",G297=""),0,F297)</f>
        <v/>
      </c>
      <c r="L297" s="12">
        <f>IF(OR(D297="",G297=""),0,H297*F297)</f>
        <v/>
      </c>
    </row>
    <row r="298">
      <c r="A298" s="9" t="n"/>
      <c r="B298" s="9" t="n"/>
      <c r="C298" s="9" t="n"/>
      <c r="D298" s="9" t="n"/>
      <c r="E298" s="8" t="n"/>
      <c r="F298" s="10" t="n"/>
      <c r="G298" s="8" t="n"/>
      <c r="H298" s="11">
        <f>IF(D298="","",IF(G298="",Setup!$B$5,G298)-E298)</f>
        <v/>
      </c>
      <c r="I298" s="6">
        <f>IF(D298="","",AND(LOWER(B298)="y",H298&gt;Setup!$B$4))</f>
        <v/>
      </c>
      <c r="J298" s="12">
        <f>IF(D298="","",IF(AND(I298=TRUE,G298=""),F298,0))</f>
        <v/>
      </c>
      <c r="K298" s="12">
        <f>IF(OR(D298="",G298=""),0,F298)</f>
        <v/>
      </c>
      <c r="L298" s="12">
        <f>IF(OR(D298="",G298=""),0,H298*F298)</f>
        <v/>
      </c>
    </row>
    <row r="299">
      <c r="A299" s="9" t="n"/>
      <c r="B299" s="9" t="n"/>
      <c r="C299" s="9" t="n"/>
      <c r="D299" s="9" t="n"/>
      <c r="E299" s="8" t="n"/>
      <c r="F299" s="10" t="n"/>
      <c r="G299" s="8" t="n"/>
      <c r="H299" s="11">
        <f>IF(D299="","",IF(G299="",Setup!$B$5,G299)-E299)</f>
        <v/>
      </c>
      <c r="I299" s="6">
        <f>IF(D299="","",AND(LOWER(B299)="y",H299&gt;Setup!$B$4))</f>
        <v/>
      </c>
      <c r="J299" s="12">
        <f>IF(D299="","",IF(AND(I299=TRUE,G299=""),F299,0))</f>
        <v/>
      </c>
      <c r="K299" s="12">
        <f>IF(OR(D299="",G299=""),0,F299)</f>
        <v/>
      </c>
      <c r="L299" s="12">
        <f>IF(OR(D299="",G299=""),0,H299*F299)</f>
        <v/>
      </c>
    </row>
    <row r="300">
      <c r="A300" s="9" t="n"/>
      <c r="B300" s="9" t="n"/>
      <c r="C300" s="9" t="n"/>
      <c r="D300" s="9" t="n"/>
      <c r="E300" s="8" t="n"/>
      <c r="F300" s="10" t="n"/>
      <c r="G300" s="8" t="n"/>
      <c r="H300" s="11">
        <f>IF(D300="","",IF(G300="",Setup!$B$5,G300)-E300)</f>
        <v/>
      </c>
      <c r="I300" s="6">
        <f>IF(D300="","",AND(LOWER(B300)="y",H300&gt;Setup!$B$4))</f>
        <v/>
      </c>
      <c r="J300" s="12">
        <f>IF(D300="","",IF(AND(I300=TRUE,G300=""),F300,0))</f>
        <v/>
      </c>
      <c r="K300" s="12">
        <f>IF(OR(D300="",G300=""),0,F300)</f>
        <v/>
      </c>
      <c r="L300" s="12">
        <f>IF(OR(D300="",G300=""),0,H300*F300)</f>
        <v/>
      </c>
    </row>
    <row r="301">
      <c r="A301" s="9" t="n"/>
      <c r="B301" s="9" t="n"/>
      <c r="C301" s="9" t="n"/>
      <c r="D301" s="9" t="n"/>
      <c r="E301" s="8" t="n"/>
      <c r="F301" s="10" t="n"/>
      <c r="G301" s="8" t="n"/>
      <c r="H301" s="11">
        <f>IF(D301="","",IF(G301="",Setup!$B$5,G301)-E301)</f>
        <v/>
      </c>
      <c r="I301" s="6">
        <f>IF(D301="","",AND(LOWER(B301)="y",H301&gt;Setup!$B$4))</f>
        <v/>
      </c>
      <c r="J301" s="12">
        <f>IF(D301="","",IF(AND(I301=TRUE,G301=""),F301,0))</f>
        <v/>
      </c>
      <c r="K301" s="12">
        <f>IF(OR(D301="",G301=""),0,F301)</f>
        <v/>
      </c>
      <c r="L301" s="12">
        <f>IF(OR(D301="",G301=""),0,H301*F301)</f>
        <v/>
      </c>
    </row>
    <row r="302">
      <c r="A302" s="9" t="n"/>
      <c r="B302" s="9" t="n"/>
      <c r="C302" s="9" t="n"/>
      <c r="D302" s="9" t="n"/>
      <c r="E302" s="8" t="n"/>
      <c r="F302" s="10" t="n"/>
      <c r="G302" s="8" t="n"/>
      <c r="H302" s="11">
        <f>IF(D302="","",IF(G302="",Setup!$B$5,G302)-E302)</f>
        <v/>
      </c>
      <c r="I302" s="6">
        <f>IF(D302="","",AND(LOWER(B302)="y",H302&gt;Setup!$B$4))</f>
        <v/>
      </c>
      <c r="J302" s="12">
        <f>IF(D302="","",IF(AND(I302=TRUE,G302=""),F302,0))</f>
        <v/>
      </c>
      <c r="K302" s="12">
        <f>IF(OR(D302="",G302=""),0,F302)</f>
        <v/>
      </c>
      <c r="L302" s="12">
        <f>IF(OR(D302="",G302=""),0,H302*F302)</f>
        <v/>
      </c>
    </row>
    <row r="303">
      <c r="A303" s="9" t="n"/>
      <c r="B303" s="9" t="n"/>
      <c r="C303" s="9" t="n"/>
      <c r="D303" s="9" t="n"/>
      <c r="E303" s="8" t="n"/>
      <c r="F303" s="10" t="n"/>
      <c r="G303" s="8" t="n"/>
      <c r="H303" s="11">
        <f>IF(D303="","",IF(G303="",Setup!$B$5,G303)-E303)</f>
        <v/>
      </c>
      <c r="I303" s="6">
        <f>IF(D303="","",AND(LOWER(B303)="y",H303&gt;Setup!$B$4))</f>
        <v/>
      </c>
      <c r="J303" s="12">
        <f>IF(D303="","",IF(AND(I303=TRUE,G303=""),F303,0))</f>
        <v/>
      </c>
      <c r="K303" s="12">
        <f>IF(OR(D303="",G303=""),0,F303)</f>
        <v/>
      </c>
      <c r="L303" s="12">
        <f>IF(OR(D303="",G303=""),0,H303*F303)</f>
        <v/>
      </c>
    </row>
    <row r="304">
      <c r="A304" s="9" t="n"/>
      <c r="B304" s="9" t="n"/>
      <c r="C304" s="9" t="n"/>
      <c r="D304" s="9" t="n"/>
      <c r="E304" s="8" t="n"/>
      <c r="F304" s="10" t="n"/>
      <c r="G304" s="8" t="n"/>
      <c r="H304" s="11">
        <f>IF(D304="","",IF(G304="",Setup!$B$5,G304)-E304)</f>
        <v/>
      </c>
      <c r="I304" s="6">
        <f>IF(D304="","",AND(LOWER(B304)="y",H304&gt;Setup!$B$4))</f>
        <v/>
      </c>
      <c r="J304" s="12">
        <f>IF(D304="","",IF(AND(I304=TRUE,G304=""),F304,0))</f>
        <v/>
      </c>
      <c r="K304" s="12">
        <f>IF(OR(D304="",G304=""),0,F304)</f>
        <v/>
      </c>
      <c r="L304" s="12">
        <f>IF(OR(D304="",G304=""),0,H304*F304)</f>
        <v/>
      </c>
    </row>
    <row r="305">
      <c r="A305" s="9" t="n"/>
      <c r="B305" s="9" t="n"/>
      <c r="C305" s="9" t="n"/>
      <c r="D305" s="9" t="n"/>
      <c r="E305" s="8" t="n"/>
      <c r="F305" s="10" t="n"/>
      <c r="G305" s="8" t="n"/>
      <c r="H305" s="11">
        <f>IF(D305="","",IF(G305="",Setup!$B$5,G305)-E305)</f>
        <v/>
      </c>
      <c r="I305" s="6">
        <f>IF(D305="","",AND(LOWER(B305)="y",H305&gt;Setup!$B$4))</f>
        <v/>
      </c>
      <c r="J305" s="12">
        <f>IF(D305="","",IF(AND(I305=TRUE,G305=""),F305,0))</f>
        <v/>
      </c>
      <c r="K305" s="12">
        <f>IF(OR(D305="",G305=""),0,F305)</f>
        <v/>
      </c>
      <c r="L305" s="12">
        <f>IF(OR(D305="",G305=""),0,H305*F305)</f>
        <v/>
      </c>
    </row>
    <row r="306">
      <c r="A306" s="9" t="n"/>
      <c r="B306" s="9" t="n"/>
      <c r="C306" s="9" t="n"/>
      <c r="D306" s="9" t="n"/>
      <c r="E306" s="8" t="n"/>
      <c r="F306" s="10" t="n"/>
      <c r="G306" s="8" t="n"/>
      <c r="H306" s="11">
        <f>IF(D306="","",IF(G306="",Setup!$B$5,G306)-E306)</f>
        <v/>
      </c>
      <c r="I306" s="6">
        <f>IF(D306="","",AND(LOWER(B306)="y",H306&gt;Setup!$B$4))</f>
        <v/>
      </c>
      <c r="J306" s="12">
        <f>IF(D306="","",IF(AND(I306=TRUE,G306=""),F306,0))</f>
        <v/>
      </c>
      <c r="K306" s="12">
        <f>IF(OR(D306="",G306=""),0,F306)</f>
        <v/>
      </c>
      <c r="L306" s="12">
        <f>IF(OR(D306="",G306=""),0,H306*F306)</f>
        <v/>
      </c>
    </row>
    <row r="307">
      <c r="A307" s="9" t="n"/>
      <c r="B307" s="9" t="n"/>
      <c r="C307" s="9" t="n"/>
      <c r="D307" s="9" t="n"/>
      <c r="E307" s="8" t="n"/>
      <c r="F307" s="10" t="n"/>
      <c r="G307" s="8" t="n"/>
      <c r="H307" s="11">
        <f>IF(D307="","",IF(G307="",Setup!$B$5,G307)-E307)</f>
        <v/>
      </c>
      <c r="I307" s="6">
        <f>IF(D307="","",AND(LOWER(B307)="y",H307&gt;Setup!$B$4))</f>
        <v/>
      </c>
      <c r="J307" s="12">
        <f>IF(D307="","",IF(AND(I307=TRUE,G307=""),F307,0))</f>
        <v/>
      </c>
      <c r="K307" s="12">
        <f>IF(OR(D307="",G307=""),0,F307)</f>
        <v/>
      </c>
      <c r="L307" s="12">
        <f>IF(OR(D307="",G307=""),0,H307*F307)</f>
        <v/>
      </c>
    </row>
    <row r="308">
      <c r="A308" s="9" t="n"/>
      <c r="B308" s="9" t="n"/>
      <c r="C308" s="9" t="n"/>
      <c r="D308" s="9" t="n"/>
      <c r="E308" s="8" t="n"/>
      <c r="F308" s="10" t="n"/>
      <c r="G308" s="8" t="n"/>
      <c r="H308" s="11">
        <f>IF(D308="","",IF(G308="",Setup!$B$5,G308)-E308)</f>
        <v/>
      </c>
      <c r="I308" s="6">
        <f>IF(D308="","",AND(LOWER(B308)="y",H308&gt;Setup!$B$4))</f>
        <v/>
      </c>
      <c r="J308" s="12">
        <f>IF(D308="","",IF(AND(I308=TRUE,G308=""),F308,0))</f>
        <v/>
      </c>
      <c r="K308" s="12">
        <f>IF(OR(D308="",G308=""),0,F308)</f>
        <v/>
      </c>
      <c r="L308" s="12">
        <f>IF(OR(D308="",G308=""),0,H308*F308)</f>
        <v/>
      </c>
    </row>
    <row r="309">
      <c r="A309" s="9" t="n"/>
      <c r="B309" s="9" t="n"/>
      <c r="C309" s="9" t="n"/>
      <c r="D309" s="9" t="n"/>
      <c r="E309" s="8" t="n"/>
      <c r="F309" s="10" t="n"/>
      <c r="G309" s="8" t="n"/>
      <c r="H309" s="11">
        <f>IF(D309="","",IF(G309="",Setup!$B$5,G309)-E309)</f>
        <v/>
      </c>
      <c r="I309" s="6">
        <f>IF(D309="","",AND(LOWER(B309)="y",H309&gt;Setup!$B$4))</f>
        <v/>
      </c>
      <c r="J309" s="12">
        <f>IF(D309="","",IF(AND(I309=TRUE,G309=""),F309,0))</f>
        <v/>
      </c>
      <c r="K309" s="12">
        <f>IF(OR(D309="",G309=""),0,F309)</f>
        <v/>
      </c>
      <c r="L309" s="12">
        <f>IF(OR(D309="",G309=""),0,H309*F309)</f>
        <v/>
      </c>
    </row>
    <row r="310">
      <c r="A310" s="9" t="n"/>
      <c r="B310" s="9" t="n"/>
      <c r="C310" s="9" t="n"/>
      <c r="D310" s="9" t="n"/>
      <c r="E310" s="8" t="n"/>
      <c r="F310" s="10" t="n"/>
      <c r="G310" s="8" t="n"/>
      <c r="H310" s="11">
        <f>IF(D310="","",IF(G310="",Setup!$B$5,G310)-E310)</f>
        <v/>
      </c>
      <c r="I310" s="6">
        <f>IF(D310="","",AND(LOWER(B310)="y",H310&gt;Setup!$B$4))</f>
        <v/>
      </c>
      <c r="J310" s="12">
        <f>IF(D310="","",IF(AND(I310=TRUE,G310=""),F310,0))</f>
        <v/>
      </c>
      <c r="K310" s="12">
        <f>IF(OR(D310="",G310=""),0,F310)</f>
        <v/>
      </c>
      <c r="L310" s="12">
        <f>IF(OR(D310="",G310=""),0,H310*F310)</f>
        <v/>
      </c>
    </row>
    <row r="311">
      <c r="A311" s="9" t="n"/>
      <c r="B311" s="9" t="n"/>
      <c r="C311" s="9" t="n"/>
      <c r="D311" s="9" t="n"/>
      <c r="E311" s="8" t="n"/>
      <c r="F311" s="10" t="n"/>
      <c r="G311" s="8" t="n"/>
      <c r="H311" s="11">
        <f>IF(D311="","",IF(G311="",Setup!$B$5,G311)-E311)</f>
        <v/>
      </c>
      <c r="I311" s="6">
        <f>IF(D311="","",AND(LOWER(B311)="y",H311&gt;Setup!$B$4))</f>
        <v/>
      </c>
      <c r="J311" s="12">
        <f>IF(D311="","",IF(AND(I311=TRUE,G311=""),F311,0))</f>
        <v/>
      </c>
      <c r="K311" s="12">
        <f>IF(OR(D311="",G311=""),0,F311)</f>
        <v/>
      </c>
      <c r="L311" s="12">
        <f>IF(OR(D311="",G311=""),0,H311*F311)</f>
        <v/>
      </c>
    </row>
    <row r="312">
      <c r="A312" s="9" t="n"/>
      <c r="B312" s="9" t="n"/>
      <c r="C312" s="9" t="n"/>
      <c r="D312" s="9" t="n"/>
      <c r="E312" s="8" t="n"/>
      <c r="F312" s="10" t="n"/>
      <c r="G312" s="8" t="n"/>
      <c r="H312" s="11">
        <f>IF(D312="","",IF(G312="",Setup!$B$5,G312)-E312)</f>
        <v/>
      </c>
      <c r="I312" s="6">
        <f>IF(D312="","",AND(LOWER(B312)="y",H312&gt;Setup!$B$4))</f>
        <v/>
      </c>
      <c r="J312" s="12">
        <f>IF(D312="","",IF(AND(I312=TRUE,G312=""),F312,0))</f>
        <v/>
      </c>
      <c r="K312" s="12">
        <f>IF(OR(D312="",G312=""),0,F312)</f>
        <v/>
      </c>
      <c r="L312" s="12">
        <f>IF(OR(D312="",G312=""),0,H312*F312)</f>
        <v/>
      </c>
    </row>
    <row r="313">
      <c r="A313" s="9" t="n"/>
      <c r="B313" s="9" t="n"/>
      <c r="C313" s="9" t="n"/>
      <c r="D313" s="9" t="n"/>
      <c r="E313" s="8" t="n"/>
      <c r="F313" s="10" t="n"/>
      <c r="G313" s="8" t="n"/>
      <c r="H313" s="11">
        <f>IF(D313="","",IF(G313="",Setup!$B$5,G313)-E313)</f>
        <v/>
      </c>
      <c r="I313" s="6">
        <f>IF(D313="","",AND(LOWER(B313)="y",H313&gt;Setup!$B$4))</f>
        <v/>
      </c>
      <c r="J313" s="12">
        <f>IF(D313="","",IF(AND(I313=TRUE,G313=""),F313,0))</f>
        <v/>
      </c>
      <c r="K313" s="12">
        <f>IF(OR(D313="",G313=""),0,F313)</f>
        <v/>
      </c>
      <c r="L313" s="12">
        <f>IF(OR(D313="",G313=""),0,H313*F313)</f>
        <v/>
      </c>
    </row>
    <row r="314">
      <c r="A314" s="9" t="n"/>
      <c r="B314" s="9" t="n"/>
      <c r="C314" s="9" t="n"/>
      <c r="D314" s="9" t="n"/>
      <c r="E314" s="8" t="n"/>
      <c r="F314" s="10" t="n"/>
      <c r="G314" s="8" t="n"/>
      <c r="H314" s="11">
        <f>IF(D314="","",IF(G314="",Setup!$B$5,G314)-E314)</f>
        <v/>
      </c>
      <c r="I314" s="6">
        <f>IF(D314="","",AND(LOWER(B314)="y",H314&gt;Setup!$B$4))</f>
        <v/>
      </c>
      <c r="J314" s="12">
        <f>IF(D314="","",IF(AND(I314=TRUE,G314=""),F314,0))</f>
        <v/>
      </c>
      <c r="K314" s="12">
        <f>IF(OR(D314="",G314=""),0,F314)</f>
        <v/>
      </c>
      <c r="L314" s="12">
        <f>IF(OR(D314="",G314=""),0,H314*F314)</f>
        <v/>
      </c>
    </row>
    <row r="315">
      <c r="A315" s="9" t="n"/>
      <c r="B315" s="9" t="n"/>
      <c r="C315" s="9" t="n"/>
      <c r="D315" s="9" t="n"/>
      <c r="E315" s="8" t="n"/>
      <c r="F315" s="10" t="n"/>
      <c r="G315" s="8" t="n"/>
      <c r="H315" s="11">
        <f>IF(D315="","",IF(G315="",Setup!$B$5,G315)-E315)</f>
        <v/>
      </c>
      <c r="I315" s="6">
        <f>IF(D315="","",AND(LOWER(B315)="y",H315&gt;Setup!$B$4))</f>
        <v/>
      </c>
      <c r="J315" s="12">
        <f>IF(D315="","",IF(AND(I315=TRUE,G315=""),F315,0))</f>
        <v/>
      </c>
      <c r="K315" s="12">
        <f>IF(OR(D315="",G315=""),0,F315)</f>
        <v/>
      </c>
      <c r="L315" s="12">
        <f>IF(OR(D315="",G315=""),0,H315*F315)</f>
        <v/>
      </c>
    </row>
    <row r="316">
      <c r="A316" s="9" t="n"/>
      <c r="B316" s="9" t="n"/>
      <c r="C316" s="9" t="n"/>
      <c r="D316" s="9" t="n"/>
      <c r="E316" s="8" t="n"/>
      <c r="F316" s="10" t="n"/>
      <c r="G316" s="8" t="n"/>
      <c r="H316" s="11">
        <f>IF(D316="","",IF(G316="",Setup!$B$5,G316)-E316)</f>
        <v/>
      </c>
      <c r="I316" s="6">
        <f>IF(D316="","",AND(LOWER(B316)="y",H316&gt;Setup!$B$4))</f>
        <v/>
      </c>
      <c r="J316" s="12">
        <f>IF(D316="","",IF(AND(I316=TRUE,G316=""),F316,0))</f>
        <v/>
      </c>
      <c r="K316" s="12">
        <f>IF(OR(D316="",G316=""),0,F316)</f>
        <v/>
      </c>
      <c r="L316" s="12">
        <f>IF(OR(D316="",G316=""),0,H316*F316)</f>
        <v/>
      </c>
    </row>
    <row r="317">
      <c r="A317" s="9" t="n"/>
      <c r="B317" s="9" t="n"/>
      <c r="C317" s="9" t="n"/>
      <c r="D317" s="9" t="n"/>
      <c r="E317" s="8" t="n"/>
      <c r="F317" s="10" t="n"/>
      <c r="G317" s="8" t="n"/>
      <c r="H317" s="11">
        <f>IF(D317="","",IF(G317="",Setup!$B$5,G317)-E317)</f>
        <v/>
      </c>
      <c r="I317" s="6">
        <f>IF(D317="","",AND(LOWER(B317)="y",H317&gt;Setup!$B$4))</f>
        <v/>
      </c>
      <c r="J317" s="12">
        <f>IF(D317="","",IF(AND(I317=TRUE,G317=""),F317,0))</f>
        <v/>
      </c>
      <c r="K317" s="12">
        <f>IF(OR(D317="",G317=""),0,F317)</f>
        <v/>
      </c>
      <c r="L317" s="12">
        <f>IF(OR(D317="",G317=""),0,H317*F317)</f>
        <v/>
      </c>
    </row>
    <row r="318">
      <c r="A318" s="9" t="n"/>
      <c r="B318" s="9" t="n"/>
      <c r="C318" s="9" t="n"/>
      <c r="D318" s="9" t="n"/>
      <c r="E318" s="8" t="n"/>
      <c r="F318" s="10" t="n"/>
      <c r="G318" s="8" t="n"/>
      <c r="H318" s="11">
        <f>IF(D318="","",IF(G318="",Setup!$B$5,G318)-E318)</f>
        <v/>
      </c>
      <c r="I318" s="6">
        <f>IF(D318="","",AND(LOWER(B318)="y",H318&gt;Setup!$B$4))</f>
        <v/>
      </c>
      <c r="J318" s="12">
        <f>IF(D318="","",IF(AND(I318=TRUE,G318=""),F318,0))</f>
        <v/>
      </c>
      <c r="K318" s="12">
        <f>IF(OR(D318="",G318=""),0,F318)</f>
        <v/>
      </c>
      <c r="L318" s="12">
        <f>IF(OR(D318="",G318=""),0,H318*F318)</f>
        <v/>
      </c>
    </row>
    <row r="319">
      <c r="A319" s="9" t="n"/>
      <c r="B319" s="9" t="n"/>
      <c r="C319" s="9" t="n"/>
      <c r="D319" s="9" t="n"/>
      <c r="E319" s="8" t="n"/>
      <c r="F319" s="10" t="n"/>
      <c r="G319" s="8" t="n"/>
      <c r="H319" s="11">
        <f>IF(D319="","",IF(G319="",Setup!$B$5,G319)-E319)</f>
        <v/>
      </c>
      <c r="I319" s="6">
        <f>IF(D319="","",AND(LOWER(B319)="y",H319&gt;Setup!$B$4))</f>
        <v/>
      </c>
      <c r="J319" s="12">
        <f>IF(D319="","",IF(AND(I319=TRUE,G319=""),F319,0))</f>
        <v/>
      </c>
      <c r="K319" s="12">
        <f>IF(OR(D319="",G319=""),0,F319)</f>
        <v/>
      </c>
      <c r="L319" s="12">
        <f>IF(OR(D319="",G319=""),0,H319*F319)</f>
        <v/>
      </c>
    </row>
    <row r="320">
      <c r="A320" s="9" t="n"/>
      <c r="B320" s="9" t="n"/>
      <c r="C320" s="9" t="n"/>
      <c r="D320" s="9" t="n"/>
      <c r="E320" s="8" t="n"/>
      <c r="F320" s="10" t="n"/>
      <c r="G320" s="8" t="n"/>
      <c r="H320" s="11">
        <f>IF(D320="","",IF(G320="",Setup!$B$5,G320)-E320)</f>
        <v/>
      </c>
      <c r="I320" s="6">
        <f>IF(D320="","",AND(LOWER(B320)="y",H320&gt;Setup!$B$4))</f>
        <v/>
      </c>
      <c r="J320" s="12">
        <f>IF(D320="","",IF(AND(I320=TRUE,G320=""),F320,0))</f>
        <v/>
      </c>
      <c r="K320" s="12">
        <f>IF(OR(D320="",G320=""),0,F320)</f>
        <v/>
      </c>
      <c r="L320" s="12">
        <f>IF(OR(D320="",G320=""),0,H320*F320)</f>
        <v/>
      </c>
    </row>
    <row r="321">
      <c r="A321" s="9" t="n"/>
      <c r="B321" s="9" t="n"/>
      <c r="C321" s="9" t="n"/>
      <c r="D321" s="9" t="n"/>
      <c r="E321" s="8" t="n"/>
      <c r="F321" s="10" t="n"/>
      <c r="G321" s="8" t="n"/>
      <c r="H321" s="11">
        <f>IF(D321="","",IF(G321="",Setup!$B$5,G321)-E321)</f>
        <v/>
      </c>
      <c r="I321" s="6">
        <f>IF(D321="","",AND(LOWER(B321)="y",H321&gt;Setup!$B$4))</f>
        <v/>
      </c>
      <c r="J321" s="12">
        <f>IF(D321="","",IF(AND(I321=TRUE,G321=""),F321,0))</f>
        <v/>
      </c>
      <c r="K321" s="12">
        <f>IF(OR(D321="",G321=""),0,F321)</f>
        <v/>
      </c>
      <c r="L321" s="12">
        <f>IF(OR(D321="",G321=""),0,H321*F321)</f>
        <v/>
      </c>
    </row>
    <row r="322">
      <c r="A322" s="9" t="n"/>
      <c r="B322" s="9" t="n"/>
      <c r="C322" s="9" t="n"/>
      <c r="D322" s="9" t="n"/>
      <c r="E322" s="8" t="n"/>
      <c r="F322" s="10" t="n"/>
      <c r="G322" s="8" t="n"/>
      <c r="H322" s="11">
        <f>IF(D322="","",IF(G322="",Setup!$B$5,G322)-E322)</f>
        <v/>
      </c>
      <c r="I322" s="6">
        <f>IF(D322="","",AND(LOWER(B322)="y",H322&gt;Setup!$B$4))</f>
        <v/>
      </c>
      <c r="J322" s="12">
        <f>IF(D322="","",IF(AND(I322=TRUE,G322=""),F322,0))</f>
        <v/>
      </c>
      <c r="K322" s="12">
        <f>IF(OR(D322="",G322=""),0,F322)</f>
        <v/>
      </c>
      <c r="L322" s="12">
        <f>IF(OR(D322="",G322=""),0,H322*F322)</f>
        <v/>
      </c>
    </row>
    <row r="323">
      <c r="A323" s="9" t="n"/>
      <c r="B323" s="9" t="n"/>
      <c r="C323" s="9" t="n"/>
      <c r="D323" s="9" t="n"/>
      <c r="E323" s="8" t="n"/>
      <c r="F323" s="10" t="n"/>
      <c r="G323" s="8" t="n"/>
      <c r="H323" s="11">
        <f>IF(D323="","",IF(G323="",Setup!$B$5,G323)-E323)</f>
        <v/>
      </c>
      <c r="I323" s="6">
        <f>IF(D323="","",AND(LOWER(B323)="y",H323&gt;Setup!$B$4))</f>
        <v/>
      </c>
      <c r="J323" s="12">
        <f>IF(D323="","",IF(AND(I323=TRUE,G323=""),F323,0))</f>
        <v/>
      </c>
      <c r="K323" s="12">
        <f>IF(OR(D323="",G323=""),0,F323)</f>
        <v/>
      </c>
      <c r="L323" s="12">
        <f>IF(OR(D323="",G323=""),0,H323*F323)</f>
        <v/>
      </c>
    </row>
    <row r="324">
      <c r="A324" s="9" t="n"/>
      <c r="B324" s="9" t="n"/>
      <c r="C324" s="9" t="n"/>
      <c r="D324" s="9" t="n"/>
      <c r="E324" s="8" t="n"/>
      <c r="F324" s="10" t="n"/>
      <c r="G324" s="8" t="n"/>
      <c r="H324" s="11">
        <f>IF(D324="","",IF(G324="",Setup!$B$5,G324)-E324)</f>
        <v/>
      </c>
      <c r="I324" s="6">
        <f>IF(D324="","",AND(LOWER(B324)="y",H324&gt;Setup!$B$4))</f>
        <v/>
      </c>
      <c r="J324" s="12">
        <f>IF(D324="","",IF(AND(I324=TRUE,G324=""),F324,0))</f>
        <v/>
      </c>
      <c r="K324" s="12">
        <f>IF(OR(D324="",G324=""),0,F324)</f>
        <v/>
      </c>
      <c r="L324" s="12">
        <f>IF(OR(D324="",G324=""),0,H324*F324)</f>
        <v/>
      </c>
    </row>
    <row r="325">
      <c r="A325" s="9" t="n"/>
      <c r="B325" s="9" t="n"/>
      <c r="C325" s="9" t="n"/>
      <c r="D325" s="9" t="n"/>
      <c r="E325" s="8" t="n"/>
      <c r="F325" s="10" t="n"/>
      <c r="G325" s="8" t="n"/>
      <c r="H325" s="11">
        <f>IF(D325="","",IF(G325="",Setup!$B$5,G325)-E325)</f>
        <v/>
      </c>
      <c r="I325" s="6">
        <f>IF(D325="","",AND(LOWER(B325)="y",H325&gt;Setup!$B$4))</f>
        <v/>
      </c>
      <c r="J325" s="12">
        <f>IF(D325="","",IF(AND(I325=TRUE,G325=""),F325,0))</f>
        <v/>
      </c>
      <c r="K325" s="12">
        <f>IF(OR(D325="",G325=""),0,F325)</f>
        <v/>
      </c>
      <c r="L325" s="12">
        <f>IF(OR(D325="",G325=""),0,H325*F325)</f>
        <v/>
      </c>
    </row>
    <row r="326">
      <c r="A326" s="9" t="n"/>
      <c r="B326" s="9" t="n"/>
      <c r="C326" s="9" t="n"/>
      <c r="D326" s="9" t="n"/>
      <c r="E326" s="8" t="n"/>
      <c r="F326" s="10" t="n"/>
      <c r="G326" s="8" t="n"/>
      <c r="H326" s="11">
        <f>IF(D326="","",IF(G326="",Setup!$B$5,G326)-E326)</f>
        <v/>
      </c>
      <c r="I326" s="6">
        <f>IF(D326="","",AND(LOWER(B326)="y",H326&gt;Setup!$B$4))</f>
        <v/>
      </c>
      <c r="J326" s="12">
        <f>IF(D326="","",IF(AND(I326=TRUE,G326=""),F326,0))</f>
        <v/>
      </c>
      <c r="K326" s="12">
        <f>IF(OR(D326="",G326=""),0,F326)</f>
        <v/>
      </c>
      <c r="L326" s="12">
        <f>IF(OR(D326="",G326=""),0,H326*F326)</f>
        <v/>
      </c>
    </row>
    <row r="327">
      <c r="A327" s="9" t="n"/>
      <c r="B327" s="9" t="n"/>
      <c r="C327" s="9" t="n"/>
      <c r="D327" s="9" t="n"/>
      <c r="E327" s="8" t="n"/>
      <c r="F327" s="10" t="n"/>
      <c r="G327" s="8" t="n"/>
      <c r="H327" s="11">
        <f>IF(D327="","",IF(G327="",Setup!$B$5,G327)-E327)</f>
        <v/>
      </c>
      <c r="I327" s="6">
        <f>IF(D327="","",AND(LOWER(B327)="y",H327&gt;Setup!$B$4))</f>
        <v/>
      </c>
      <c r="J327" s="12">
        <f>IF(D327="","",IF(AND(I327=TRUE,G327=""),F327,0))</f>
        <v/>
      </c>
      <c r="K327" s="12">
        <f>IF(OR(D327="",G327=""),0,F327)</f>
        <v/>
      </c>
      <c r="L327" s="12">
        <f>IF(OR(D327="",G327=""),0,H327*F327)</f>
        <v/>
      </c>
    </row>
    <row r="328">
      <c r="A328" s="9" t="n"/>
      <c r="B328" s="9" t="n"/>
      <c r="C328" s="9" t="n"/>
      <c r="D328" s="9" t="n"/>
      <c r="E328" s="8" t="n"/>
      <c r="F328" s="10" t="n"/>
      <c r="G328" s="8" t="n"/>
      <c r="H328" s="11">
        <f>IF(D328="","",IF(G328="",Setup!$B$5,G328)-E328)</f>
        <v/>
      </c>
      <c r="I328" s="6">
        <f>IF(D328="","",AND(LOWER(B328)="y",H328&gt;Setup!$B$4))</f>
        <v/>
      </c>
      <c r="J328" s="12">
        <f>IF(D328="","",IF(AND(I328=TRUE,G328=""),F328,0))</f>
        <v/>
      </c>
      <c r="K328" s="12">
        <f>IF(OR(D328="",G328=""),0,F328)</f>
        <v/>
      </c>
      <c r="L328" s="12">
        <f>IF(OR(D328="",G328=""),0,H328*F328)</f>
        <v/>
      </c>
    </row>
    <row r="329">
      <c r="A329" s="9" t="n"/>
      <c r="B329" s="9" t="n"/>
      <c r="C329" s="9" t="n"/>
      <c r="D329" s="9" t="n"/>
      <c r="E329" s="8" t="n"/>
      <c r="F329" s="10" t="n"/>
      <c r="G329" s="8" t="n"/>
      <c r="H329" s="11">
        <f>IF(D329="","",IF(G329="",Setup!$B$5,G329)-E329)</f>
        <v/>
      </c>
      <c r="I329" s="6">
        <f>IF(D329="","",AND(LOWER(B329)="y",H329&gt;Setup!$B$4))</f>
        <v/>
      </c>
      <c r="J329" s="12">
        <f>IF(D329="","",IF(AND(I329=TRUE,G329=""),F329,0))</f>
        <v/>
      </c>
      <c r="K329" s="12">
        <f>IF(OR(D329="",G329=""),0,F329)</f>
        <v/>
      </c>
      <c r="L329" s="12">
        <f>IF(OR(D329="",G329=""),0,H329*F329)</f>
        <v/>
      </c>
    </row>
    <row r="330">
      <c r="A330" s="9" t="n"/>
      <c r="B330" s="9" t="n"/>
      <c r="C330" s="9" t="n"/>
      <c r="D330" s="9" t="n"/>
      <c r="E330" s="8" t="n"/>
      <c r="F330" s="10" t="n"/>
      <c r="G330" s="8" t="n"/>
      <c r="H330" s="11">
        <f>IF(D330="","",IF(G330="",Setup!$B$5,G330)-E330)</f>
        <v/>
      </c>
      <c r="I330" s="6">
        <f>IF(D330="","",AND(LOWER(B330)="y",H330&gt;Setup!$B$4))</f>
        <v/>
      </c>
      <c r="J330" s="12">
        <f>IF(D330="","",IF(AND(I330=TRUE,G330=""),F330,0))</f>
        <v/>
      </c>
      <c r="K330" s="12">
        <f>IF(OR(D330="",G330=""),0,F330)</f>
        <v/>
      </c>
      <c r="L330" s="12">
        <f>IF(OR(D330="",G330=""),0,H330*F330)</f>
        <v/>
      </c>
    </row>
    <row r="331">
      <c r="A331" s="9" t="n"/>
      <c r="B331" s="9" t="n"/>
      <c r="C331" s="9" t="n"/>
      <c r="D331" s="9" t="n"/>
      <c r="E331" s="8" t="n"/>
      <c r="F331" s="10" t="n"/>
      <c r="G331" s="8" t="n"/>
      <c r="H331" s="11">
        <f>IF(D331="","",IF(G331="",Setup!$B$5,G331)-E331)</f>
        <v/>
      </c>
      <c r="I331" s="6">
        <f>IF(D331="","",AND(LOWER(B331)="y",H331&gt;Setup!$B$4))</f>
        <v/>
      </c>
      <c r="J331" s="12">
        <f>IF(D331="","",IF(AND(I331=TRUE,G331=""),F331,0))</f>
        <v/>
      </c>
      <c r="K331" s="12">
        <f>IF(OR(D331="",G331=""),0,F331)</f>
        <v/>
      </c>
      <c r="L331" s="12">
        <f>IF(OR(D331="",G331=""),0,H331*F331)</f>
        <v/>
      </c>
    </row>
    <row r="332">
      <c r="A332" s="9" t="n"/>
      <c r="B332" s="9" t="n"/>
      <c r="C332" s="9" t="n"/>
      <c r="D332" s="9" t="n"/>
      <c r="E332" s="8" t="n"/>
      <c r="F332" s="10" t="n"/>
      <c r="G332" s="8" t="n"/>
      <c r="H332" s="11">
        <f>IF(D332="","",IF(G332="",Setup!$B$5,G332)-E332)</f>
        <v/>
      </c>
      <c r="I332" s="6">
        <f>IF(D332="","",AND(LOWER(B332)="y",H332&gt;Setup!$B$4))</f>
        <v/>
      </c>
      <c r="J332" s="12">
        <f>IF(D332="","",IF(AND(I332=TRUE,G332=""),F332,0))</f>
        <v/>
      </c>
      <c r="K332" s="12">
        <f>IF(OR(D332="",G332=""),0,F332)</f>
        <v/>
      </c>
      <c r="L332" s="12">
        <f>IF(OR(D332="",G332=""),0,H332*F332)</f>
        <v/>
      </c>
    </row>
    <row r="333">
      <c r="A333" s="9" t="n"/>
      <c r="B333" s="9" t="n"/>
      <c r="C333" s="9" t="n"/>
      <c r="D333" s="9" t="n"/>
      <c r="E333" s="8" t="n"/>
      <c r="F333" s="10" t="n"/>
      <c r="G333" s="8" t="n"/>
      <c r="H333" s="11">
        <f>IF(D333="","",IF(G333="",Setup!$B$5,G333)-E333)</f>
        <v/>
      </c>
      <c r="I333" s="6">
        <f>IF(D333="","",AND(LOWER(B333)="y",H333&gt;Setup!$B$4))</f>
        <v/>
      </c>
      <c r="J333" s="12">
        <f>IF(D333="","",IF(AND(I333=TRUE,G333=""),F333,0))</f>
        <v/>
      </c>
      <c r="K333" s="12">
        <f>IF(OR(D333="",G333=""),0,F333)</f>
        <v/>
      </c>
      <c r="L333" s="12">
        <f>IF(OR(D333="",G333=""),0,H333*F333)</f>
        <v/>
      </c>
    </row>
    <row r="334">
      <c r="A334" s="9" t="n"/>
      <c r="B334" s="9" t="n"/>
      <c r="C334" s="9" t="n"/>
      <c r="D334" s="9" t="n"/>
      <c r="E334" s="8" t="n"/>
      <c r="F334" s="10" t="n"/>
      <c r="G334" s="8" t="n"/>
      <c r="H334" s="11">
        <f>IF(D334="","",IF(G334="",Setup!$B$5,G334)-E334)</f>
        <v/>
      </c>
      <c r="I334" s="6">
        <f>IF(D334="","",AND(LOWER(B334)="y",H334&gt;Setup!$B$4))</f>
        <v/>
      </c>
      <c r="J334" s="12">
        <f>IF(D334="","",IF(AND(I334=TRUE,G334=""),F334,0))</f>
        <v/>
      </c>
      <c r="K334" s="12">
        <f>IF(OR(D334="",G334=""),0,F334)</f>
        <v/>
      </c>
      <c r="L334" s="12">
        <f>IF(OR(D334="",G334=""),0,H334*F334)</f>
        <v/>
      </c>
    </row>
    <row r="335">
      <c r="A335" s="9" t="n"/>
      <c r="B335" s="9" t="n"/>
      <c r="C335" s="9" t="n"/>
      <c r="D335" s="9" t="n"/>
      <c r="E335" s="8" t="n"/>
      <c r="F335" s="10" t="n"/>
      <c r="G335" s="8" t="n"/>
      <c r="H335" s="11">
        <f>IF(D335="","",IF(G335="",Setup!$B$5,G335)-E335)</f>
        <v/>
      </c>
      <c r="I335" s="6">
        <f>IF(D335="","",AND(LOWER(B335)="y",H335&gt;Setup!$B$4))</f>
        <v/>
      </c>
      <c r="J335" s="12">
        <f>IF(D335="","",IF(AND(I335=TRUE,G335=""),F335,0))</f>
        <v/>
      </c>
      <c r="K335" s="12">
        <f>IF(OR(D335="",G335=""),0,F335)</f>
        <v/>
      </c>
      <c r="L335" s="12">
        <f>IF(OR(D335="",G335=""),0,H335*F335)</f>
        <v/>
      </c>
    </row>
    <row r="336">
      <c r="A336" s="9" t="n"/>
      <c r="B336" s="9" t="n"/>
      <c r="C336" s="9" t="n"/>
      <c r="D336" s="9" t="n"/>
      <c r="E336" s="8" t="n"/>
      <c r="F336" s="10" t="n"/>
      <c r="G336" s="8" t="n"/>
      <c r="H336" s="11">
        <f>IF(D336="","",IF(G336="",Setup!$B$5,G336)-E336)</f>
        <v/>
      </c>
      <c r="I336" s="6">
        <f>IF(D336="","",AND(LOWER(B336)="y",H336&gt;Setup!$B$4))</f>
        <v/>
      </c>
      <c r="J336" s="12">
        <f>IF(D336="","",IF(AND(I336=TRUE,G336=""),F336,0))</f>
        <v/>
      </c>
      <c r="K336" s="12">
        <f>IF(OR(D336="",G336=""),0,F336)</f>
        <v/>
      </c>
      <c r="L336" s="12">
        <f>IF(OR(D336="",G336=""),0,H336*F336)</f>
        <v/>
      </c>
    </row>
    <row r="337">
      <c r="A337" s="9" t="n"/>
      <c r="B337" s="9" t="n"/>
      <c r="C337" s="9" t="n"/>
      <c r="D337" s="9" t="n"/>
      <c r="E337" s="8" t="n"/>
      <c r="F337" s="10" t="n"/>
      <c r="G337" s="8" t="n"/>
      <c r="H337" s="11">
        <f>IF(D337="","",IF(G337="",Setup!$B$5,G337)-E337)</f>
        <v/>
      </c>
      <c r="I337" s="6">
        <f>IF(D337="","",AND(LOWER(B337)="y",H337&gt;Setup!$B$4))</f>
        <v/>
      </c>
      <c r="J337" s="12">
        <f>IF(D337="","",IF(AND(I337=TRUE,G337=""),F337,0))</f>
        <v/>
      </c>
      <c r="K337" s="12">
        <f>IF(OR(D337="",G337=""),0,F337)</f>
        <v/>
      </c>
      <c r="L337" s="12">
        <f>IF(OR(D337="",G337=""),0,H337*F337)</f>
        <v/>
      </c>
    </row>
    <row r="338">
      <c r="A338" s="9" t="n"/>
      <c r="B338" s="9" t="n"/>
      <c r="C338" s="9" t="n"/>
      <c r="D338" s="9" t="n"/>
      <c r="E338" s="8" t="n"/>
      <c r="F338" s="10" t="n"/>
      <c r="G338" s="8" t="n"/>
      <c r="H338" s="11">
        <f>IF(D338="","",IF(G338="",Setup!$B$5,G338)-E338)</f>
        <v/>
      </c>
      <c r="I338" s="6">
        <f>IF(D338="","",AND(LOWER(B338)="y",H338&gt;Setup!$B$4))</f>
        <v/>
      </c>
      <c r="J338" s="12">
        <f>IF(D338="","",IF(AND(I338=TRUE,G338=""),F338,0))</f>
        <v/>
      </c>
      <c r="K338" s="12">
        <f>IF(OR(D338="",G338=""),0,F338)</f>
        <v/>
      </c>
      <c r="L338" s="12">
        <f>IF(OR(D338="",G338=""),0,H338*F338)</f>
        <v/>
      </c>
    </row>
    <row r="339">
      <c r="A339" s="9" t="n"/>
      <c r="B339" s="9" t="n"/>
      <c r="C339" s="9" t="n"/>
      <c r="D339" s="9" t="n"/>
      <c r="E339" s="8" t="n"/>
      <c r="F339" s="10" t="n"/>
      <c r="G339" s="8" t="n"/>
      <c r="H339" s="11">
        <f>IF(D339="","",IF(G339="",Setup!$B$5,G339)-E339)</f>
        <v/>
      </c>
      <c r="I339" s="6">
        <f>IF(D339="","",AND(LOWER(B339)="y",H339&gt;Setup!$B$4))</f>
        <v/>
      </c>
      <c r="J339" s="12">
        <f>IF(D339="","",IF(AND(I339=TRUE,G339=""),F339,0))</f>
        <v/>
      </c>
      <c r="K339" s="12">
        <f>IF(OR(D339="",G339=""),0,F339)</f>
        <v/>
      </c>
      <c r="L339" s="12">
        <f>IF(OR(D339="",G339=""),0,H339*F339)</f>
        <v/>
      </c>
    </row>
    <row r="340">
      <c r="A340" s="9" t="n"/>
      <c r="B340" s="9" t="n"/>
      <c r="C340" s="9" t="n"/>
      <c r="D340" s="9" t="n"/>
      <c r="E340" s="8" t="n"/>
      <c r="F340" s="10" t="n"/>
      <c r="G340" s="8" t="n"/>
      <c r="H340" s="11">
        <f>IF(D340="","",IF(G340="",Setup!$B$5,G340)-E340)</f>
        <v/>
      </c>
      <c r="I340" s="6">
        <f>IF(D340="","",AND(LOWER(B340)="y",H340&gt;Setup!$B$4))</f>
        <v/>
      </c>
      <c r="J340" s="12">
        <f>IF(D340="","",IF(AND(I340=TRUE,G340=""),F340,0))</f>
        <v/>
      </c>
      <c r="K340" s="12">
        <f>IF(OR(D340="",G340=""),0,F340)</f>
        <v/>
      </c>
      <c r="L340" s="12">
        <f>IF(OR(D340="",G340=""),0,H340*F340)</f>
        <v/>
      </c>
    </row>
    <row r="341">
      <c r="A341" s="9" t="n"/>
      <c r="B341" s="9" t="n"/>
      <c r="C341" s="9" t="n"/>
      <c r="D341" s="9" t="n"/>
      <c r="E341" s="8" t="n"/>
      <c r="F341" s="10" t="n"/>
      <c r="G341" s="8" t="n"/>
      <c r="H341" s="11">
        <f>IF(D341="","",IF(G341="",Setup!$B$5,G341)-E341)</f>
        <v/>
      </c>
      <c r="I341" s="6">
        <f>IF(D341="","",AND(LOWER(B341)="y",H341&gt;Setup!$B$4))</f>
        <v/>
      </c>
      <c r="J341" s="12">
        <f>IF(D341="","",IF(AND(I341=TRUE,G341=""),F341,0))</f>
        <v/>
      </c>
      <c r="K341" s="12">
        <f>IF(OR(D341="",G341=""),0,F341)</f>
        <v/>
      </c>
      <c r="L341" s="12">
        <f>IF(OR(D341="",G341=""),0,H341*F341)</f>
        <v/>
      </c>
    </row>
    <row r="342">
      <c r="A342" s="9" t="n"/>
      <c r="B342" s="9" t="n"/>
      <c r="C342" s="9" t="n"/>
      <c r="D342" s="9" t="n"/>
      <c r="E342" s="8" t="n"/>
      <c r="F342" s="10" t="n"/>
      <c r="G342" s="8" t="n"/>
      <c r="H342" s="11">
        <f>IF(D342="","",IF(G342="",Setup!$B$5,G342)-E342)</f>
        <v/>
      </c>
      <c r="I342" s="6">
        <f>IF(D342="","",AND(LOWER(B342)="y",H342&gt;Setup!$B$4))</f>
        <v/>
      </c>
      <c r="J342" s="12">
        <f>IF(D342="","",IF(AND(I342=TRUE,G342=""),F342,0))</f>
        <v/>
      </c>
      <c r="K342" s="12">
        <f>IF(OR(D342="",G342=""),0,F342)</f>
        <v/>
      </c>
      <c r="L342" s="12">
        <f>IF(OR(D342="",G342=""),0,H342*F342)</f>
        <v/>
      </c>
    </row>
    <row r="343">
      <c r="A343" s="9" t="n"/>
      <c r="B343" s="9" t="n"/>
      <c r="C343" s="9" t="n"/>
      <c r="D343" s="9" t="n"/>
      <c r="E343" s="8" t="n"/>
      <c r="F343" s="10" t="n"/>
      <c r="G343" s="8" t="n"/>
      <c r="H343" s="11">
        <f>IF(D343="","",IF(G343="",Setup!$B$5,G343)-E343)</f>
        <v/>
      </c>
      <c r="I343" s="6">
        <f>IF(D343="","",AND(LOWER(B343)="y",H343&gt;Setup!$B$4))</f>
        <v/>
      </c>
      <c r="J343" s="12">
        <f>IF(D343="","",IF(AND(I343=TRUE,G343=""),F343,0))</f>
        <v/>
      </c>
      <c r="K343" s="12">
        <f>IF(OR(D343="",G343=""),0,F343)</f>
        <v/>
      </c>
      <c r="L343" s="12">
        <f>IF(OR(D343="",G343=""),0,H343*F343)</f>
        <v/>
      </c>
    </row>
    <row r="344">
      <c r="A344" s="9" t="n"/>
      <c r="B344" s="9" t="n"/>
      <c r="C344" s="9" t="n"/>
      <c r="D344" s="9" t="n"/>
      <c r="E344" s="8" t="n"/>
      <c r="F344" s="10" t="n"/>
      <c r="G344" s="8" t="n"/>
      <c r="H344" s="11">
        <f>IF(D344="","",IF(G344="",Setup!$B$5,G344)-E344)</f>
        <v/>
      </c>
      <c r="I344" s="6">
        <f>IF(D344="","",AND(LOWER(B344)="y",H344&gt;Setup!$B$4))</f>
        <v/>
      </c>
      <c r="J344" s="12">
        <f>IF(D344="","",IF(AND(I344=TRUE,G344=""),F344,0))</f>
        <v/>
      </c>
      <c r="K344" s="12">
        <f>IF(OR(D344="",G344=""),0,F344)</f>
        <v/>
      </c>
      <c r="L344" s="12">
        <f>IF(OR(D344="",G344=""),0,H344*F344)</f>
        <v/>
      </c>
    </row>
    <row r="345">
      <c r="A345" s="9" t="n"/>
      <c r="B345" s="9" t="n"/>
      <c r="C345" s="9" t="n"/>
      <c r="D345" s="9" t="n"/>
      <c r="E345" s="8" t="n"/>
      <c r="F345" s="10" t="n"/>
      <c r="G345" s="8" t="n"/>
      <c r="H345" s="11">
        <f>IF(D345="","",IF(G345="",Setup!$B$5,G345)-E345)</f>
        <v/>
      </c>
      <c r="I345" s="6">
        <f>IF(D345="","",AND(LOWER(B345)="y",H345&gt;Setup!$B$4))</f>
        <v/>
      </c>
      <c r="J345" s="12">
        <f>IF(D345="","",IF(AND(I345=TRUE,G345=""),F345,0))</f>
        <v/>
      </c>
      <c r="K345" s="12">
        <f>IF(OR(D345="",G345=""),0,F345)</f>
        <v/>
      </c>
      <c r="L345" s="12">
        <f>IF(OR(D345="",G345=""),0,H345*F345)</f>
        <v/>
      </c>
    </row>
    <row r="346">
      <c r="A346" s="9" t="n"/>
      <c r="B346" s="9" t="n"/>
      <c r="C346" s="9" t="n"/>
      <c r="D346" s="9" t="n"/>
      <c r="E346" s="8" t="n"/>
      <c r="F346" s="10" t="n"/>
      <c r="G346" s="8" t="n"/>
      <c r="H346" s="11">
        <f>IF(D346="","",IF(G346="",Setup!$B$5,G346)-E346)</f>
        <v/>
      </c>
      <c r="I346" s="6">
        <f>IF(D346="","",AND(LOWER(B346)="y",H346&gt;Setup!$B$4))</f>
        <v/>
      </c>
      <c r="J346" s="12">
        <f>IF(D346="","",IF(AND(I346=TRUE,G346=""),F346,0))</f>
        <v/>
      </c>
      <c r="K346" s="12">
        <f>IF(OR(D346="",G346=""),0,F346)</f>
        <v/>
      </c>
      <c r="L346" s="12">
        <f>IF(OR(D346="",G346=""),0,H346*F346)</f>
        <v/>
      </c>
    </row>
    <row r="347">
      <c r="A347" s="9" t="n"/>
      <c r="B347" s="9" t="n"/>
      <c r="C347" s="9" t="n"/>
      <c r="D347" s="9" t="n"/>
      <c r="E347" s="8" t="n"/>
      <c r="F347" s="10" t="n"/>
      <c r="G347" s="8" t="n"/>
      <c r="H347" s="11">
        <f>IF(D347="","",IF(G347="",Setup!$B$5,G347)-E347)</f>
        <v/>
      </c>
      <c r="I347" s="6">
        <f>IF(D347="","",AND(LOWER(B347)="y",H347&gt;Setup!$B$4))</f>
        <v/>
      </c>
      <c r="J347" s="12">
        <f>IF(D347="","",IF(AND(I347=TRUE,G347=""),F347,0))</f>
        <v/>
      </c>
      <c r="K347" s="12">
        <f>IF(OR(D347="",G347=""),0,F347)</f>
        <v/>
      </c>
      <c r="L347" s="12">
        <f>IF(OR(D347="",G347=""),0,H347*F347)</f>
        <v/>
      </c>
    </row>
    <row r="348">
      <c r="A348" s="9" t="n"/>
      <c r="B348" s="9" t="n"/>
      <c r="C348" s="9" t="n"/>
      <c r="D348" s="9" t="n"/>
      <c r="E348" s="8" t="n"/>
      <c r="F348" s="10" t="n"/>
      <c r="G348" s="8" t="n"/>
      <c r="H348" s="11">
        <f>IF(D348="","",IF(G348="",Setup!$B$5,G348)-E348)</f>
        <v/>
      </c>
      <c r="I348" s="6">
        <f>IF(D348="","",AND(LOWER(B348)="y",H348&gt;Setup!$B$4))</f>
        <v/>
      </c>
      <c r="J348" s="12">
        <f>IF(D348="","",IF(AND(I348=TRUE,G348=""),F348,0))</f>
        <v/>
      </c>
      <c r="K348" s="12">
        <f>IF(OR(D348="",G348=""),0,F348)</f>
        <v/>
      </c>
      <c r="L348" s="12">
        <f>IF(OR(D348="",G348=""),0,H348*F348)</f>
        <v/>
      </c>
    </row>
    <row r="349">
      <c r="A349" s="9" t="n"/>
      <c r="B349" s="9" t="n"/>
      <c r="C349" s="9" t="n"/>
      <c r="D349" s="9" t="n"/>
      <c r="E349" s="8" t="n"/>
      <c r="F349" s="10" t="n"/>
      <c r="G349" s="8" t="n"/>
      <c r="H349" s="11">
        <f>IF(D349="","",IF(G349="",Setup!$B$5,G349)-E349)</f>
        <v/>
      </c>
      <c r="I349" s="6">
        <f>IF(D349="","",AND(LOWER(B349)="y",H349&gt;Setup!$B$4))</f>
        <v/>
      </c>
      <c r="J349" s="12">
        <f>IF(D349="","",IF(AND(I349=TRUE,G349=""),F349,0))</f>
        <v/>
      </c>
      <c r="K349" s="12">
        <f>IF(OR(D349="",G349=""),0,F349)</f>
        <v/>
      </c>
      <c r="L349" s="12">
        <f>IF(OR(D349="",G349=""),0,H349*F349)</f>
        <v/>
      </c>
    </row>
    <row r="350">
      <c r="A350" s="9" t="n"/>
      <c r="B350" s="9" t="n"/>
      <c r="C350" s="9" t="n"/>
      <c r="D350" s="9" t="n"/>
      <c r="E350" s="8" t="n"/>
      <c r="F350" s="10" t="n"/>
      <c r="G350" s="8" t="n"/>
      <c r="H350" s="11">
        <f>IF(D350="","",IF(G350="",Setup!$B$5,G350)-E350)</f>
        <v/>
      </c>
      <c r="I350" s="6">
        <f>IF(D350="","",AND(LOWER(B350)="y",H350&gt;Setup!$B$4))</f>
        <v/>
      </c>
      <c r="J350" s="12">
        <f>IF(D350="","",IF(AND(I350=TRUE,G350=""),F350,0))</f>
        <v/>
      </c>
      <c r="K350" s="12">
        <f>IF(OR(D350="",G350=""),0,F350)</f>
        <v/>
      </c>
      <c r="L350" s="12">
        <f>IF(OR(D350="",G350=""),0,H350*F350)</f>
        <v/>
      </c>
    </row>
    <row r="351">
      <c r="A351" s="9" t="n"/>
      <c r="B351" s="9" t="n"/>
      <c r="C351" s="9" t="n"/>
      <c r="D351" s="9" t="n"/>
      <c r="E351" s="8" t="n"/>
      <c r="F351" s="10" t="n"/>
      <c r="G351" s="8" t="n"/>
      <c r="H351" s="11">
        <f>IF(D351="","",IF(G351="",Setup!$B$5,G351)-E351)</f>
        <v/>
      </c>
      <c r="I351" s="6">
        <f>IF(D351="","",AND(LOWER(B351)="y",H351&gt;Setup!$B$4))</f>
        <v/>
      </c>
      <c r="J351" s="12">
        <f>IF(D351="","",IF(AND(I351=TRUE,G351=""),F351,0))</f>
        <v/>
      </c>
      <c r="K351" s="12">
        <f>IF(OR(D351="",G351=""),0,F351)</f>
        <v/>
      </c>
      <c r="L351" s="12">
        <f>IF(OR(D351="",G351=""),0,H351*F351)</f>
        <v/>
      </c>
    </row>
    <row r="352">
      <c r="A352" s="9" t="n"/>
      <c r="B352" s="9" t="n"/>
      <c r="C352" s="9" t="n"/>
      <c r="D352" s="9" t="n"/>
      <c r="E352" s="8" t="n"/>
      <c r="F352" s="10" t="n"/>
      <c r="G352" s="8" t="n"/>
      <c r="H352" s="11">
        <f>IF(D352="","",IF(G352="",Setup!$B$5,G352)-E352)</f>
        <v/>
      </c>
      <c r="I352" s="6">
        <f>IF(D352="","",AND(LOWER(B352)="y",H352&gt;Setup!$B$4))</f>
        <v/>
      </c>
      <c r="J352" s="12">
        <f>IF(D352="","",IF(AND(I352=TRUE,G352=""),F352,0))</f>
        <v/>
      </c>
      <c r="K352" s="12">
        <f>IF(OR(D352="",G352=""),0,F352)</f>
        <v/>
      </c>
      <c r="L352" s="12">
        <f>IF(OR(D352="",G352=""),0,H352*F352)</f>
        <v/>
      </c>
    </row>
    <row r="353">
      <c r="A353" s="9" t="n"/>
      <c r="B353" s="9" t="n"/>
      <c r="C353" s="9" t="n"/>
      <c r="D353" s="9" t="n"/>
      <c r="E353" s="8" t="n"/>
      <c r="F353" s="10" t="n"/>
      <c r="G353" s="8" t="n"/>
      <c r="H353" s="11">
        <f>IF(D353="","",IF(G353="",Setup!$B$5,G353)-E353)</f>
        <v/>
      </c>
      <c r="I353" s="6">
        <f>IF(D353="","",AND(LOWER(B353)="y",H353&gt;Setup!$B$4))</f>
        <v/>
      </c>
      <c r="J353" s="12">
        <f>IF(D353="","",IF(AND(I353=TRUE,G353=""),F353,0))</f>
        <v/>
      </c>
      <c r="K353" s="12">
        <f>IF(OR(D353="",G353=""),0,F353)</f>
        <v/>
      </c>
      <c r="L353" s="12">
        <f>IF(OR(D353="",G353=""),0,H353*F353)</f>
        <v/>
      </c>
    </row>
    <row r="354">
      <c r="A354" s="9" t="n"/>
      <c r="B354" s="9" t="n"/>
      <c r="C354" s="9" t="n"/>
      <c r="D354" s="9" t="n"/>
      <c r="E354" s="8" t="n"/>
      <c r="F354" s="10" t="n"/>
      <c r="G354" s="8" t="n"/>
      <c r="H354" s="11">
        <f>IF(D354="","",IF(G354="",Setup!$B$5,G354)-E354)</f>
        <v/>
      </c>
      <c r="I354" s="6">
        <f>IF(D354="","",AND(LOWER(B354)="y",H354&gt;Setup!$B$4))</f>
        <v/>
      </c>
      <c r="J354" s="12">
        <f>IF(D354="","",IF(AND(I354=TRUE,G354=""),F354,0))</f>
        <v/>
      </c>
      <c r="K354" s="12">
        <f>IF(OR(D354="",G354=""),0,F354)</f>
        <v/>
      </c>
      <c r="L354" s="12">
        <f>IF(OR(D354="",G354=""),0,H354*F354)</f>
        <v/>
      </c>
    </row>
    <row r="355">
      <c r="A355" s="9" t="n"/>
      <c r="B355" s="9" t="n"/>
      <c r="C355" s="9" t="n"/>
      <c r="D355" s="9" t="n"/>
      <c r="E355" s="8" t="n"/>
      <c r="F355" s="10" t="n"/>
      <c r="G355" s="8" t="n"/>
      <c r="H355" s="11">
        <f>IF(D355="","",IF(G355="",Setup!$B$5,G355)-E355)</f>
        <v/>
      </c>
      <c r="I355" s="6">
        <f>IF(D355="","",AND(LOWER(B355)="y",H355&gt;Setup!$B$4))</f>
        <v/>
      </c>
      <c r="J355" s="12">
        <f>IF(D355="","",IF(AND(I355=TRUE,G355=""),F355,0))</f>
        <v/>
      </c>
      <c r="K355" s="12">
        <f>IF(OR(D355="",G355=""),0,F355)</f>
        <v/>
      </c>
      <c r="L355" s="12">
        <f>IF(OR(D355="",G355=""),0,H355*F355)</f>
        <v/>
      </c>
    </row>
    <row r="356">
      <c r="A356" s="9" t="n"/>
      <c r="B356" s="9" t="n"/>
      <c r="C356" s="9" t="n"/>
      <c r="D356" s="9" t="n"/>
      <c r="E356" s="8" t="n"/>
      <c r="F356" s="10" t="n"/>
      <c r="G356" s="8" t="n"/>
      <c r="H356" s="11">
        <f>IF(D356="","",IF(G356="",Setup!$B$5,G356)-E356)</f>
        <v/>
      </c>
      <c r="I356" s="6">
        <f>IF(D356="","",AND(LOWER(B356)="y",H356&gt;Setup!$B$4))</f>
        <v/>
      </c>
      <c r="J356" s="12">
        <f>IF(D356="","",IF(AND(I356=TRUE,G356=""),F356,0))</f>
        <v/>
      </c>
      <c r="K356" s="12">
        <f>IF(OR(D356="",G356=""),0,F356)</f>
        <v/>
      </c>
      <c r="L356" s="12">
        <f>IF(OR(D356="",G356=""),0,H356*F356)</f>
        <v/>
      </c>
    </row>
    <row r="357">
      <c r="A357" s="9" t="n"/>
      <c r="B357" s="9" t="n"/>
      <c r="C357" s="9" t="n"/>
      <c r="D357" s="9" t="n"/>
      <c r="E357" s="8" t="n"/>
      <c r="F357" s="10" t="n"/>
      <c r="G357" s="8" t="n"/>
      <c r="H357" s="11">
        <f>IF(D357="","",IF(G357="",Setup!$B$5,G357)-E357)</f>
        <v/>
      </c>
      <c r="I357" s="6">
        <f>IF(D357="","",AND(LOWER(B357)="y",H357&gt;Setup!$B$4))</f>
        <v/>
      </c>
      <c r="J357" s="12">
        <f>IF(D357="","",IF(AND(I357=TRUE,G357=""),F357,0))</f>
        <v/>
      </c>
      <c r="K357" s="12">
        <f>IF(OR(D357="",G357=""),0,F357)</f>
        <v/>
      </c>
      <c r="L357" s="12">
        <f>IF(OR(D357="",G357=""),0,H357*F357)</f>
        <v/>
      </c>
    </row>
    <row r="358">
      <c r="A358" s="9" t="n"/>
      <c r="B358" s="9" t="n"/>
      <c r="C358" s="9" t="n"/>
      <c r="D358" s="9" t="n"/>
      <c r="E358" s="8" t="n"/>
      <c r="F358" s="10" t="n"/>
      <c r="G358" s="8" t="n"/>
      <c r="H358" s="11">
        <f>IF(D358="","",IF(G358="",Setup!$B$5,G358)-E358)</f>
        <v/>
      </c>
      <c r="I358" s="6">
        <f>IF(D358="","",AND(LOWER(B358)="y",H358&gt;Setup!$B$4))</f>
        <v/>
      </c>
      <c r="J358" s="12">
        <f>IF(D358="","",IF(AND(I358=TRUE,G358=""),F358,0))</f>
        <v/>
      </c>
      <c r="K358" s="12">
        <f>IF(OR(D358="",G358=""),0,F358)</f>
        <v/>
      </c>
      <c r="L358" s="12">
        <f>IF(OR(D358="",G358=""),0,H358*F358)</f>
        <v/>
      </c>
    </row>
    <row r="359">
      <c r="A359" s="9" t="n"/>
      <c r="B359" s="9" t="n"/>
      <c r="C359" s="9" t="n"/>
      <c r="D359" s="9" t="n"/>
      <c r="E359" s="8" t="n"/>
      <c r="F359" s="10" t="n"/>
      <c r="G359" s="8" t="n"/>
      <c r="H359" s="11">
        <f>IF(D359="","",IF(G359="",Setup!$B$5,G359)-E359)</f>
        <v/>
      </c>
      <c r="I359" s="6">
        <f>IF(D359="","",AND(LOWER(B359)="y",H359&gt;Setup!$B$4))</f>
        <v/>
      </c>
      <c r="J359" s="12">
        <f>IF(D359="","",IF(AND(I359=TRUE,G359=""),F359,0))</f>
        <v/>
      </c>
      <c r="K359" s="12">
        <f>IF(OR(D359="",G359=""),0,F359)</f>
        <v/>
      </c>
      <c r="L359" s="12">
        <f>IF(OR(D359="",G359=""),0,H359*F359)</f>
        <v/>
      </c>
    </row>
    <row r="360">
      <c r="A360" s="9" t="n"/>
      <c r="B360" s="9" t="n"/>
      <c r="C360" s="9" t="n"/>
      <c r="D360" s="9" t="n"/>
      <c r="E360" s="8" t="n"/>
      <c r="F360" s="10" t="n"/>
      <c r="G360" s="8" t="n"/>
      <c r="H360" s="11">
        <f>IF(D360="","",IF(G360="",Setup!$B$5,G360)-E360)</f>
        <v/>
      </c>
      <c r="I360" s="6">
        <f>IF(D360="","",AND(LOWER(B360)="y",H360&gt;Setup!$B$4))</f>
        <v/>
      </c>
      <c r="J360" s="12">
        <f>IF(D360="","",IF(AND(I360=TRUE,G360=""),F360,0))</f>
        <v/>
      </c>
      <c r="K360" s="12">
        <f>IF(OR(D360="",G360=""),0,F360)</f>
        <v/>
      </c>
      <c r="L360" s="12">
        <f>IF(OR(D360="",G360=""),0,H360*F360)</f>
        <v/>
      </c>
    </row>
    <row r="361">
      <c r="A361" s="9" t="n"/>
      <c r="B361" s="9" t="n"/>
      <c r="C361" s="9" t="n"/>
      <c r="D361" s="9" t="n"/>
      <c r="E361" s="8" t="n"/>
      <c r="F361" s="10" t="n"/>
      <c r="G361" s="8" t="n"/>
      <c r="H361" s="11">
        <f>IF(D361="","",IF(G361="",Setup!$B$5,G361)-E361)</f>
        <v/>
      </c>
      <c r="I361" s="6">
        <f>IF(D361="","",AND(LOWER(B361)="y",H361&gt;Setup!$B$4))</f>
        <v/>
      </c>
      <c r="J361" s="12">
        <f>IF(D361="","",IF(AND(I361=TRUE,G361=""),F361,0))</f>
        <v/>
      </c>
      <c r="K361" s="12">
        <f>IF(OR(D361="",G361=""),0,F361)</f>
        <v/>
      </c>
      <c r="L361" s="12">
        <f>IF(OR(D361="",G361=""),0,H361*F361)</f>
        <v/>
      </c>
    </row>
    <row r="362">
      <c r="A362" s="9" t="n"/>
      <c r="B362" s="9" t="n"/>
      <c r="C362" s="9" t="n"/>
      <c r="D362" s="9" t="n"/>
      <c r="E362" s="8" t="n"/>
      <c r="F362" s="10" t="n"/>
      <c r="G362" s="8" t="n"/>
      <c r="H362" s="11">
        <f>IF(D362="","",IF(G362="",Setup!$B$5,G362)-E362)</f>
        <v/>
      </c>
      <c r="I362" s="6">
        <f>IF(D362="","",AND(LOWER(B362)="y",H362&gt;Setup!$B$4))</f>
        <v/>
      </c>
      <c r="J362" s="12">
        <f>IF(D362="","",IF(AND(I362=TRUE,G362=""),F362,0))</f>
        <v/>
      </c>
      <c r="K362" s="12">
        <f>IF(OR(D362="",G362=""),0,F362)</f>
        <v/>
      </c>
      <c r="L362" s="12">
        <f>IF(OR(D362="",G362=""),0,H362*F362)</f>
        <v/>
      </c>
    </row>
    <row r="363">
      <c r="A363" s="9" t="n"/>
      <c r="B363" s="9" t="n"/>
      <c r="C363" s="9" t="n"/>
      <c r="D363" s="9" t="n"/>
      <c r="E363" s="8" t="n"/>
      <c r="F363" s="10" t="n"/>
      <c r="G363" s="8" t="n"/>
      <c r="H363" s="11">
        <f>IF(D363="","",IF(G363="",Setup!$B$5,G363)-E363)</f>
        <v/>
      </c>
      <c r="I363" s="6">
        <f>IF(D363="","",AND(LOWER(B363)="y",H363&gt;Setup!$B$4))</f>
        <v/>
      </c>
      <c r="J363" s="12">
        <f>IF(D363="","",IF(AND(I363=TRUE,G363=""),F363,0))</f>
        <v/>
      </c>
      <c r="K363" s="12">
        <f>IF(OR(D363="",G363=""),0,F363)</f>
        <v/>
      </c>
      <c r="L363" s="12">
        <f>IF(OR(D363="",G363=""),0,H363*F363)</f>
        <v/>
      </c>
    </row>
    <row r="364">
      <c r="A364" s="9" t="n"/>
      <c r="B364" s="9" t="n"/>
      <c r="C364" s="9" t="n"/>
      <c r="D364" s="9" t="n"/>
      <c r="E364" s="8" t="n"/>
      <c r="F364" s="10" t="n"/>
      <c r="G364" s="8" t="n"/>
      <c r="H364" s="11">
        <f>IF(D364="","",IF(G364="",Setup!$B$5,G364)-E364)</f>
        <v/>
      </c>
      <c r="I364" s="6">
        <f>IF(D364="","",AND(LOWER(B364)="y",H364&gt;Setup!$B$4))</f>
        <v/>
      </c>
      <c r="J364" s="12">
        <f>IF(D364="","",IF(AND(I364=TRUE,G364=""),F364,0))</f>
        <v/>
      </c>
      <c r="K364" s="12">
        <f>IF(OR(D364="",G364=""),0,F364)</f>
        <v/>
      </c>
      <c r="L364" s="12">
        <f>IF(OR(D364="",G364=""),0,H364*F364)</f>
        <v/>
      </c>
    </row>
    <row r="365">
      <c r="A365" s="9" t="n"/>
      <c r="B365" s="9" t="n"/>
      <c r="C365" s="9" t="n"/>
      <c r="D365" s="9" t="n"/>
      <c r="E365" s="8" t="n"/>
      <c r="F365" s="10" t="n"/>
      <c r="G365" s="8" t="n"/>
      <c r="H365" s="11">
        <f>IF(D365="","",IF(G365="",Setup!$B$5,G365)-E365)</f>
        <v/>
      </c>
      <c r="I365" s="6">
        <f>IF(D365="","",AND(LOWER(B365)="y",H365&gt;Setup!$B$4))</f>
        <v/>
      </c>
      <c r="J365" s="12">
        <f>IF(D365="","",IF(AND(I365=TRUE,G365=""),F365,0))</f>
        <v/>
      </c>
      <c r="K365" s="12">
        <f>IF(OR(D365="",G365=""),0,F365)</f>
        <v/>
      </c>
      <c r="L365" s="12">
        <f>IF(OR(D365="",G365=""),0,H365*F365)</f>
        <v/>
      </c>
    </row>
    <row r="366">
      <c r="A366" s="9" t="n"/>
      <c r="B366" s="9" t="n"/>
      <c r="C366" s="9" t="n"/>
      <c r="D366" s="9" t="n"/>
      <c r="E366" s="8" t="n"/>
      <c r="F366" s="10" t="n"/>
      <c r="G366" s="8" t="n"/>
      <c r="H366" s="11">
        <f>IF(D366="","",IF(G366="",Setup!$B$5,G366)-E366)</f>
        <v/>
      </c>
      <c r="I366" s="6">
        <f>IF(D366="","",AND(LOWER(B366)="y",H366&gt;Setup!$B$4))</f>
        <v/>
      </c>
      <c r="J366" s="12">
        <f>IF(D366="","",IF(AND(I366=TRUE,G366=""),F366,0))</f>
        <v/>
      </c>
      <c r="K366" s="12">
        <f>IF(OR(D366="",G366=""),0,F366)</f>
        <v/>
      </c>
      <c r="L366" s="12">
        <f>IF(OR(D366="",G366=""),0,H366*F366)</f>
        <v/>
      </c>
    </row>
    <row r="367">
      <c r="A367" s="9" t="n"/>
      <c r="B367" s="9" t="n"/>
      <c r="C367" s="9" t="n"/>
      <c r="D367" s="9" t="n"/>
      <c r="E367" s="8" t="n"/>
      <c r="F367" s="10" t="n"/>
      <c r="G367" s="8" t="n"/>
      <c r="H367" s="11">
        <f>IF(D367="","",IF(G367="",Setup!$B$5,G367)-E367)</f>
        <v/>
      </c>
      <c r="I367" s="6">
        <f>IF(D367="","",AND(LOWER(B367)="y",H367&gt;Setup!$B$4))</f>
        <v/>
      </c>
      <c r="J367" s="12">
        <f>IF(D367="","",IF(AND(I367=TRUE,G367=""),F367,0))</f>
        <v/>
      </c>
      <c r="K367" s="12">
        <f>IF(OR(D367="",G367=""),0,F367)</f>
        <v/>
      </c>
      <c r="L367" s="12">
        <f>IF(OR(D367="",G367=""),0,H367*F367)</f>
        <v/>
      </c>
    </row>
    <row r="368">
      <c r="A368" s="9" t="n"/>
      <c r="B368" s="9" t="n"/>
      <c r="C368" s="9" t="n"/>
      <c r="D368" s="9" t="n"/>
      <c r="E368" s="8" t="n"/>
      <c r="F368" s="10" t="n"/>
      <c r="G368" s="8" t="n"/>
      <c r="H368" s="11">
        <f>IF(D368="","",IF(G368="",Setup!$B$5,G368)-E368)</f>
        <v/>
      </c>
      <c r="I368" s="6">
        <f>IF(D368="","",AND(LOWER(B368)="y",H368&gt;Setup!$B$4))</f>
        <v/>
      </c>
      <c r="J368" s="12">
        <f>IF(D368="","",IF(AND(I368=TRUE,G368=""),F368,0))</f>
        <v/>
      </c>
      <c r="K368" s="12">
        <f>IF(OR(D368="",G368=""),0,F368)</f>
        <v/>
      </c>
      <c r="L368" s="12">
        <f>IF(OR(D368="",G368=""),0,H368*F368)</f>
        <v/>
      </c>
    </row>
    <row r="369">
      <c r="A369" s="9" t="n"/>
      <c r="B369" s="9" t="n"/>
      <c r="C369" s="9" t="n"/>
      <c r="D369" s="9" t="n"/>
      <c r="E369" s="8" t="n"/>
      <c r="F369" s="10" t="n"/>
      <c r="G369" s="8" t="n"/>
      <c r="H369" s="11">
        <f>IF(D369="","",IF(G369="",Setup!$B$5,G369)-E369)</f>
        <v/>
      </c>
      <c r="I369" s="6">
        <f>IF(D369="","",AND(LOWER(B369)="y",H369&gt;Setup!$B$4))</f>
        <v/>
      </c>
      <c r="J369" s="12">
        <f>IF(D369="","",IF(AND(I369=TRUE,G369=""),F369,0))</f>
        <v/>
      </c>
      <c r="K369" s="12">
        <f>IF(OR(D369="",G369=""),0,F369)</f>
        <v/>
      </c>
      <c r="L369" s="12">
        <f>IF(OR(D369="",G369=""),0,H369*F369)</f>
        <v/>
      </c>
    </row>
    <row r="370">
      <c r="A370" s="9" t="n"/>
      <c r="B370" s="9" t="n"/>
      <c r="C370" s="9" t="n"/>
      <c r="D370" s="9" t="n"/>
      <c r="E370" s="8" t="n"/>
      <c r="F370" s="10" t="n"/>
      <c r="G370" s="8" t="n"/>
      <c r="H370" s="11">
        <f>IF(D370="","",IF(G370="",Setup!$B$5,G370)-E370)</f>
        <v/>
      </c>
      <c r="I370" s="6">
        <f>IF(D370="","",AND(LOWER(B370)="y",H370&gt;Setup!$B$4))</f>
        <v/>
      </c>
      <c r="J370" s="12">
        <f>IF(D370="","",IF(AND(I370=TRUE,G370=""),F370,0))</f>
        <v/>
      </c>
      <c r="K370" s="12">
        <f>IF(OR(D370="",G370=""),0,F370)</f>
        <v/>
      </c>
      <c r="L370" s="12">
        <f>IF(OR(D370="",G370=""),0,H370*F370)</f>
        <v/>
      </c>
    </row>
    <row r="371">
      <c r="A371" s="9" t="n"/>
      <c r="B371" s="9" t="n"/>
      <c r="C371" s="9" t="n"/>
      <c r="D371" s="9" t="n"/>
      <c r="E371" s="8" t="n"/>
      <c r="F371" s="10" t="n"/>
      <c r="G371" s="8" t="n"/>
      <c r="H371" s="11">
        <f>IF(D371="","",IF(G371="",Setup!$B$5,G371)-E371)</f>
        <v/>
      </c>
      <c r="I371" s="6">
        <f>IF(D371="","",AND(LOWER(B371)="y",H371&gt;Setup!$B$4))</f>
        <v/>
      </c>
      <c r="J371" s="12">
        <f>IF(D371="","",IF(AND(I371=TRUE,G371=""),F371,0))</f>
        <v/>
      </c>
      <c r="K371" s="12">
        <f>IF(OR(D371="",G371=""),0,F371)</f>
        <v/>
      </c>
      <c r="L371" s="12">
        <f>IF(OR(D371="",G371=""),0,H371*F371)</f>
        <v/>
      </c>
    </row>
    <row r="372">
      <c r="A372" s="9" t="n"/>
      <c r="B372" s="9" t="n"/>
      <c r="C372" s="9" t="n"/>
      <c r="D372" s="9" t="n"/>
      <c r="E372" s="8" t="n"/>
      <c r="F372" s="10" t="n"/>
      <c r="G372" s="8" t="n"/>
      <c r="H372" s="11">
        <f>IF(D372="","",IF(G372="",Setup!$B$5,G372)-E372)</f>
        <v/>
      </c>
      <c r="I372" s="6">
        <f>IF(D372="","",AND(LOWER(B372)="y",H372&gt;Setup!$B$4))</f>
        <v/>
      </c>
      <c r="J372" s="12">
        <f>IF(D372="","",IF(AND(I372=TRUE,G372=""),F372,0))</f>
        <v/>
      </c>
      <c r="K372" s="12">
        <f>IF(OR(D372="",G372=""),0,F372)</f>
        <v/>
      </c>
      <c r="L372" s="12">
        <f>IF(OR(D372="",G372=""),0,H372*F372)</f>
        <v/>
      </c>
    </row>
    <row r="373">
      <c r="A373" s="9" t="n"/>
      <c r="B373" s="9" t="n"/>
      <c r="C373" s="9" t="n"/>
      <c r="D373" s="9" t="n"/>
      <c r="E373" s="8" t="n"/>
      <c r="F373" s="10" t="n"/>
      <c r="G373" s="8" t="n"/>
      <c r="H373" s="11">
        <f>IF(D373="","",IF(G373="",Setup!$B$5,G373)-E373)</f>
        <v/>
      </c>
      <c r="I373" s="6">
        <f>IF(D373="","",AND(LOWER(B373)="y",H373&gt;Setup!$B$4))</f>
        <v/>
      </c>
      <c r="J373" s="12">
        <f>IF(D373="","",IF(AND(I373=TRUE,G373=""),F373,0))</f>
        <v/>
      </c>
      <c r="K373" s="12">
        <f>IF(OR(D373="",G373=""),0,F373)</f>
        <v/>
      </c>
      <c r="L373" s="12">
        <f>IF(OR(D373="",G373=""),0,H373*F373)</f>
        <v/>
      </c>
    </row>
    <row r="374">
      <c r="A374" s="9" t="n"/>
      <c r="B374" s="9" t="n"/>
      <c r="C374" s="9" t="n"/>
      <c r="D374" s="9" t="n"/>
      <c r="E374" s="8" t="n"/>
      <c r="F374" s="10" t="n"/>
      <c r="G374" s="8" t="n"/>
      <c r="H374" s="11">
        <f>IF(D374="","",IF(G374="",Setup!$B$5,G374)-E374)</f>
        <v/>
      </c>
      <c r="I374" s="6">
        <f>IF(D374="","",AND(LOWER(B374)="y",H374&gt;Setup!$B$4))</f>
        <v/>
      </c>
      <c r="J374" s="12">
        <f>IF(D374="","",IF(AND(I374=TRUE,G374=""),F374,0))</f>
        <v/>
      </c>
      <c r="K374" s="12">
        <f>IF(OR(D374="",G374=""),0,F374)</f>
        <v/>
      </c>
      <c r="L374" s="12">
        <f>IF(OR(D374="",G374=""),0,H374*F374)</f>
        <v/>
      </c>
    </row>
    <row r="375">
      <c r="A375" s="9" t="n"/>
      <c r="B375" s="9" t="n"/>
      <c r="C375" s="9" t="n"/>
      <c r="D375" s="9" t="n"/>
      <c r="E375" s="8" t="n"/>
      <c r="F375" s="10" t="n"/>
      <c r="G375" s="8" t="n"/>
      <c r="H375" s="11">
        <f>IF(D375="","",IF(G375="",Setup!$B$5,G375)-E375)</f>
        <v/>
      </c>
      <c r="I375" s="6">
        <f>IF(D375="","",AND(LOWER(B375)="y",H375&gt;Setup!$B$4))</f>
        <v/>
      </c>
      <c r="J375" s="12">
        <f>IF(D375="","",IF(AND(I375=TRUE,G375=""),F375,0))</f>
        <v/>
      </c>
      <c r="K375" s="12">
        <f>IF(OR(D375="",G375=""),0,F375)</f>
        <v/>
      </c>
      <c r="L375" s="12">
        <f>IF(OR(D375="",G375=""),0,H375*F375)</f>
        <v/>
      </c>
    </row>
    <row r="376">
      <c r="A376" s="9" t="n"/>
      <c r="B376" s="9" t="n"/>
      <c r="C376" s="9" t="n"/>
      <c r="D376" s="9" t="n"/>
      <c r="E376" s="8" t="n"/>
      <c r="F376" s="10" t="n"/>
      <c r="G376" s="8" t="n"/>
      <c r="H376" s="11">
        <f>IF(D376="","",IF(G376="",Setup!$B$5,G376)-E376)</f>
        <v/>
      </c>
      <c r="I376" s="6">
        <f>IF(D376="","",AND(LOWER(B376)="y",H376&gt;Setup!$B$4))</f>
        <v/>
      </c>
      <c r="J376" s="12">
        <f>IF(D376="","",IF(AND(I376=TRUE,G376=""),F376,0))</f>
        <v/>
      </c>
      <c r="K376" s="12">
        <f>IF(OR(D376="",G376=""),0,F376)</f>
        <v/>
      </c>
      <c r="L376" s="12">
        <f>IF(OR(D376="",G376=""),0,H376*F376)</f>
        <v/>
      </c>
    </row>
    <row r="377">
      <c r="A377" s="9" t="n"/>
      <c r="B377" s="9" t="n"/>
      <c r="C377" s="9" t="n"/>
      <c r="D377" s="9" t="n"/>
      <c r="E377" s="8" t="n"/>
      <c r="F377" s="10" t="n"/>
      <c r="G377" s="8" t="n"/>
      <c r="H377" s="11">
        <f>IF(D377="","",IF(G377="",Setup!$B$5,G377)-E377)</f>
        <v/>
      </c>
      <c r="I377" s="6">
        <f>IF(D377="","",AND(LOWER(B377)="y",H377&gt;Setup!$B$4))</f>
        <v/>
      </c>
      <c r="J377" s="12">
        <f>IF(D377="","",IF(AND(I377=TRUE,G377=""),F377,0))</f>
        <v/>
      </c>
      <c r="K377" s="12">
        <f>IF(OR(D377="",G377=""),0,F377)</f>
        <v/>
      </c>
      <c r="L377" s="12">
        <f>IF(OR(D377="",G377=""),0,H377*F377)</f>
        <v/>
      </c>
    </row>
    <row r="378">
      <c r="A378" s="9" t="n"/>
      <c r="B378" s="9" t="n"/>
      <c r="C378" s="9" t="n"/>
      <c r="D378" s="9" t="n"/>
      <c r="E378" s="8" t="n"/>
      <c r="F378" s="10" t="n"/>
      <c r="G378" s="8" t="n"/>
      <c r="H378" s="11">
        <f>IF(D378="","",IF(G378="",Setup!$B$5,G378)-E378)</f>
        <v/>
      </c>
      <c r="I378" s="6">
        <f>IF(D378="","",AND(LOWER(B378)="y",H378&gt;Setup!$B$4))</f>
        <v/>
      </c>
      <c r="J378" s="12">
        <f>IF(D378="","",IF(AND(I378=TRUE,G378=""),F378,0))</f>
        <v/>
      </c>
      <c r="K378" s="12">
        <f>IF(OR(D378="",G378=""),0,F378)</f>
        <v/>
      </c>
      <c r="L378" s="12">
        <f>IF(OR(D378="",G378=""),0,H378*F378)</f>
        <v/>
      </c>
    </row>
    <row r="379">
      <c r="A379" s="9" t="n"/>
      <c r="B379" s="9" t="n"/>
      <c r="C379" s="9" t="n"/>
      <c r="D379" s="9" t="n"/>
      <c r="E379" s="8" t="n"/>
      <c r="F379" s="10" t="n"/>
      <c r="G379" s="8" t="n"/>
      <c r="H379" s="11">
        <f>IF(D379="","",IF(G379="",Setup!$B$5,G379)-E379)</f>
        <v/>
      </c>
      <c r="I379" s="6">
        <f>IF(D379="","",AND(LOWER(B379)="y",H379&gt;Setup!$B$4))</f>
        <v/>
      </c>
      <c r="J379" s="12">
        <f>IF(D379="","",IF(AND(I379=TRUE,G379=""),F379,0))</f>
        <v/>
      </c>
      <c r="K379" s="12">
        <f>IF(OR(D379="",G379=""),0,F379)</f>
        <v/>
      </c>
      <c r="L379" s="12">
        <f>IF(OR(D379="",G379=""),0,H379*F379)</f>
        <v/>
      </c>
    </row>
    <row r="380">
      <c r="A380" s="9" t="n"/>
      <c r="B380" s="9" t="n"/>
      <c r="C380" s="9" t="n"/>
      <c r="D380" s="9" t="n"/>
      <c r="E380" s="8" t="n"/>
      <c r="F380" s="10" t="n"/>
      <c r="G380" s="8" t="n"/>
      <c r="H380" s="11">
        <f>IF(D380="","",IF(G380="",Setup!$B$5,G380)-E380)</f>
        <v/>
      </c>
      <c r="I380" s="6">
        <f>IF(D380="","",AND(LOWER(B380)="y",H380&gt;Setup!$B$4))</f>
        <v/>
      </c>
      <c r="J380" s="12">
        <f>IF(D380="","",IF(AND(I380=TRUE,G380=""),F380,0))</f>
        <v/>
      </c>
      <c r="K380" s="12">
        <f>IF(OR(D380="",G380=""),0,F380)</f>
        <v/>
      </c>
      <c r="L380" s="12">
        <f>IF(OR(D380="",G380=""),0,H380*F380)</f>
        <v/>
      </c>
    </row>
    <row r="381">
      <c r="A381" s="9" t="n"/>
      <c r="B381" s="9" t="n"/>
      <c r="C381" s="9" t="n"/>
      <c r="D381" s="9" t="n"/>
      <c r="E381" s="8" t="n"/>
      <c r="F381" s="10" t="n"/>
      <c r="G381" s="8" t="n"/>
      <c r="H381" s="11">
        <f>IF(D381="","",IF(G381="",Setup!$B$5,G381)-E381)</f>
        <v/>
      </c>
      <c r="I381" s="6">
        <f>IF(D381="","",AND(LOWER(B381)="y",H381&gt;Setup!$B$4))</f>
        <v/>
      </c>
      <c r="J381" s="12">
        <f>IF(D381="","",IF(AND(I381=TRUE,G381=""),F381,0))</f>
        <v/>
      </c>
      <c r="K381" s="12">
        <f>IF(OR(D381="",G381=""),0,F381)</f>
        <v/>
      </c>
      <c r="L381" s="12">
        <f>IF(OR(D381="",G381=""),0,H381*F381)</f>
        <v/>
      </c>
    </row>
    <row r="382">
      <c r="A382" s="9" t="n"/>
      <c r="B382" s="9" t="n"/>
      <c r="C382" s="9" t="n"/>
      <c r="D382" s="9" t="n"/>
      <c r="E382" s="8" t="n"/>
      <c r="F382" s="10" t="n"/>
      <c r="G382" s="8" t="n"/>
      <c r="H382" s="11">
        <f>IF(D382="","",IF(G382="",Setup!$B$5,G382)-E382)</f>
        <v/>
      </c>
      <c r="I382" s="6">
        <f>IF(D382="","",AND(LOWER(B382)="y",H382&gt;Setup!$B$4))</f>
        <v/>
      </c>
      <c r="J382" s="12">
        <f>IF(D382="","",IF(AND(I382=TRUE,G382=""),F382,0))</f>
        <v/>
      </c>
      <c r="K382" s="12">
        <f>IF(OR(D382="",G382=""),0,F382)</f>
        <v/>
      </c>
      <c r="L382" s="12">
        <f>IF(OR(D382="",G382=""),0,H382*F382)</f>
        <v/>
      </c>
    </row>
    <row r="383">
      <c r="A383" s="9" t="n"/>
      <c r="B383" s="9" t="n"/>
      <c r="C383" s="9" t="n"/>
      <c r="D383" s="9" t="n"/>
      <c r="E383" s="8" t="n"/>
      <c r="F383" s="10" t="n"/>
      <c r="G383" s="8" t="n"/>
      <c r="H383" s="11">
        <f>IF(D383="","",IF(G383="",Setup!$B$5,G383)-E383)</f>
        <v/>
      </c>
      <c r="I383" s="6">
        <f>IF(D383="","",AND(LOWER(B383)="y",H383&gt;Setup!$B$4))</f>
        <v/>
      </c>
      <c r="J383" s="12">
        <f>IF(D383="","",IF(AND(I383=TRUE,G383=""),F383,0))</f>
        <v/>
      </c>
      <c r="K383" s="12">
        <f>IF(OR(D383="",G383=""),0,F383)</f>
        <v/>
      </c>
      <c r="L383" s="12">
        <f>IF(OR(D383="",G383=""),0,H383*F383)</f>
        <v/>
      </c>
    </row>
    <row r="384">
      <c r="A384" s="9" t="n"/>
      <c r="B384" s="9" t="n"/>
      <c r="C384" s="9" t="n"/>
      <c r="D384" s="9" t="n"/>
      <c r="E384" s="8" t="n"/>
      <c r="F384" s="10" t="n"/>
      <c r="G384" s="8" t="n"/>
      <c r="H384" s="11">
        <f>IF(D384="","",IF(G384="",Setup!$B$5,G384)-E384)</f>
        <v/>
      </c>
      <c r="I384" s="6">
        <f>IF(D384="","",AND(LOWER(B384)="y",H384&gt;Setup!$B$4))</f>
        <v/>
      </c>
      <c r="J384" s="12">
        <f>IF(D384="","",IF(AND(I384=TRUE,G384=""),F384,0))</f>
        <v/>
      </c>
      <c r="K384" s="12">
        <f>IF(OR(D384="",G384=""),0,F384)</f>
        <v/>
      </c>
      <c r="L384" s="12">
        <f>IF(OR(D384="",G384=""),0,H384*F384)</f>
        <v/>
      </c>
    </row>
    <row r="385">
      <c r="A385" s="9" t="n"/>
      <c r="B385" s="9" t="n"/>
      <c r="C385" s="9" t="n"/>
      <c r="D385" s="9" t="n"/>
      <c r="E385" s="8" t="n"/>
      <c r="F385" s="10" t="n"/>
      <c r="G385" s="8" t="n"/>
      <c r="H385" s="11">
        <f>IF(D385="","",IF(G385="",Setup!$B$5,G385)-E385)</f>
        <v/>
      </c>
      <c r="I385" s="6">
        <f>IF(D385="","",AND(LOWER(B385)="y",H385&gt;Setup!$B$4))</f>
        <v/>
      </c>
      <c r="J385" s="12">
        <f>IF(D385="","",IF(AND(I385=TRUE,G385=""),F385,0))</f>
        <v/>
      </c>
      <c r="K385" s="12">
        <f>IF(OR(D385="",G385=""),0,F385)</f>
        <v/>
      </c>
      <c r="L385" s="12">
        <f>IF(OR(D385="",G385=""),0,H385*F385)</f>
        <v/>
      </c>
    </row>
    <row r="386">
      <c r="A386" s="9" t="n"/>
      <c r="B386" s="9" t="n"/>
      <c r="C386" s="9" t="n"/>
      <c r="D386" s="9" t="n"/>
      <c r="E386" s="8" t="n"/>
      <c r="F386" s="10" t="n"/>
      <c r="G386" s="8" t="n"/>
      <c r="H386" s="11">
        <f>IF(D386="","",IF(G386="",Setup!$B$5,G386)-E386)</f>
        <v/>
      </c>
      <c r="I386" s="6">
        <f>IF(D386="","",AND(LOWER(B386)="y",H386&gt;Setup!$B$4))</f>
        <v/>
      </c>
      <c r="J386" s="12">
        <f>IF(D386="","",IF(AND(I386=TRUE,G386=""),F386,0))</f>
        <v/>
      </c>
      <c r="K386" s="12">
        <f>IF(OR(D386="",G386=""),0,F386)</f>
        <v/>
      </c>
      <c r="L386" s="12">
        <f>IF(OR(D386="",G386=""),0,H386*F386)</f>
        <v/>
      </c>
    </row>
    <row r="387">
      <c r="A387" s="9" t="n"/>
      <c r="B387" s="9" t="n"/>
      <c r="C387" s="9" t="n"/>
      <c r="D387" s="9" t="n"/>
      <c r="E387" s="8" t="n"/>
      <c r="F387" s="10" t="n"/>
      <c r="G387" s="8" t="n"/>
      <c r="H387" s="11">
        <f>IF(D387="","",IF(G387="",Setup!$B$5,G387)-E387)</f>
        <v/>
      </c>
      <c r="I387" s="6">
        <f>IF(D387="","",AND(LOWER(B387)="y",H387&gt;Setup!$B$4))</f>
        <v/>
      </c>
      <c r="J387" s="12">
        <f>IF(D387="","",IF(AND(I387=TRUE,G387=""),F387,0))</f>
        <v/>
      </c>
      <c r="K387" s="12">
        <f>IF(OR(D387="",G387=""),0,F387)</f>
        <v/>
      </c>
      <c r="L387" s="12">
        <f>IF(OR(D387="",G387=""),0,H387*F387)</f>
        <v/>
      </c>
    </row>
    <row r="388">
      <c r="A388" s="9" t="n"/>
      <c r="B388" s="9" t="n"/>
      <c r="C388" s="9" t="n"/>
      <c r="D388" s="9" t="n"/>
      <c r="E388" s="8" t="n"/>
      <c r="F388" s="10" t="n"/>
      <c r="G388" s="8" t="n"/>
      <c r="H388" s="11">
        <f>IF(D388="","",IF(G388="",Setup!$B$5,G388)-E388)</f>
        <v/>
      </c>
      <c r="I388" s="6">
        <f>IF(D388="","",AND(LOWER(B388)="y",H388&gt;Setup!$B$4))</f>
        <v/>
      </c>
      <c r="J388" s="12">
        <f>IF(D388="","",IF(AND(I388=TRUE,G388=""),F388,0))</f>
        <v/>
      </c>
      <c r="K388" s="12">
        <f>IF(OR(D388="",G388=""),0,F388)</f>
        <v/>
      </c>
      <c r="L388" s="12">
        <f>IF(OR(D388="",G388=""),0,H388*F388)</f>
        <v/>
      </c>
    </row>
    <row r="389">
      <c r="A389" s="9" t="n"/>
      <c r="B389" s="9" t="n"/>
      <c r="C389" s="9" t="n"/>
      <c r="D389" s="9" t="n"/>
      <c r="E389" s="8" t="n"/>
      <c r="F389" s="10" t="n"/>
      <c r="G389" s="8" t="n"/>
      <c r="H389" s="11">
        <f>IF(D389="","",IF(G389="",Setup!$B$5,G389)-E389)</f>
        <v/>
      </c>
      <c r="I389" s="6">
        <f>IF(D389="","",AND(LOWER(B389)="y",H389&gt;Setup!$B$4))</f>
        <v/>
      </c>
      <c r="J389" s="12">
        <f>IF(D389="","",IF(AND(I389=TRUE,G389=""),F389,0))</f>
        <v/>
      </c>
      <c r="K389" s="12">
        <f>IF(OR(D389="",G389=""),0,F389)</f>
        <v/>
      </c>
      <c r="L389" s="12">
        <f>IF(OR(D389="",G389=""),0,H389*F389)</f>
        <v/>
      </c>
    </row>
    <row r="390">
      <c r="A390" s="9" t="n"/>
      <c r="B390" s="9" t="n"/>
      <c r="C390" s="9" t="n"/>
      <c r="D390" s="9" t="n"/>
      <c r="E390" s="8" t="n"/>
      <c r="F390" s="10" t="n"/>
      <c r="G390" s="8" t="n"/>
      <c r="H390" s="11">
        <f>IF(D390="","",IF(G390="",Setup!$B$5,G390)-E390)</f>
        <v/>
      </c>
      <c r="I390" s="6">
        <f>IF(D390="","",AND(LOWER(B390)="y",H390&gt;Setup!$B$4))</f>
        <v/>
      </c>
      <c r="J390" s="12">
        <f>IF(D390="","",IF(AND(I390=TRUE,G390=""),F390,0))</f>
        <v/>
      </c>
      <c r="K390" s="12">
        <f>IF(OR(D390="",G390=""),0,F390)</f>
        <v/>
      </c>
      <c r="L390" s="12">
        <f>IF(OR(D390="",G390=""),0,H390*F390)</f>
        <v/>
      </c>
    </row>
    <row r="391">
      <c r="A391" s="9" t="n"/>
      <c r="B391" s="9" t="n"/>
      <c r="C391" s="9" t="n"/>
      <c r="D391" s="9" t="n"/>
      <c r="E391" s="8" t="n"/>
      <c r="F391" s="10" t="n"/>
      <c r="G391" s="8" t="n"/>
      <c r="H391" s="11">
        <f>IF(D391="","",IF(G391="",Setup!$B$5,G391)-E391)</f>
        <v/>
      </c>
      <c r="I391" s="6">
        <f>IF(D391="","",AND(LOWER(B391)="y",H391&gt;Setup!$B$4))</f>
        <v/>
      </c>
      <c r="J391" s="12">
        <f>IF(D391="","",IF(AND(I391=TRUE,G391=""),F391,0))</f>
        <v/>
      </c>
      <c r="K391" s="12">
        <f>IF(OR(D391="",G391=""),0,F391)</f>
        <v/>
      </c>
      <c r="L391" s="12">
        <f>IF(OR(D391="",G391=""),0,H391*F391)</f>
        <v/>
      </c>
    </row>
    <row r="392">
      <c r="A392" s="9" t="n"/>
      <c r="B392" s="9" t="n"/>
      <c r="C392" s="9" t="n"/>
      <c r="D392" s="9" t="n"/>
      <c r="E392" s="8" t="n"/>
      <c r="F392" s="10" t="n"/>
      <c r="G392" s="8" t="n"/>
      <c r="H392" s="11">
        <f>IF(D392="","",IF(G392="",Setup!$B$5,G392)-E392)</f>
        <v/>
      </c>
      <c r="I392" s="6">
        <f>IF(D392="","",AND(LOWER(B392)="y",H392&gt;Setup!$B$4))</f>
        <v/>
      </c>
      <c r="J392" s="12">
        <f>IF(D392="","",IF(AND(I392=TRUE,G392=""),F392,0))</f>
        <v/>
      </c>
      <c r="K392" s="12">
        <f>IF(OR(D392="",G392=""),0,F392)</f>
        <v/>
      </c>
      <c r="L392" s="12">
        <f>IF(OR(D392="",G392=""),0,H392*F392)</f>
        <v/>
      </c>
    </row>
    <row r="393">
      <c r="A393" s="9" t="n"/>
      <c r="B393" s="9" t="n"/>
      <c r="C393" s="9" t="n"/>
      <c r="D393" s="9" t="n"/>
      <c r="E393" s="8" t="n"/>
      <c r="F393" s="10" t="n"/>
      <c r="G393" s="8" t="n"/>
      <c r="H393" s="11">
        <f>IF(D393="","",IF(G393="",Setup!$B$5,G393)-E393)</f>
        <v/>
      </c>
      <c r="I393" s="6">
        <f>IF(D393="","",AND(LOWER(B393)="y",H393&gt;Setup!$B$4))</f>
        <v/>
      </c>
      <c r="J393" s="12">
        <f>IF(D393="","",IF(AND(I393=TRUE,G393=""),F393,0))</f>
        <v/>
      </c>
      <c r="K393" s="12">
        <f>IF(OR(D393="",G393=""),0,F393)</f>
        <v/>
      </c>
      <c r="L393" s="12">
        <f>IF(OR(D393="",G393=""),0,H393*F393)</f>
        <v/>
      </c>
    </row>
    <row r="394">
      <c r="A394" s="9" t="n"/>
      <c r="B394" s="9" t="n"/>
      <c r="C394" s="9" t="n"/>
      <c r="D394" s="9" t="n"/>
      <c r="E394" s="8" t="n"/>
      <c r="F394" s="10" t="n"/>
      <c r="G394" s="8" t="n"/>
      <c r="H394" s="11">
        <f>IF(D394="","",IF(G394="",Setup!$B$5,G394)-E394)</f>
        <v/>
      </c>
      <c r="I394" s="6">
        <f>IF(D394="","",AND(LOWER(B394)="y",H394&gt;Setup!$B$4))</f>
        <v/>
      </c>
      <c r="J394" s="12">
        <f>IF(D394="","",IF(AND(I394=TRUE,G394=""),F394,0))</f>
        <v/>
      </c>
      <c r="K394" s="12">
        <f>IF(OR(D394="",G394=""),0,F394)</f>
        <v/>
      </c>
      <c r="L394" s="12">
        <f>IF(OR(D394="",G394=""),0,H394*F394)</f>
        <v/>
      </c>
    </row>
    <row r="395">
      <c r="A395" s="9" t="n"/>
      <c r="B395" s="9" t="n"/>
      <c r="C395" s="9" t="n"/>
      <c r="D395" s="9" t="n"/>
      <c r="E395" s="8" t="n"/>
      <c r="F395" s="10" t="n"/>
      <c r="G395" s="8" t="n"/>
      <c r="H395" s="11">
        <f>IF(D395="","",IF(G395="",Setup!$B$5,G395)-E395)</f>
        <v/>
      </c>
      <c r="I395" s="6">
        <f>IF(D395="","",AND(LOWER(B395)="y",H395&gt;Setup!$B$4))</f>
        <v/>
      </c>
      <c r="J395" s="12">
        <f>IF(D395="","",IF(AND(I395=TRUE,G395=""),F395,0))</f>
        <v/>
      </c>
      <c r="K395" s="12">
        <f>IF(OR(D395="",G395=""),0,F395)</f>
        <v/>
      </c>
      <c r="L395" s="12">
        <f>IF(OR(D395="",G395=""),0,H395*F395)</f>
        <v/>
      </c>
    </row>
    <row r="396">
      <c r="A396" s="9" t="n"/>
      <c r="B396" s="9" t="n"/>
      <c r="C396" s="9" t="n"/>
      <c r="D396" s="9" t="n"/>
      <c r="E396" s="8" t="n"/>
      <c r="F396" s="10" t="n"/>
      <c r="G396" s="8" t="n"/>
      <c r="H396" s="11">
        <f>IF(D396="","",IF(G396="",Setup!$B$5,G396)-E396)</f>
        <v/>
      </c>
      <c r="I396" s="6">
        <f>IF(D396="","",AND(LOWER(B396)="y",H396&gt;Setup!$B$4))</f>
        <v/>
      </c>
      <c r="J396" s="12">
        <f>IF(D396="","",IF(AND(I396=TRUE,G396=""),F396,0))</f>
        <v/>
      </c>
      <c r="K396" s="12">
        <f>IF(OR(D396="",G396=""),0,F396)</f>
        <v/>
      </c>
      <c r="L396" s="12">
        <f>IF(OR(D396="",G396=""),0,H396*F396)</f>
        <v/>
      </c>
    </row>
    <row r="397">
      <c r="A397" s="9" t="n"/>
      <c r="B397" s="9" t="n"/>
      <c r="C397" s="9" t="n"/>
      <c r="D397" s="9" t="n"/>
      <c r="E397" s="8" t="n"/>
      <c r="F397" s="10" t="n"/>
      <c r="G397" s="8" t="n"/>
      <c r="H397" s="11">
        <f>IF(D397="","",IF(G397="",Setup!$B$5,G397)-E397)</f>
        <v/>
      </c>
      <c r="I397" s="6">
        <f>IF(D397="","",AND(LOWER(B397)="y",H397&gt;Setup!$B$4))</f>
        <v/>
      </c>
      <c r="J397" s="12">
        <f>IF(D397="","",IF(AND(I397=TRUE,G397=""),F397,0))</f>
        <v/>
      </c>
      <c r="K397" s="12">
        <f>IF(OR(D397="",G397=""),0,F397)</f>
        <v/>
      </c>
      <c r="L397" s="12">
        <f>IF(OR(D397="",G397=""),0,H397*F397)</f>
        <v/>
      </c>
    </row>
    <row r="398">
      <c r="A398" s="9" t="n"/>
      <c r="B398" s="9" t="n"/>
      <c r="C398" s="9" t="n"/>
      <c r="D398" s="9" t="n"/>
      <c r="E398" s="8" t="n"/>
      <c r="F398" s="10" t="n"/>
      <c r="G398" s="8" t="n"/>
      <c r="H398" s="11">
        <f>IF(D398="","",IF(G398="",Setup!$B$5,G398)-E398)</f>
        <v/>
      </c>
      <c r="I398" s="6">
        <f>IF(D398="","",AND(LOWER(B398)="y",H398&gt;Setup!$B$4))</f>
        <v/>
      </c>
      <c r="J398" s="12">
        <f>IF(D398="","",IF(AND(I398=TRUE,G398=""),F398,0))</f>
        <v/>
      </c>
      <c r="K398" s="12">
        <f>IF(OR(D398="",G398=""),0,F398)</f>
        <v/>
      </c>
      <c r="L398" s="12">
        <f>IF(OR(D398="",G398=""),0,H398*F398)</f>
        <v/>
      </c>
    </row>
    <row r="399">
      <c r="A399" s="9" t="n"/>
      <c r="B399" s="9" t="n"/>
      <c r="C399" s="9" t="n"/>
      <c r="D399" s="9" t="n"/>
      <c r="E399" s="8" t="n"/>
      <c r="F399" s="10" t="n"/>
      <c r="G399" s="8" t="n"/>
      <c r="H399" s="11">
        <f>IF(D399="","",IF(G399="",Setup!$B$5,G399)-E399)</f>
        <v/>
      </c>
      <c r="I399" s="6">
        <f>IF(D399="","",AND(LOWER(B399)="y",H399&gt;Setup!$B$4))</f>
        <v/>
      </c>
      <c r="J399" s="12">
        <f>IF(D399="","",IF(AND(I399=TRUE,G399=""),F399,0))</f>
        <v/>
      </c>
      <c r="K399" s="12">
        <f>IF(OR(D399="",G399=""),0,F399)</f>
        <v/>
      </c>
      <c r="L399" s="12">
        <f>IF(OR(D399="",G399=""),0,H399*F399)</f>
        <v/>
      </c>
    </row>
    <row r="400">
      <c r="A400" s="9" t="n"/>
      <c r="B400" s="9" t="n"/>
      <c r="C400" s="9" t="n"/>
      <c r="D400" s="9" t="n"/>
      <c r="E400" s="8" t="n"/>
      <c r="F400" s="10" t="n"/>
      <c r="G400" s="8" t="n"/>
      <c r="H400" s="11">
        <f>IF(D400="","",IF(G400="",Setup!$B$5,G400)-E400)</f>
        <v/>
      </c>
      <c r="I400" s="6">
        <f>IF(D400="","",AND(LOWER(B400)="y",H400&gt;Setup!$B$4))</f>
        <v/>
      </c>
      <c r="J400" s="12">
        <f>IF(D400="","",IF(AND(I400=TRUE,G400=""),F400,0))</f>
        <v/>
      </c>
      <c r="K400" s="12">
        <f>IF(OR(D400="",G400=""),0,F400)</f>
        <v/>
      </c>
      <c r="L400" s="12">
        <f>IF(OR(D400="",G400=""),0,H400*F400)</f>
        <v/>
      </c>
    </row>
    <row r="401">
      <c r="A401" s="9" t="n"/>
      <c r="B401" s="9" t="n"/>
      <c r="C401" s="9" t="n"/>
      <c r="D401" s="9" t="n"/>
      <c r="E401" s="8" t="n"/>
      <c r="F401" s="10" t="n"/>
      <c r="G401" s="8" t="n"/>
      <c r="H401" s="11">
        <f>IF(D401="","",IF(G401="",Setup!$B$5,G401)-E401)</f>
        <v/>
      </c>
      <c r="I401" s="6">
        <f>IF(D401="","",AND(LOWER(B401)="y",H401&gt;Setup!$B$4))</f>
        <v/>
      </c>
      <c r="J401" s="12">
        <f>IF(D401="","",IF(AND(I401=TRUE,G401=""),F401,0))</f>
        <v/>
      </c>
      <c r="K401" s="12">
        <f>IF(OR(D401="",G401=""),0,F401)</f>
        <v/>
      </c>
      <c r="L401" s="12">
        <f>IF(OR(D401="",G401=""),0,H401*F401)</f>
        <v/>
      </c>
    </row>
    <row r="402">
      <c r="A402" s="9" t="n"/>
      <c r="B402" s="9" t="n"/>
      <c r="C402" s="9" t="n"/>
      <c r="D402" s="9" t="n"/>
      <c r="E402" s="8" t="n"/>
      <c r="F402" s="10" t="n"/>
      <c r="G402" s="8" t="n"/>
      <c r="H402" s="11">
        <f>IF(D402="","",IF(G402="",Setup!$B$5,G402)-E402)</f>
        <v/>
      </c>
      <c r="I402" s="6">
        <f>IF(D402="","",AND(LOWER(B402)="y",H402&gt;Setup!$B$4))</f>
        <v/>
      </c>
      <c r="J402" s="12">
        <f>IF(D402="","",IF(AND(I402=TRUE,G402=""),F402,0))</f>
        <v/>
      </c>
      <c r="K402" s="12">
        <f>IF(OR(D402="",G402=""),0,F402)</f>
        <v/>
      </c>
      <c r="L402" s="12">
        <f>IF(OR(D402="",G402=""),0,H402*F402)</f>
        <v/>
      </c>
    </row>
    <row r="403">
      <c r="A403" s="9" t="n"/>
      <c r="B403" s="9" t="n"/>
      <c r="C403" s="9" t="n"/>
      <c r="D403" s="9" t="n"/>
      <c r="E403" s="8" t="n"/>
      <c r="F403" s="10" t="n"/>
      <c r="G403" s="8" t="n"/>
      <c r="H403" s="11">
        <f>IF(D403="","",IF(G403="",Setup!$B$5,G403)-E403)</f>
        <v/>
      </c>
      <c r="I403" s="6">
        <f>IF(D403="","",AND(LOWER(B403)="y",H403&gt;Setup!$B$4))</f>
        <v/>
      </c>
      <c r="J403" s="12">
        <f>IF(D403="","",IF(AND(I403=TRUE,G403=""),F403,0))</f>
        <v/>
      </c>
      <c r="K403" s="12">
        <f>IF(OR(D403="",G403=""),0,F403)</f>
        <v/>
      </c>
      <c r="L403" s="12">
        <f>IF(OR(D403="",G403=""),0,H403*F403)</f>
        <v/>
      </c>
    </row>
    <row r="404">
      <c r="A404" s="9" t="n"/>
      <c r="B404" s="9" t="n"/>
      <c r="C404" s="9" t="n"/>
      <c r="D404" s="9" t="n"/>
      <c r="E404" s="8" t="n"/>
      <c r="F404" s="10" t="n"/>
      <c r="G404" s="8" t="n"/>
      <c r="H404" s="11">
        <f>IF(D404="","",IF(G404="",Setup!$B$5,G404)-E404)</f>
        <v/>
      </c>
      <c r="I404" s="6">
        <f>IF(D404="","",AND(LOWER(B404)="y",H404&gt;Setup!$B$4))</f>
        <v/>
      </c>
      <c r="J404" s="12">
        <f>IF(D404="","",IF(AND(I404=TRUE,G404=""),F404,0))</f>
        <v/>
      </c>
      <c r="K404" s="12">
        <f>IF(OR(D404="",G404=""),0,F404)</f>
        <v/>
      </c>
      <c r="L404" s="12">
        <f>IF(OR(D404="",G404=""),0,H404*F404)</f>
        <v/>
      </c>
    </row>
    <row r="405">
      <c r="A405" s="9" t="n"/>
      <c r="B405" s="9" t="n"/>
      <c r="C405" s="9" t="n"/>
      <c r="D405" s="9" t="n"/>
      <c r="E405" s="8" t="n"/>
      <c r="F405" s="10" t="n"/>
      <c r="G405" s="8" t="n"/>
      <c r="H405" s="11">
        <f>IF(D405="","",IF(G405="",Setup!$B$5,G405)-E405)</f>
        <v/>
      </c>
      <c r="I405" s="6">
        <f>IF(D405="","",AND(LOWER(B405)="y",H405&gt;Setup!$B$4))</f>
        <v/>
      </c>
      <c r="J405" s="12">
        <f>IF(D405="","",IF(AND(I405=TRUE,G405=""),F405,0))</f>
        <v/>
      </c>
      <c r="K405" s="12">
        <f>IF(OR(D405="",G405=""),0,F405)</f>
        <v/>
      </c>
      <c r="L405" s="12">
        <f>IF(OR(D405="",G405=""),0,H405*F405)</f>
        <v/>
      </c>
    </row>
    <row r="406">
      <c r="A406" s="9" t="n"/>
      <c r="B406" s="9" t="n"/>
      <c r="C406" s="9" t="n"/>
      <c r="D406" s="9" t="n"/>
      <c r="E406" s="8" t="n"/>
      <c r="F406" s="10" t="n"/>
      <c r="G406" s="8" t="n"/>
      <c r="H406" s="11">
        <f>IF(D406="","",IF(G406="",Setup!$B$5,G406)-E406)</f>
        <v/>
      </c>
      <c r="I406" s="6">
        <f>IF(D406="","",AND(LOWER(B406)="y",H406&gt;Setup!$B$4))</f>
        <v/>
      </c>
      <c r="J406" s="12">
        <f>IF(D406="","",IF(AND(I406=TRUE,G406=""),F406,0))</f>
        <v/>
      </c>
      <c r="K406" s="12">
        <f>IF(OR(D406="",G406=""),0,F406)</f>
        <v/>
      </c>
      <c r="L406" s="12">
        <f>IF(OR(D406="",G406=""),0,H406*F406)</f>
        <v/>
      </c>
    </row>
    <row r="407">
      <c r="A407" s="9" t="n"/>
      <c r="B407" s="9" t="n"/>
      <c r="C407" s="9" t="n"/>
      <c r="D407" s="9" t="n"/>
      <c r="E407" s="8" t="n"/>
      <c r="F407" s="10" t="n"/>
      <c r="G407" s="8" t="n"/>
      <c r="H407" s="11">
        <f>IF(D407="","",IF(G407="",Setup!$B$5,G407)-E407)</f>
        <v/>
      </c>
      <c r="I407" s="6">
        <f>IF(D407="","",AND(LOWER(B407)="y",H407&gt;Setup!$B$4))</f>
        <v/>
      </c>
      <c r="J407" s="12">
        <f>IF(D407="","",IF(AND(I407=TRUE,G407=""),F407,0))</f>
        <v/>
      </c>
      <c r="K407" s="12">
        <f>IF(OR(D407="",G407=""),0,F407)</f>
        <v/>
      </c>
      <c r="L407" s="12">
        <f>IF(OR(D407="",G407=""),0,H407*F407)</f>
        <v/>
      </c>
    </row>
    <row r="408">
      <c r="A408" s="9" t="n"/>
      <c r="B408" s="9" t="n"/>
      <c r="C408" s="9" t="n"/>
      <c r="D408" s="9" t="n"/>
      <c r="E408" s="8" t="n"/>
      <c r="F408" s="10" t="n"/>
      <c r="G408" s="8" t="n"/>
      <c r="H408" s="11">
        <f>IF(D408="","",IF(G408="",Setup!$B$5,G408)-E408)</f>
        <v/>
      </c>
      <c r="I408" s="6">
        <f>IF(D408="","",AND(LOWER(B408)="y",H408&gt;Setup!$B$4))</f>
        <v/>
      </c>
      <c r="J408" s="12">
        <f>IF(D408="","",IF(AND(I408=TRUE,G408=""),F408,0))</f>
        <v/>
      </c>
      <c r="K408" s="12">
        <f>IF(OR(D408="",G408=""),0,F408)</f>
        <v/>
      </c>
      <c r="L408" s="12">
        <f>IF(OR(D408="",G408=""),0,H408*F408)</f>
        <v/>
      </c>
    </row>
    <row r="409">
      <c r="A409" s="9" t="n"/>
      <c r="B409" s="9" t="n"/>
      <c r="C409" s="9" t="n"/>
      <c r="D409" s="9" t="n"/>
      <c r="E409" s="8" t="n"/>
      <c r="F409" s="10" t="n"/>
      <c r="G409" s="8" t="n"/>
      <c r="H409" s="11">
        <f>IF(D409="","",IF(G409="",Setup!$B$5,G409)-E409)</f>
        <v/>
      </c>
      <c r="I409" s="6">
        <f>IF(D409="","",AND(LOWER(B409)="y",H409&gt;Setup!$B$4))</f>
        <v/>
      </c>
      <c r="J409" s="12">
        <f>IF(D409="","",IF(AND(I409=TRUE,G409=""),F409,0))</f>
        <v/>
      </c>
      <c r="K409" s="12">
        <f>IF(OR(D409="",G409=""),0,F409)</f>
        <v/>
      </c>
      <c r="L409" s="12">
        <f>IF(OR(D409="",G409=""),0,H409*F409)</f>
        <v/>
      </c>
    </row>
    <row r="410">
      <c r="A410" s="9" t="n"/>
      <c r="B410" s="9" t="n"/>
      <c r="C410" s="9" t="n"/>
      <c r="D410" s="9" t="n"/>
      <c r="E410" s="8" t="n"/>
      <c r="F410" s="10" t="n"/>
      <c r="G410" s="8" t="n"/>
      <c r="H410" s="11">
        <f>IF(D410="","",IF(G410="",Setup!$B$5,G410)-E410)</f>
        <v/>
      </c>
      <c r="I410" s="6">
        <f>IF(D410="","",AND(LOWER(B410)="y",H410&gt;Setup!$B$4))</f>
        <v/>
      </c>
      <c r="J410" s="12">
        <f>IF(D410="","",IF(AND(I410=TRUE,G410=""),F410,0))</f>
        <v/>
      </c>
      <c r="K410" s="12">
        <f>IF(OR(D410="",G410=""),0,F410)</f>
        <v/>
      </c>
      <c r="L410" s="12">
        <f>IF(OR(D410="",G410=""),0,H410*F410)</f>
        <v/>
      </c>
    </row>
    <row r="411">
      <c r="A411" s="9" t="n"/>
      <c r="B411" s="9" t="n"/>
      <c r="C411" s="9" t="n"/>
      <c r="D411" s="9" t="n"/>
      <c r="E411" s="8" t="n"/>
      <c r="F411" s="10" t="n"/>
      <c r="G411" s="8" t="n"/>
      <c r="H411" s="11">
        <f>IF(D411="","",IF(G411="",Setup!$B$5,G411)-E411)</f>
        <v/>
      </c>
      <c r="I411" s="6">
        <f>IF(D411="","",AND(LOWER(B411)="y",H411&gt;Setup!$B$4))</f>
        <v/>
      </c>
      <c r="J411" s="12">
        <f>IF(D411="","",IF(AND(I411=TRUE,G411=""),F411,0))</f>
        <v/>
      </c>
      <c r="K411" s="12">
        <f>IF(OR(D411="",G411=""),0,F411)</f>
        <v/>
      </c>
      <c r="L411" s="12">
        <f>IF(OR(D411="",G411=""),0,H411*F411)</f>
        <v/>
      </c>
    </row>
    <row r="412">
      <c r="A412" s="9" t="n"/>
      <c r="B412" s="9" t="n"/>
      <c r="C412" s="9" t="n"/>
      <c r="D412" s="9" t="n"/>
      <c r="E412" s="8" t="n"/>
      <c r="F412" s="10" t="n"/>
      <c r="G412" s="8" t="n"/>
      <c r="H412" s="11">
        <f>IF(D412="","",IF(G412="",Setup!$B$5,G412)-E412)</f>
        <v/>
      </c>
      <c r="I412" s="6">
        <f>IF(D412="","",AND(LOWER(B412)="y",H412&gt;Setup!$B$4))</f>
        <v/>
      </c>
      <c r="J412" s="12">
        <f>IF(D412="","",IF(AND(I412=TRUE,G412=""),F412,0))</f>
        <v/>
      </c>
      <c r="K412" s="12">
        <f>IF(OR(D412="",G412=""),0,F412)</f>
        <v/>
      </c>
      <c r="L412" s="12">
        <f>IF(OR(D412="",G412=""),0,H412*F412)</f>
        <v/>
      </c>
    </row>
    <row r="413">
      <c r="A413" s="9" t="n"/>
      <c r="B413" s="9" t="n"/>
      <c r="C413" s="9" t="n"/>
      <c r="D413" s="9" t="n"/>
      <c r="E413" s="8" t="n"/>
      <c r="F413" s="10" t="n"/>
      <c r="G413" s="8" t="n"/>
      <c r="H413" s="11">
        <f>IF(D413="","",IF(G413="",Setup!$B$5,G413)-E413)</f>
        <v/>
      </c>
      <c r="I413" s="6">
        <f>IF(D413="","",AND(LOWER(B413)="y",H413&gt;Setup!$B$4))</f>
        <v/>
      </c>
      <c r="J413" s="12">
        <f>IF(D413="","",IF(AND(I413=TRUE,G413=""),F413,0))</f>
        <v/>
      </c>
      <c r="K413" s="12">
        <f>IF(OR(D413="",G413=""),0,F413)</f>
        <v/>
      </c>
      <c r="L413" s="12">
        <f>IF(OR(D413="",G413=""),0,H413*F413)</f>
        <v/>
      </c>
    </row>
    <row r="414">
      <c r="A414" s="9" t="n"/>
      <c r="B414" s="9" t="n"/>
      <c r="C414" s="9" t="n"/>
      <c r="D414" s="9" t="n"/>
      <c r="E414" s="8" t="n"/>
      <c r="F414" s="10" t="n"/>
      <c r="G414" s="8" t="n"/>
      <c r="H414" s="11">
        <f>IF(D414="","",IF(G414="",Setup!$B$5,G414)-E414)</f>
        <v/>
      </c>
      <c r="I414" s="6">
        <f>IF(D414="","",AND(LOWER(B414)="y",H414&gt;Setup!$B$4))</f>
        <v/>
      </c>
      <c r="J414" s="12">
        <f>IF(D414="","",IF(AND(I414=TRUE,G414=""),F414,0))</f>
        <v/>
      </c>
      <c r="K414" s="12">
        <f>IF(OR(D414="",G414=""),0,F414)</f>
        <v/>
      </c>
      <c r="L414" s="12">
        <f>IF(OR(D414="",G414=""),0,H414*F414)</f>
        <v/>
      </c>
    </row>
    <row r="415">
      <c r="A415" s="9" t="n"/>
      <c r="B415" s="9" t="n"/>
      <c r="C415" s="9" t="n"/>
      <c r="D415" s="9" t="n"/>
      <c r="E415" s="8" t="n"/>
      <c r="F415" s="10" t="n"/>
      <c r="G415" s="8" t="n"/>
      <c r="H415" s="11">
        <f>IF(D415="","",IF(G415="",Setup!$B$5,G415)-E415)</f>
        <v/>
      </c>
      <c r="I415" s="6">
        <f>IF(D415="","",AND(LOWER(B415)="y",H415&gt;Setup!$B$4))</f>
        <v/>
      </c>
      <c r="J415" s="12">
        <f>IF(D415="","",IF(AND(I415=TRUE,G415=""),F415,0))</f>
        <v/>
      </c>
      <c r="K415" s="12">
        <f>IF(OR(D415="",G415=""),0,F415)</f>
        <v/>
      </c>
      <c r="L415" s="12">
        <f>IF(OR(D415="",G415=""),0,H415*F415)</f>
        <v/>
      </c>
    </row>
    <row r="416">
      <c r="A416" s="9" t="n"/>
      <c r="B416" s="9" t="n"/>
      <c r="C416" s="9" t="n"/>
      <c r="D416" s="9" t="n"/>
      <c r="E416" s="8" t="n"/>
      <c r="F416" s="10" t="n"/>
      <c r="G416" s="8" t="n"/>
      <c r="H416" s="11">
        <f>IF(D416="","",IF(G416="",Setup!$B$5,G416)-E416)</f>
        <v/>
      </c>
      <c r="I416" s="6">
        <f>IF(D416="","",AND(LOWER(B416)="y",H416&gt;Setup!$B$4))</f>
        <v/>
      </c>
      <c r="J416" s="12">
        <f>IF(D416="","",IF(AND(I416=TRUE,G416=""),F416,0))</f>
        <v/>
      </c>
      <c r="K416" s="12">
        <f>IF(OR(D416="",G416=""),0,F416)</f>
        <v/>
      </c>
      <c r="L416" s="12">
        <f>IF(OR(D416="",G416=""),0,H416*F416)</f>
        <v/>
      </c>
    </row>
    <row r="417">
      <c r="A417" s="9" t="n"/>
      <c r="B417" s="9" t="n"/>
      <c r="C417" s="9" t="n"/>
      <c r="D417" s="9" t="n"/>
      <c r="E417" s="8" t="n"/>
      <c r="F417" s="10" t="n"/>
      <c r="G417" s="8" t="n"/>
      <c r="H417" s="11">
        <f>IF(D417="","",IF(G417="",Setup!$B$5,G417)-E417)</f>
        <v/>
      </c>
      <c r="I417" s="6">
        <f>IF(D417="","",AND(LOWER(B417)="y",H417&gt;Setup!$B$4))</f>
        <v/>
      </c>
      <c r="J417" s="12">
        <f>IF(D417="","",IF(AND(I417=TRUE,G417=""),F417,0))</f>
        <v/>
      </c>
      <c r="K417" s="12">
        <f>IF(OR(D417="",G417=""),0,F417)</f>
        <v/>
      </c>
      <c r="L417" s="12">
        <f>IF(OR(D417="",G417=""),0,H417*F417)</f>
        <v/>
      </c>
    </row>
    <row r="418">
      <c r="A418" s="9" t="n"/>
      <c r="B418" s="9" t="n"/>
      <c r="C418" s="9" t="n"/>
      <c r="D418" s="9" t="n"/>
      <c r="E418" s="8" t="n"/>
      <c r="F418" s="10" t="n"/>
      <c r="G418" s="8" t="n"/>
      <c r="H418" s="11">
        <f>IF(D418="","",IF(G418="",Setup!$B$5,G418)-E418)</f>
        <v/>
      </c>
      <c r="I418" s="6">
        <f>IF(D418="","",AND(LOWER(B418)="y",H418&gt;Setup!$B$4))</f>
        <v/>
      </c>
      <c r="J418" s="12">
        <f>IF(D418="","",IF(AND(I418=TRUE,G418=""),F418,0))</f>
        <v/>
      </c>
      <c r="K418" s="12">
        <f>IF(OR(D418="",G418=""),0,F418)</f>
        <v/>
      </c>
      <c r="L418" s="12">
        <f>IF(OR(D418="",G418=""),0,H418*F418)</f>
        <v/>
      </c>
    </row>
    <row r="419">
      <c r="A419" s="9" t="n"/>
      <c r="B419" s="9" t="n"/>
      <c r="C419" s="9" t="n"/>
      <c r="D419" s="9" t="n"/>
      <c r="E419" s="8" t="n"/>
      <c r="F419" s="10" t="n"/>
      <c r="G419" s="8" t="n"/>
      <c r="H419" s="11">
        <f>IF(D419="","",IF(G419="",Setup!$B$5,G419)-E419)</f>
        <v/>
      </c>
      <c r="I419" s="6">
        <f>IF(D419="","",AND(LOWER(B419)="y",H419&gt;Setup!$B$4))</f>
        <v/>
      </c>
      <c r="J419" s="12">
        <f>IF(D419="","",IF(AND(I419=TRUE,G419=""),F419,0))</f>
        <v/>
      </c>
      <c r="K419" s="12">
        <f>IF(OR(D419="",G419=""),0,F419)</f>
        <v/>
      </c>
      <c r="L419" s="12">
        <f>IF(OR(D419="",G419=""),0,H419*F419)</f>
        <v/>
      </c>
    </row>
    <row r="420">
      <c r="A420" s="9" t="n"/>
      <c r="B420" s="9" t="n"/>
      <c r="C420" s="9" t="n"/>
      <c r="D420" s="9" t="n"/>
      <c r="E420" s="8" t="n"/>
      <c r="F420" s="10" t="n"/>
      <c r="G420" s="8" t="n"/>
      <c r="H420" s="11">
        <f>IF(D420="","",IF(G420="",Setup!$B$5,G420)-E420)</f>
        <v/>
      </c>
      <c r="I420" s="6">
        <f>IF(D420="","",AND(LOWER(B420)="y",H420&gt;Setup!$B$4))</f>
        <v/>
      </c>
      <c r="J420" s="12">
        <f>IF(D420="","",IF(AND(I420=TRUE,G420=""),F420,0))</f>
        <v/>
      </c>
      <c r="K420" s="12">
        <f>IF(OR(D420="",G420=""),0,F420)</f>
        <v/>
      </c>
      <c r="L420" s="12">
        <f>IF(OR(D420="",G420=""),0,H420*F420)</f>
        <v/>
      </c>
    </row>
    <row r="421">
      <c r="A421" s="9" t="n"/>
      <c r="B421" s="9" t="n"/>
      <c r="C421" s="9" t="n"/>
      <c r="D421" s="9" t="n"/>
      <c r="E421" s="8" t="n"/>
      <c r="F421" s="10" t="n"/>
      <c r="G421" s="8" t="n"/>
      <c r="H421" s="11">
        <f>IF(D421="","",IF(G421="",Setup!$B$5,G421)-E421)</f>
        <v/>
      </c>
      <c r="I421" s="6">
        <f>IF(D421="","",AND(LOWER(B421)="y",H421&gt;Setup!$B$4))</f>
        <v/>
      </c>
      <c r="J421" s="12">
        <f>IF(D421="","",IF(AND(I421=TRUE,G421=""),F421,0))</f>
        <v/>
      </c>
      <c r="K421" s="12">
        <f>IF(OR(D421="",G421=""),0,F421)</f>
        <v/>
      </c>
      <c r="L421" s="12">
        <f>IF(OR(D421="",G421=""),0,H421*F421)</f>
        <v/>
      </c>
    </row>
    <row r="422">
      <c r="A422" s="9" t="n"/>
      <c r="B422" s="9" t="n"/>
      <c r="C422" s="9" t="n"/>
      <c r="D422" s="9" t="n"/>
      <c r="E422" s="8" t="n"/>
      <c r="F422" s="10" t="n"/>
      <c r="G422" s="8" t="n"/>
      <c r="H422" s="11">
        <f>IF(D422="","",IF(G422="",Setup!$B$5,G422)-E422)</f>
        <v/>
      </c>
      <c r="I422" s="6">
        <f>IF(D422="","",AND(LOWER(B422)="y",H422&gt;Setup!$B$4))</f>
        <v/>
      </c>
      <c r="J422" s="12">
        <f>IF(D422="","",IF(AND(I422=TRUE,G422=""),F422,0))</f>
        <v/>
      </c>
      <c r="K422" s="12">
        <f>IF(OR(D422="",G422=""),0,F422)</f>
        <v/>
      </c>
      <c r="L422" s="12">
        <f>IF(OR(D422="",G422=""),0,H422*F422)</f>
        <v/>
      </c>
    </row>
    <row r="423">
      <c r="A423" s="9" t="n"/>
      <c r="B423" s="9" t="n"/>
      <c r="C423" s="9" t="n"/>
      <c r="D423" s="9" t="n"/>
      <c r="E423" s="8" t="n"/>
      <c r="F423" s="10" t="n"/>
      <c r="G423" s="8" t="n"/>
      <c r="H423" s="11">
        <f>IF(D423="","",IF(G423="",Setup!$B$5,G423)-E423)</f>
        <v/>
      </c>
      <c r="I423" s="6">
        <f>IF(D423="","",AND(LOWER(B423)="y",H423&gt;Setup!$B$4))</f>
        <v/>
      </c>
      <c r="J423" s="12">
        <f>IF(D423="","",IF(AND(I423=TRUE,G423=""),F423,0))</f>
        <v/>
      </c>
      <c r="K423" s="12">
        <f>IF(OR(D423="",G423=""),0,F423)</f>
        <v/>
      </c>
      <c r="L423" s="12">
        <f>IF(OR(D423="",G423=""),0,H423*F423)</f>
        <v/>
      </c>
    </row>
    <row r="424">
      <c r="A424" s="9" t="n"/>
      <c r="B424" s="9" t="n"/>
      <c r="C424" s="9" t="n"/>
      <c r="D424" s="9" t="n"/>
      <c r="E424" s="8" t="n"/>
      <c r="F424" s="10" t="n"/>
      <c r="G424" s="8" t="n"/>
      <c r="H424" s="11">
        <f>IF(D424="","",IF(G424="",Setup!$B$5,G424)-E424)</f>
        <v/>
      </c>
      <c r="I424" s="6">
        <f>IF(D424="","",AND(LOWER(B424)="y",H424&gt;Setup!$B$4))</f>
        <v/>
      </c>
      <c r="J424" s="12">
        <f>IF(D424="","",IF(AND(I424=TRUE,G424=""),F424,0))</f>
        <v/>
      </c>
      <c r="K424" s="12">
        <f>IF(OR(D424="",G424=""),0,F424)</f>
        <v/>
      </c>
      <c r="L424" s="12">
        <f>IF(OR(D424="",G424=""),0,H424*F424)</f>
        <v/>
      </c>
    </row>
    <row r="425">
      <c r="A425" s="9" t="n"/>
      <c r="B425" s="9" t="n"/>
      <c r="C425" s="9" t="n"/>
      <c r="D425" s="9" t="n"/>
      <c r="E425" s="8" t="n"/>
      <c r="F425" s="10" t="n"/>
      <c r="G425" s="8" t="n"/>
      <c r="H425" s="11">
        <f>IF(D425="","",IF(G425="",Setup!$B$5,G425)-E425)</f>
        <v/>
      </c>
      <c r="I425" s="6">
        <f>IF(D425="","",AND(LOWER(B425)="y",H425&gt;Setup!$B$4))</f>
        <v/>
      </c>
      <c r="J425" s="12">
        <f>IF(D425="","",IF(AND(I425=TRUE,G425=""),F425,0))</f>
        <v/>
      </c>
      <c r="K425" s="12">
        <f>IF(OR(D425="",G425=""),0,F425)</f>
        <v/>
      </c>
      <c r="L425" s="12">
        <f>IF(OR(D425="",G425=""),0,H425*F425)</f>
        <v/>
      </c>
    </row>
    <row r="426">
      <c r="A426" s="9" t="n"/>
      <c r="B426" s="9" t="n"/>
      <c r="C426" s="9" t="n"/>
      <c r="D426" s="9" t="n"/>
      <c r="E426" s="8" t="n"/>
      <c r="F426" s="10" t="n"/>
      <c r="G426" s="8" t="n"/>
      <c r="H426" s="11">
        <f>IF(D426="","",IF(G426="",Setup!$B$5,G426)-E426)</f>
        <v/>
      </c>
      <c r="I426" s="6">
        <f>IF(D426="","",AND(LOWER(B426)="y",H426&gt;Setup!$B$4))</f>
        <v/>
      </c>
      <c r="J426" s="12">
        <f>IF(D426="","",IF(AND(I426=TRUE,G426=""),F426,0))</f>
        <v/>
      </c>
      <c r="K426" s="12">
        <f>IF(OR(D426="",G426=""),0,F426)</f>
        <v/>
      </c>
      <c r="L426" s="12">
        <f>IF(OR(D426="",G426=""),0,H426*F426)</f>
        <v/>
      </c>
    </row>
    <row r="427">
      <c r="A427" s="9" t="n"/>
      <c r="B427" s="9" t="n"/>
      <c r="C427" s="9" t="n"/>
      <c r="D427" s="9" t="n"/>
      <c r="E427" s="8" t="n"/>
      <c r="F427" s="10" t="n"/>
      <c r="G427" s="8" t="n"/>
      <c r="H427" s="11">
        <f>IF(D427="","",IF(G427="",Setup!$B$5,G427)-E427)</f>
        <v/>
      </c>
      <c r="I427" s="6">
        <f>IF(D427="","",AND(LOWER(B427)="y",H427&gt;Setup!$B$4))</f>
        <v/>
      </c>
      <c r="J427" s="12">
        <f>IF(D427="","",IF(AND(I427=TRUE,G427=""),F427,0))</f>
        <v/>
      </c>
      <c r="K427" s="12">
        <f>IF(OR(D427="",G427=""),0,F427)</f>
        <v/>
      </c>
      <c r="L427" s="12">
        <f>IF(OR(D427="",G427=""),0,H427*F427)</f>
        <v/>
      </c>
    </row>
    <row r="428">
      <c r="A428" s="9" t="n"/>
      <c r="B428" s="9" t="n"/>
      <c r="C428" s="9" t="n"/>
      <c r="D428" s="9" t="n"/>
      <c r="E428" s="8" t="n"/>
      <c r="F428" s="10" t="n"/>
      <c r="G428" s="8" t="n"/>
      <c r="H428" s="11">
        <f>IF(D428="","",IF(G428="",Setup!$B$5,G428)-E428)</f>
        <v/>
      </c>
      <c r="I428" s="6">
        <f>IF(D428="","",AND(LOWER(B428)="y",H428&gt;Setup!$B$4))</f>
        <v/>
      </c>
      <c r="J428" s="12">
        <f>IF(D428="","",IF(AND(I428=TRUE,G428=""),F428,0))</f>
        <v/>
      </c>
      <c r="K428" s="12">
        <f>IF(OR(D428="",G428=""),0,F428)</f>
        <v/>
      </c>
      <c r="L428" s="12">
        <f>IF(OR(D428="",G428=""),0,H428*F428)</f>
        <v/>
      </c>
    </row>
    <row r="429">
      <c r="A429" s="9" t="n"/>
      <c r="B429" s="9" t="n"/>
      <c r="C429" s="9" t="n"/>
      <c r="D429" s="9" t="n"/>
      <c r="E429" s="8" t="n"/>
      <c r="F429" s="10" t="n"/>
      <c r="G429" s="8" t="n"/>
      <c r="H429" s="11">
        <f>IF(D429="","",IF(G429="",Setup!$B$5,G429)-E429)</f>
        <v/>
      </c>
      <c r="I429" s="6">
        <f>IF(D429="","",AND(LOWER(B429)="y",H429&gt;Setup!$B$4))</f>
        <v/>
      </c>
      <c r="J429" s="12">
        <f>IF(D429="","",IF(AND(I429=TRUE,G429=""),F429,0))</f>
        <v/>
      </c>
      <c r="K429" s="12">
        <f>IF(OR(D429="",G429=""),0,F429)</f>
        <v/>
      </c>
      <c r="L429" s="12">
        <f>IF(OR(D429="",G429=""),0,H429*F429)</f>
        <v/>
      </c>
    </row>
    <row r="430">
      <c r="A430" s="9" t="n"/>
      <c r="B430" s="9" t="n"/>
      <c r="C430" s="9" t="n"/>
      <c r="D430" s="9" t="n"/>
      <c r="E430" s="8" t="n"/>
      <c r="F430" s="10" t="n"/>
      <c r="G430" s="8" t="n"/>
      <c r="H430" s="11">
        <f>IF(D430="","",IF(G430="",Setup!$B$5,G430)-E430)</f>
        <v/>
      </c>
      <c r="I430" s="6">
        <f>IF(D430="","",AND(LOWER(B430)="y",H430&gt;Setup!$B$4))</f>
        <v/>
      </c>
      <c r="J430" s="12">
        <f>IF(D430="","",IF(AND(I430=TRUE,G430=""),F430,0))</f>
        <v/>
      </c>
      <c r="K430" s="12">
        <f>IF(OR(D430="",G430=""),0,F430)</f>
        <v/>
      </c>
      <c r="L430" s="12">
        <f>IF(OR(D430="",G430=""),0,H430*F430)</f>
        <v/>
      </c>
    </row>
    <row r="431">
      <c r="A431" s="9" t="n"/>
      <c r="B431" s="9" t="n"/>
      <c r="C431" s="9" t="n"/>
      <c r="D431" s="9" t="n"/>
      <c r="E431" s="8" t="n"/>
      <c r="F431" s="10" t="n"/>
      <c r="G431" s="8" t="n"/>
      <c r="H431" s="11">
        <f>IF(D431="","",IF(G431="",Setup!$B$5,G431)-E431)</f>
        <v/>
      </c>
      <c r="I431" s="6">
        <f>IF(D431="","",AND(LOWER(B431)="y",H431&gt;Setup!$B$4))</f>
        <v/>
      </c>
      <c r="J431" s="12">
        <f>IF(D431="","",IF(AND(I431=TRUE,G431=""),F431,0))</f>
        <v/>
      </c>
      <c r="K431" s="12">
        <f>IF(OR(D431="",G431=""),0,F431)</f>
        <v/>
      </c>
      <c r="L431" s="12">
        <f>IF(OR(D431="",G431=""),0,H431*F431)</f>
        <v/>
      </c>
    </row>
    <row r="432">
      <c r="A432" s="9" t="n"/>
      <c r="B432" s="9" t="n"/>
      <c r="C432" s="9" t="n"/>
      <c r="D432" s="9" t="n"/>
      <c r="E432" s="8" t="n"/>
      <c r="F432" s="10" t="n"/>
      <c r="G432" s="8" t="n"/>
      <c r="H432" s="11">
        <f>IF(D432="","",IF(G432="",Setup!$B$5,G432)-E432)</f>
        <v/>
      </c>
      <c r="I432" s="6">
        <f>IF(D432="","",AND(LOWER(B432)="y",H432&gt;Setup!$B$4))</f>
        <v/>
      </c>
      <c r="J432" s="12">
        <f>IF(D432="","",IF(AND(I432=TRUE,G432=""),F432,0))</f>
        <v/>
      </c>
      <c r="K432" s="12">
        <f>IF(OR(D432="",G432=""),0,F432)</f>
        <v/>
      </c>
      <c r="L432" s="12">
        <f>IF(OR(D432="",G432=""),0,H432*F432)</f>
        <v/>
      </c>
    </row>
    <row r="433">
      <c r="A433" s="9" t="n"/>
      <c r="B433" s="9" t="n"/>
      <c r="C433" s="9" t="n"/>
      <c r="D433" s="9" t="n"/>
      <c r="E433" s="8" t="n"/>
      <c r="F433" s="10" t="n"/>
      <c r="G433" s="8" t="n"/>
      <c r="H433" s="11">
        <f>IF(D433="","",IF(G433="",Setup!$B$5,G433)-E433)</f>
        <v/>
      </c>
      <c r="I433" s="6">
        <f>IF(D433="","",AND(LOWER(B433)="y",H433&gt;Setup!$B$4))</f>
        <v/>
      </c>
      <c r="J433" s="12">
        <f>IF(D433="","",IF(AND(I433=TRUE,G433=""),F433,0))</f>
        <v/>
      </c>
      <c r="K433" s="12">
        <f>IF(OR(D433="",G433=""),0,F433)</f>
        <v/>
      </c>
      <c r="L433" s="12">
        <f>IF(OR(D433="",G433=""),0,H433*F433)</f>
        <v/>
      </c>
    </row>
    <row r="434">
      <c r="A434" s="9" t="n"/>
      <c r="B434" s="9" t="n"/>
      <c r="C434" s="9" t="n"/>
      <c r="D434" s="9" t="n"/>
      <c r="E434" s="8" t="n"/>
      <c r="F434" s="10" t="n"/>
      <c r="G434" s="8" t="n"/>
      <c r="H434" s="11">
        <f>IF(D434="","",IF(G434="",Setup!$B$5,G434)-E434)</f>
        <v/>
      </c>
      <c r="I434" s="6">
        <f>IF(D434="","",AND(LOWER(B434)="y",H434&gt;Setup!$B$4))</f>
        <v/>
      </c>
      <c r="J434" s="12">
        <f>IF(D434="","",IF(AND(I434=TRUE,G434=""),F434,0))</f>
        <v/>
      </c>
      <c r="K434" s="12">
        <f>IF(OR(D434="",G434=""),0,F434)</f>
        <v/>
      </c>
      <c r="L434" s="12">
        <f>IF(OR(D434="",G434=""),0,H434*F434)</f>
        <v/>
      </c>
    </row>
    <row r="435">
      <c r="A435" s="9" t="n"/>
      <c r="B435" s="9" t="n"/>
      <c r="C435" s="9" t="n"/>
      <c r="D435" s="9" t="n"/>
      <c r="E435" s="8" t="n"/>
      <c r="F435" s="10" t="n"/>
      <c r="G435" s="8" t="n"/>
      <c r="H435" s="11">
        <f>IF(D435="","",IF(G435="",Setup!$B$5,G435)-E435)</f>
        <v/>
      </c>
      <c r="I435" s="6">
        <f>IF(D435="","",AND(LOWER(B435)="y",H435&gt;Setup!$B$4))</f>
        <v/>
      </c>
      <c r="J435" s="12">
        <f>IF(D435="","",IF(AND(I435=TRUE,G435=""),F435,0))</f>
        <v/>
      </c>
      <c r="K435" s="12">
        <f>IF(OR(D435="",G435=""),0,F435)</f>
        <v/>
      </c>
      <c r="L435" s="12">
        <f>IF(OR(D435="",G435=""),0,H435*F435)</f>
        <v/>
      </c>
    </row>
    <row r="436">
      <c r="A436" s="9" t="n"/>
      <c r="B436" s="9" t="n"/>
      <c r="C436" s="9" t="n"/>
      <c r="D436" s="9" t="n"/>
      <c r="E436" s="8" t="n"/>
      <c r="F436" s="10" t="n"/>
      <c r="G436" s="8" t="n"/>
      <c r="H436" s="11">
        <f>IF(D436="","",IF(G436="",Setup!$B$5,G436)-E436)</f>
        <v/>
      </c>
      <c r="I436" s="6">
        <f>IF(D436="","",AND(LOWER(B436)="y",H436&gt;Setup!$B$4))</f>
        <v/>
      </c>
      <c r="J436" s="12">
        <f>IF(D436="","",IF(AND(I436=TRUE,G436=""),F436,0))</f>
        <v/>
      </c>
      <c r="K436" s="12">
        <f>IF(OR(D436="",G436=""),0,F436)</f>
        <v/>
      </c>
      <c r="L436" s="12">
        <f>IF(OR(D436="",G436=""),0,H436*F436)</f>
        <v/>
      </c>
    </row>
    <row r="437">
      <c r="A437" s="9" t="n"/>
      <c r="B437" s="9" t="n"/>
      <c r="C437" s="9" t="n"/>
      <c r="D437" s="9" t="n"/>
      <c r="E437" s="8" t="n"/>
      <c r="F437" s="10" t="n"/>
      <c r="G437" s="8" t="n"/>
      <c r="H437" s="11">
        <f>IF(D437="","",IF(G437="",Setup!$B$5,G437)-E437)</f>
        <v/>
      </c>
      <c r="I437" s="6">
        <f>IF(D437="","",AND(LOWER(B437)="y",H437&gt;Setup!$B$4))</f>
        <v/>
      </c>
      <c r="J437" s="12">
        <f>IF(D437="","",IF(AND(I437=TRUE,G437=""),F437,0))</f>
        <v/>
      </c>
      <c r="K437" s="12">
        <f>IF(OR(D437="",G437=""),0,F437)</f>
        <v/>
      </c>
      <c r="L437" s="12">
        <f>IF(OR(D437="",G437=""),0,H437*F437)</f>
        <v/>
      </c>
    </row>
    <row r="438">
      <c r="A438" s="9" t="n"/>
      <c r="B438" s="9" t="n"/>
      <c r="C438" s="9" t="n"/>
      <c r="D438" s="9" t="n"/>
      <c r="E438" s="8" t="n"/>
      <c r="F438" s="10" t="n"/>
      <c r="G438" s="8" t="n"/>
      <c r="H438" s="11">
        <f>IF(D438="","",IF(G438="",Setup!$B$5,G438)-E438)</f>
        <v/>
      </c>
      <c r="I438" s="6">
        <f>IF(D438="","",AND(LOWER(B438)="y",H438&gt;Setup!$B$4))</f>
        <v/>
      </c>
      <c r="J438" s="12">
        <f>IF(D438="","",IF(AND(I438=TRUE,G438=""),F438,0))</f>
        <v/>
      </c>
      <c r="K438" s="12">
        <f>IF(OR(D438="",G438=""),0,F438)</f>
        <v/>
      </c>
      <c r="L438" s="12">
        <f>IF(OR(D438="",G438=""),0,H438*F438)</f>
        <v/>
      </c>
    </row>
    <row r="439">
      <c r="A439" s="9" t="n"/>
      <c r="B439" s="9" t="n"/>
      <c r="C439" s="9" t="n"/>
      <c r="D439" s="9" t="n"/>
      <c r="E439" s="8" t="n"/>
      <c r="F439" s="10" t="n"/>
      <c r="G439" s="8" t="n"/>
      <c r="H439" s="11">
        <f>IF(D439="","",IF(G439="",Setup!$B$5,G439)-E439)</f>
        <v/>
      </c>
      <c r="I439" s="6">
        <f>IF(D439="","",AND(LOWER(B439)="y",H439&gt;Setup!$B$4))</f>
        <v/>
      </c>
      <c r="J439" s="12">
        <f>IF(D439="","",IF(AND(I439=TRUE,G439=""),F439,0))</f>
        <v/>
      </c>
      <c r="K439" s="12">
        <f>IF(OR(D439="",G439=""),0,F439)</f>
        <v/>
      </c>
      <c r="L439" s="12">
        <f>IF(OR(D439="",G439=""),0,H439*F439)</f>
        <v/>
      </c>
    </row>
    <row r="440">
      <c r="A440" s="9" t="n"/>
      <c r="B440" s="9" t="n"/>
      <c r="C440" s="9" t="n"/>
      <c r="D440" s="9" t="n"/>
      <c r="E440" s="8" t="n"/>
      <c r="F440" s="10" t="n"/>
      <c r="G440" s="8" t="n"/>
      <c r="H440" s="11">
        <f>IF(D440="","",IF(G440="",Setup!$B$5,G440)-E440)</f>
        <v/>
      </c>
      <c r="I440" s="6">
        <f>IF(D440="","",AND(LOWER(B440)="y",H440&gt;Setup!$B$4))</f>
        <v/>
      </c>
      <c r="J440" s="12">
        <f>IF(D440="","",IF(AND(I440=TRUE,G440=""),F440,0))</f>
        <v/>
      </c>
      <c r="K440" s="12">
        <f>IF(OR(D440="",G440=""),0,F440)</f>
        <v/>
      </c>
      <c r="L440" s="12">
        <f>IF(OR(D440="",G440=""),0,H440*F440)</f>
        <v/>
      </c>
    </row>
    <row r="441">
      <c r="A441" s="9" t="n"/>
      <c r="B441" s="9" t="n"/>
      <c r="C441" s="9" t="n"/>
      <c r="D441" s="9" t="n"/>
      <c r="E441" s="8" t="n"/>
      <c r="F441" s="10" t="n"/>
      <c r="G441" s="8" t="n"/>
      <c r="H441" s="11">
        <f>IF(D441="","",IF(G441="",Setup!$B$5,G441)-E441)</f>
        <v/>
      </c>
      <c r="I441" s="6">
        <f>IF(D441="","",AND(LOWER(B441)="y",H441&gt;Setup!$B$4))</f>
        <v/>
      </c>
      <c r="J441" s="12">
        <f>IF(D441="","",IF(AND(I441=TRUE,G441=""),F441,0))</f>
        <v/>
      </c>
      <c r="K441" s="12">
        <f>IF(OR(D441="",G441=""),0,F441)</f>
        <v/>
      </c>
      <c r="L441" s="12">
        <f>IF(OR(D441="",G441=""),0,H441*F441)</f>
        <v/>
      </c>
    </row>
    <row r="442">
      <c r="A442" s="9" t="n"/>
      <c r="B442" s="9" t="n"/>
      <c r="C442" s="9" t="n"/>
      <c r="D442" s="9" t="n"/>
      <c r="E442" s="8" t="n"/>
      <c r="F442" s="10" t="n"/>
      <c r="G442" s="8" t="n"/>
      <c r="H442" s="11">
        <f>IF(D442="","",IF(G442="",Setup!$B$5,G442)-E442)</f>
        <v/>
      </c>
      <c r="I442" s="6">
        <f>IF(D442="","",AND(LOWER(B442)="y",H442&gt;Setup!$B$4))</f>
        <v/>
      </c>
      <c r="J442" s="12">
        <f>IF(D442="","",IF(AND(I442=TRUE,G442=""),F442,0))</f>
        <v/>
      </c>
      <c r="K442" s="12">
        <f>IF(OR(D442="",G442=""),0,F442)</f>
        <v/>
      </c>
      <c r="L442" s="12">
        <f>IF(OR(D442="",G442=""),0,H442*F442)</f>
        <v/>
      </c>
    </row>
    <row r="443">
      <c r="A443" s="9" t="n"/>
      <c r="B443" s="9" t="n"/>
      <c r="C443" s="9" t="n"/>
      <c r="D443" s="9" t="n"/>
      <c r="E443" s="8" t="n"/>
      <c r="F443" s="10" t="n"/>
      <c r="G443" s="8" t="n"/>
      <c r="H443" s="11">
        <f>IF(D443="","",IF(G443="",Setup!$B$5,G443)-E443)</f>
        <v/>
      </c>
      <c r="I443" s="6">
        <f>IF(D443="","",AND(LOWER(B443)="y",H443&gt;Setup!$B$4))</f>
        <v/>
      </c>
      <c r="J443" s="12">
        <f>IF(D443="","",IF(AND(I443=TRUE,G443=""),F443,0))</f>
        <v/>
      </c>
      <c r="K443" s="12">
        <f>IF(OR(D443="",G443=""),0,F443)</f>
        <v/>
      </c>
      <c r="L443" s="12">
        <f>IF(OR(D443="",G443=""),0,H443*F443)</f>
        <v/>
      </c>
    </row>
    <row r="444">
      <c r="A444" s="9" t="n"/>
      <c r="B444" s="9" t="n"/>
      <c r="C444" s="9" t="n"/>
      <c r="D444" s="9" t="n"/>
      <c r="E444" s="8" t="n"/>
      <c r="F444" s="10" t="n"/>
      <c r="G444" s="8" t="n"/>
      <c r="H444" s="11">
        <f>IF(D444="","",IF(G444="",Setup!$B$5,G444)-E444)</f>
        <v/>
      </c>
      <c r="I444" s="6">
        <f>IF(D444="","",AND(LOWER(B444)="y",H444&gt;Setup!$B$4))</f>
        <v/>
      </c>
      <c r="J444" s="12">
        <f>IF(D444="","",IF(AND(I444=TRUE,G444=""),F444,0))</f>
        <v/>
      </c>
      <c r="K444" s="12">
        <f>IF(OR(D444="",G444=""),0,F444)</f>
        <v/>
      </c>
      <c r="L444" s="12">
        <f>IF(OR(D444="",G444=""),0,H444*F444)</f>
        <v/>
      </c>
    </row>
    <row r="445">
      <c r="A445" s="9" t="n"/>
      <c r="B445" s="9" t="n"/>
      <c r="C445" s="9" t="n"/>
      <c r="D445" s="9" t="n"/>
      <c r="E445" s="8" t="n"/>
      <c r="F445" s="10" t="n"/>
      <c r="G445" s="8" t="n"/>
      <c r="H445" s="11">
        <f>IF(D445="","",IF(G445="",Setup!$B$5,G445)-E445)</f>
        <v/>
      </c>
      <c r="I445" s="6">
        <f>IF(D445="","",AND(LOWER(B445)="y",H445&gt;Setup!$B$4))</f>
        <v/>
      </c>
      <c r="J445" s="12">
        <f>IF(D445="","",IF(AND(I445=TRUE,G445=""),F445,0))</f>
        <v/>
      </c>
      <c r="K445" s="12">
        <f>IF(OR(D445="",G445=""),0,F445)</f>
        <v/>
      </c>
      <c r="L445" s="12">
        <f>IF(OR(D445="",G445=""),0,H445*F445)</f>
        <v/>
      </c>
    </row>
    <row r="446">
      <c r="A446" s="9" t="n"/>
      <c r="B446" s="9" t="n"/>
      <c r="C446" s="9" t="n"/>
      <c r="D446" s="9" t="n"/>
      <c r="E446" s="8" t="n"/>
      <c r="F446" s="10" t="n"/>
      <c r="G446" s="8" t="n"/>
      <c r="H446" s="11">
        <f>IF(D446="","",IF(G446="",Setup!$B$5,G446)-E446)</f>
        <v/>
      </c>
      <c r="I446" s="6">
        <f>IF(D446="","",AND(LOWER(B446)="y",H446&gt;Setup!$B$4))</f>
        <v/>
      </c>
      <c r="J446" s="12">
        <f>IF(D446="","",IF(AND(I446=TRUE,G446=""),F446,0))</f>
        <v/>
      </c>
      <c r="K446" s="12">
        <f>IF(OR(D446="",G446=""),0,F446)</f>
        <v/>
      </c>
      <c r="L446" s="12">
        <f>IF(OR(D446="",G446=""),0,H446*F446)</f>
        <v/>
      </c>
    </row>
    <row r="447">
      <c r="A447" s="9" t="n"/>
      <c r="B447" s="9" t="n"/>
      <c r="C447" s="9" t="n"/>
      <c r="D447" s="9" t="n"/>
      <c r="E447" s="8" t="n"/>
      <c r="F447" s="10" t="n"/>
      <c r="G447" s="8" t="n"/>
      <c r="H447" s="11">
        <f>IF(D447="","",IF(G447="",Setup!$B$5,G447)-E447)</f>
        <v/>
      </c>
      <c r="I447" s="6">
        <f>IF(D447="","",AND(LOWER(B447)="y",H447&gt;Setup!$B$4))</f>
        <v/>
      </c>
      <c r="J447" s="12">
        <f>IF(D447="","",IF(AND(I447=TRUE,G447=""),F447,0))</f>
        <v/>
      </c>
      <c r="K447" s="12">
        <f>IF(OR(D447="",G447=""),0,F447)</f>
        <v/>
      </c>
      <c r="L447" s="12">
        <f>IF(OR(D447="",G447=""),0,H447*F447)</f>
        <v/>
      </c>
    </row>
    <row r="448">
      <c r="A448" s="9" t="n"/>
      <c r="B448" s="9" t="n"/>
      <c r="C448" s="9" t="n"/>
      <c r="D448" s="9" t="n"/>
      <c r="E448" s="8" t="n"/>
      <c r="F448" s="10" t="n"/>
      <c r="G448" s="8" t="n"/>
      <c r="H448" s="11">
        <f>IF(D448="","",IF(G448="",Setup!$B$5,G448)-E448)</f>
        <v/>
      </c>
      <c r="I448" s="6">
        <f>IF(D448="","",AND(LOWER(B448)="y",H448&gt;Setup!$B$4))</f>
        <v/>
      </c>
      <c r="J448" s="12">
        <f>IF(D448="","",IF(AND(I448=TRUE,G448=""),F448,0))</f>
        <v/>
      </c>
      <c r="K448" s="12">
        <f>IF(OR(D448="",G448=""),0,F448)</f>
        <v/>
      </c>
      <c r="L448" s="12">
        <f>IF(OR(D448="",G448=""),0,H448*F448)</f>
        <v/>
      </c>
    </row>
    <row r="449">
      <c r="A449" s="9" t="n"/>
      <c r="B449" s="9" t="n"/>
      <c r="C449" s="9" t="n"/>
      <c r="D449" s="9" t="n"/>
      <c r="E449" s="8" t="n"/>
      <c r="F449" s="10" t="n"/>
      <c r="G449" s="8" t="n"/>
      <c r="H449" s="11">
        <f>IF(D449="","",IF(G449="",Setup!$B$5,G449)-E449)</f>
        <v/>
      </c>
      <c r="I449" s="6">
        <f>IF(D449="","",AND(LOWER(B449)="y",H449&gt;Setup!$B$4))</f>
        <v/>
      </c>
      <c r="J449" s="12">
        <f>IF(D449="","",IF(AND(I449=TRUE,G449=""),F449,0))</f>
        <v/>
      </c>
      <c r="K449" s="12">
        <f>IF(OR(D449="",G449=""),0,F449)</f>
        <v/>
      </c>
      <c r="L449" s="12">
        <f>IF(OR(D449="",G449=""),0,H449*F449)</f>
        <v/>
      </c>
    </row>
    <row r="450">
      <c r="A450" s="9" t="n"/>
      <c r="B450" s="9" t="n"/>
      <c r="C450" s="9" t="n"/>
      <c r="D450" s="9" t="n"/>
      <c r="E450" s="8" t="n"/>
      <c r="F450" s="10" t="n"/>
      <c r="G450" s="8" t="n"/>
      <c r="H450" s="11">
        <f>IF(D450="","",IF(G450="",Setup!$B$5,G450)-E450)</f>
        <v/>
      </c>
      <c r="I450" s="6">
        <f>IF(D450="","",AND(LOWER(B450)="y",H450&gt;Setup!$B$4))</f>
        <v/>
      </c>
      <c r="J450" s="12">
        <f>IF(D450="","",IF(AND(I450=TRUE,G450=""),F450,0))</f>
        <v/>
      </c>
      <c r="K450" s="12">
        <f>IF(OR(D450="",G450=""),0,F450)</f>
        <v/>
      </c>
      <c r="L450" s="12">
        <f>IF(OR(D450="",G450=""),0,H450*F450)</f>
        <v/>
      </c>
    </row>
    <row r="451">
      <c r="A451" s="9" t="n"/>
      <c r="B451" s="9" t="n"/>
      <c r="C451" s="9" t="n"/>
      <c r="D451" s="9" t="n"/>
      <c r="E451" s="8" t="n"/>
      <c r="F451" s="10" t="n"/>
      <c r="G451" s="8" t="n"/>
      <c r="H451" s="11">
        <f>IF(D451="","",IF(G451="",Setup!$B$5,G451)-E451)</f>
        <v/>
      </c>
      <c r="I451" s="6">
        <f>IF(D451="","",AND(LOWER(B451)="y",H451&gt;Setup!$B$4))</f>
        <v/>
      </c>
      <c r="J451" s="12">
        <f>IF(D451="","",IF(AND(I451=TRUE,G451=""),F451,0))</f>
        <v/>
      </c>
      <c r="K451" s="12">
        <f>IF(OR(D451="",G451=""),0,F451)</f>
        <v/>
      </c>
      <c r="L451" s="12">
        <f>IF(OR(D451="",G451=""),0,H451*F451)</f>
        <v/>
      </c>
    </row>
    <row r="452">
      <c r="A452" s="9" t="n"/>
      <c r="B452" s="9" t="n"/>
      <c r="C452" s="9" t="n"/>
      <c r="D452" s="9" t="n"/>
      <c r="E452" s="8" t="n"/>
      <c r="F452" s="10" t="n"/>
      <c r="G452" s="8" t="n"/>
      <c r="H452" s="11">
        <f>IF(D452="","",IF(G452="",Setup!$B$5,G452)-E452)</f>
        <v/>
      </c>
      <c r="I452" s="6">
        <f>IF(D452="","",AND(LOWER(B452)="y",H452&gt;Setup!$B$4))</f>
        <v/>
      </c>
      <c r="J452" s="12">
        <f>IF(D452="","",IF(AND(I452=TRUE,G452=""),F452,0))</f>
        <v/>
      </c>
      <c r="K452" s="12">
        <f>IF(OR(D452="",G452=""),0,F452)</f>
        <v/>
      </c>
      <c r="L452" s="12">
        <f>IF(OR(D452="",G452=""),0,H452*F452)</f>
        <v/>
      </c>
    </row>
    <row r="453">
      <c r="A453" s="9" t="n"/>
      <c r="B453" s="9" t="n"/>
      <c r="C453" s="9" t="n"/>
      <c r="D453" s="9" t="n"/>
      <c r="E453" s="8" t="n"/>
      <c r="F453" s="10" t="n"/>
      <c r="G453" s="8" t="n"/>
      <c r="H453" s="11">
        <f>IF(D453="","",IF(G453="",Setup!$B$5,G453)-E453)</f>
        <v/>
      </c>
      <c r="I453" s="6">
        <f>IF(D453="","",AND(LOWER(B453)="y",H453&gt;Setup!$B$4))</f>
        <v/>
      </c>
      <c r="J453" s="12">
        <f>IF(D453="","",IF(AND(I453=TRUE,G453=""),F453,0))</f>
        <v/>
      </c>
      <c r="K453" s="12">
        <f>IF(OR(D453="",G453=""),0,F453)</f>
        <v/>
      </c>
      <c r="L453" s="12">
        <f>IF(OR(D453="",G453=""),0,H453*F453)</f>
        <v/>
      </c>
    </row>
    <row r="454">
      <c r="A454" s="9" t="n"/>
      <c r="B454" s="9" t="n"/>
      <c r="C454" s="9" t="n"/>
      <c r="D454" s="9" t="n"/>
      <c r="E454" s="8" t="n"/>
      <c r="F454" s="10" t="n"/>
      <c r="G454" s="8" t="n"/>
      <c r="H454" s="11">
        <f>IF(D454="","",IF(G454="",Setup!$B$5,G454)-E454)</f>
        <v/>
      </c>
      <c r="I454" s="6">
        <f>IF(D454="","",AND(LOWER(B454)="y",H454&gt;Setup!$B$4))</f>
        <v/>
      </c>
      <c r="J454" s="12">
        <f>IF(D454="","",IF(AND(I454=TRUE,G454=""),F454,0))</f>
        <v/>
      </c>
      <c r="K454" s="12">
        <f>IF(OR(D454="",G454=""),0,F454)</f>
        <v/>
      </c>
      <c r="L454" s="12">
        <f>IF(OR(D454="",G454=""),0,H454*F454)</f>
        <v/>
      </c>
    </row>
    <row r="455">
      <c r="A455" s="9" t="n"/>
      <c r="B455" s="9" t="n"/>
      <c r="C455" s="9" t="n"/>
      <c r="D455" s="9" t="n"/>
      <c r="E455" s="8" t="n"/>
      <c r="F455" s="10" t="n"/>
      <c r="G455" s="8" t="n"/>
      <c r="H455" s="11">
        <f>IF(D455="","",IF(G455="",Setup!$B$5,G455)-E455)</f>
        <v/>
      </c>
      <c r="I455" s="6">
        <f>IF(D455="","",AND(LOWER(B455)="y",H455&gt;Setup!$B$4))</f>
        <v/>
      </c>
      <c r="J455" s="12">
        <f>IF(D455="","",IF(AND(I455=TRUE,G455=""),F455,0))</f>
        <v/>
      </c>
      <c r="K455" s="12">
        <f>IF(OR(D455="",G455=""),0,F455)</f>
        <v/>
      </c>
      <c r="L455" s="12">
        <f>IF(OR(D455="",G455=""),0,H455*F455)</f>
        <v/>
      </c>
    </row>
    <row r="456">
      <c r="A456" s="9" t="n"/>
      <c r="B456" s="9" t="n"/>
      <c r="C456" s="9" t="n"/>
      <c r="D456" s="9" t="n"/>
      <c r="E456" s="8" t="n"/>
      <c r="F456" s="10" t="n"/>
      <c r="G456" s="8" t="n"/>
      <c r="H456" s="11">
        <f>IF(D456="","",IF(G456="",Setup!$B$5,G456)-E456)</f>
        <v/>
      </c>
      <c r="I456" s="6">
        <f>IF(D456="","",AND(LOWER(B456)="y",H456&gt;Setup!$B$4))</f>
        <v/>
      </c>
      <c r="J456" s="12">
        <f>IF(D456="","",IF(AND(I456=TRUE,G456=""),F456,0))</f>
        <v/>
      </c>
      <c r="K456" s="12">
        <f>IF(OR(D456="",G456=""),0,F456)</f>
        <v/>
      </c>
      <c r="L456" s="12">
        <f>IF(OR(D456="",G456=""),0,H456*F456)</f>
        <v/>
      </c>
    </row>
    <row r="457">
      <c r="A457" s="9" t="n"/>
      <c r="B457" s="9" t="n"/>
      <c r="C457" s="9" t="n"/>
      <c r="D457" s="9" t="n"/>
      <c r="E457" s="8" t="n"/>
      <c r="F457" s="10" t="n"/>
      <c r="G457" s="8" t="n"/>
      <c r="H457" s="11">
        <f>IF(D457="","",IF(G457="",Setup!$B$5,G457)-E457)</f>
        <v/>
      </c>
      <c r="I457" s="6">
        <f>IF(D457="","",AND(LOWER(B457)="y",H457&gt;Setup!$B$4))</f>
        <v/>
      </c>
      <c r="J457" s="12">
        <f>IF(D457="","",IF(AND(I457=TRUE,G457=""),F457,0))</f>
        <v/>
      </c>
      <c r="K457" s="12">
        <f>IF(OR(D457="",G457=""),0,F457)</f>
        <v/>
      </c>
      <c r="L457" s="12">
        <f>IF(OR(D457="",G457=""),0,H457*F457)</f>
        <v/>
      </c>
    </row>
    <row r="458">
      <c r="A458" s="9" t="n"/>
      <c r="B458" s="9" t="n"/>
      <c r="C458" s="9" t="n"/>
      <c r="D458" s="9" t="n"/>
      <c r="E458" s="8" t="n"/>
      <c r="F458" s="10" t="n"/>
      <c r="G458" s="8" t="n"/>
      <c r="H458" s="11">
        <f>IF(D458="","",IF(G458="",Setup!$B$5,G458)-E458)</f>
        <v/>
      </c>
      <c r="I458" s="6">
        <f>IF(D458="","",AND(LOWER(B458)="y",H458&gt;Setup!$B$4))</f>
        <v/>
      </c>
      <c r="J458" s="12">
        <f>IF(D458="","",IF(AND(I458=TRUE,G458=""),F458,0))</f>
        <v/>
      </c>
      <c r="K458" s="12">
        <f>IF(OR(D458="",G458=""),0,F458)</f>
        <v/>
      </c>
      <c r="L458" s="12">
        <f>IF(OR(D458="",G458=""),0,H458*F458)</f>
        <v/>
      </c>
    </row>
    <row r="459">
      <c r="A459" s="9" t="n"/>
      <c r="B459" s="9" t="n"/>
      <c r="C459" s="9" t="n"/>
      <c r="D459" s="9" t="n"/>
      <c r="E459" s="8" t="n"/>
      <c r="F459" s="10" t="n"/>
      <c r="G459" s="8" t="n"/>
      <c r="H459" s="11">
        <f>IF(D459="","",IF(G459="",Setup!$B$5,G459)-E459)</f>
        <v/>
      </c>
      <c r="I459" s="6">
        <f>IF(D459="","",AND(LOWER(B459)="y",H459&gt;Setup!$B$4))</f>
        <v/>
      </c>
      <c r="J459" s="12">
        <f>IF(D459="","",IF(AND(I459=TRUE,G459=""),F459,0))</f>
        <v/>
      </c>
      <c r="K459" s="12">
        <f>IF(OR(D459="",G459=""),0,F459)</f>
        <v/>
      </c>
      <c r="L459" s="12">
        <f>IF(OR(D459="",G459=""),0,H459*F459)</f>
        <v/>
      </c>
    </row>
    <row r="460">
      <c r="A460" s="9" t="n"/>
      <c r="B460" s="9" t="n"/>
      <c r="C460" s="9" t="n"/>
      <c r="D460" s="9" t="n"/>
      <c r="E460" s="8" t="n"/>
      <c r="F460" s="10" t="n"/>
      <c r="G460" s="8" t="n"/>
      <c r="H460" s="11">
        <f>IF(D460="","",IF(G460="",Setup!$B$5,G460)-E460)</f>
        <v/>
      </c>
      <c r="I460" s="6">
        <f>IF(D460="","",AND(LOWER(B460)="y",H460&gt;Setup!$B$4))</f>
        <v/>
      </c>
      <c r="J460" s="12">
        <f>IF(D460="","",IF(AND(I460=TRUE,G460=""),F460,0))</f>
        <v/>
      </c>
      <c r="K460" s="12">
        <f>IF(OR(D460="",G460=""),0,F460)</f>
        <v/>
      </c>
      <c r="L460" s="12">
        <f>IF(OR(D460="",G460=""),0,H460*F460)</f>
        <v/>
      </c>
    </row>
    <row r="461">
      <c r="A461" s="9" t="n"/>
      <c r="B461" s="9" t="n"/>
      <c r="C461" s="9" t="n"/>
      <c r="D461" s="9" t="n"/>
      <c r="E461" s="8" t="n"/>
      <c r="F461" s="10" t="n"/>
      <c r="G461" s="8" t="n"/>
      <c r="H461" s="11">
        <f>IF(D461="","",IF(G461="",Setup!$B$5,G461)-E461)</f>
        <v/>
      </c>
      <c r="I461" s="6">
        <f>IF(D461="","",AND(LOWER(B461)="y",H461&gt;Setup!$B$4))</f>
        <v/>
      </c>
      <c r="J461" s="12">
        <f>IF(D461="","",IF(AND(I461=TRUE,G461=""),F461,0))</f>
        <v/>
      </c>
      <c r="K461" s="12">
        <f>IF(OR(D461="",G461=""),0,F461)</f>
        <v/>
      </c>
      <c r="L461" s="12">
        <f>IF(OR(D461="",G461=""),0,H461*F461)</f>
        <v/>
      </c>
    </row>
    <row r="462">
      <c r="A462" s="9" t="n"/>
      <c r="B462" s="9" t="n"/>
      <c r="C462" s="9" t="n"/>
      <c r="D462" s="9" t="n"/>
      <c r="E462" s="8" t="n"/>
      <c r="F462" s="10" t="n"/>
      <c r="G462" s="8" t="n"/>
      <c r="H462" s="11">
        <f>IF(D462="","",IF(G462="",Setup!$B$5,G462)-E462)</f>
        <v/>
      </c>
      <c r="I462" s="6">
        <f>IF(D462="","",AND(LOWER(B462)="y",H462&gt;Setup!$B$4))</f>
        <v/>
      </c>
      <c r="J462" s="12">
        <f>IF(D462="","",IF(AND(I462=TRUE,G462=""),F462,0))</f>
        <v/>
      </c>
      <c r="K462" s="12">
        <f>IF(OR(D462="",G462=""),0,F462)</f>
        <v/>
      </c>
      <c r="L462" s="12">
        <f>IF(OR(D462="",G462=""),0,H462*F462)</f>
        <v/>
      </c>
    </row>
    <row r="463">
      <c r="A463" s="9" t="n"/>
      <c r="B463" s="9" t="n"/>
      <c r="C463" s="9" t="n"/>
      <c r="D463" s="9" t="n"/>
      <c r="E463" s="8" t="n"/>
      <c r="F463" s="10" t="n"/>
      <c r="G463" s="8" t="n"/>
      <c r="H463" s="11">
        <f>IF(D463="","",IF(G463="",Setup!$B$5,G463)-E463)</f>
        <v/>
      </c>
      <c r="I463" s="6">
        <f>IF(D463="","",AND(LOWER(B463)="y",H463&gt;Setup!$B$4))</f>
        <v/>
      </c>
      <c r="J463" s="12">
        <f>IF(D463="","",IF(AND(I463=TRUE,G463=""),F463,0))</f>
        <v/>
      </c>
      <c r="K463" s="12">
        <f>IF(OR(D463="",G463=""),0,F463)</f>
        <v/>
      </c>
      <c r="L463" s="12">
        <f>IF(OR(D463="",G463=""),0,H463*F463)</f>
        <v/>
      </c>
    </row>
    <row r="464">
      <c r="A464" s="9" t="n"/>
      <c r="B464" s="9" t="n"/>
      <c r="C464" s="9" t="n"/>
      <c r="D464" s="9" t="n"/>
      <c r="E464" s="8" t="n"/>
      <c r="F464" s="10" t="n"/>
      <c r="G464" s="8" t="n"/>
      <c r="H464" s="11">
        <f>IF(D464="","",IF(G464="",Setup!$B$5,G464)-E464)</f>
        <v/>
      </c>
      <c r="I464" s="6">
        <f>IF(D464="","",AND(LOWER(B464)="y",H464&gt;Setup!$B$4))</f>
        <v/>
      </c>
      <c r="J464" s="12">
        <f>IF(D464="","",IF(AND(I464=TRUE,G464=""),F464,0))</f>
        <v/>
      </c>
      <c r="K464" s="12">
        <f>IF(OR(D464="",G464=""),0,F464)</f>
        <v/>
      </c>
      <c r="L464" s="12">
        <f>IF(OR(D464="",G464=""),0,H464*F464)</f>
        <v/>
      </c>
    </row>
    <row r="465">
      <c r="A465" s="9" t="n"/>
      <c r="B465" s="9" t="n"/>
      <c r="C465" s="9" t="n"/>
      <c r="D465" s="9" t="n"/>
      <c r="E465" s="8" t="n"/>
      <c r="F465" s="10" t="n"/>
      <c r="G465" s="8" t="n"/>
      <c r="H465" s="11">
        <f>IF(D465="","",IF(G465="",Setup!$B$5,G465)-E465)</f>
        <v/>
      </c>
      <c r="I465" s="6">
        <f>IF(D465="","",AND(LOWER(B465)="y",H465&gt;Setup!$B$4))</f>
        <v/>
      </c>
      <c r="J465" s="12">
        <f>IF(D465="","",IF(AND(I465=TRUE,G465=""),F465,0))</f>
        <v/>
      </c>
      <c r="K465" s="12">
        <f>IF(OR(D465="",G465=""),0,F465)</f>
        <v/>
      </c>
      <c r="L465" s="12">
        <f>IF(OR(D465="",G465=""),0,H465*F465)</f>
        <v/>
      </c>
    </row>
    <row r="466">
      <c r="A466" s="9" t="n"/>
      <c r="B466" s="9" t="n"/>
      <c r="C466" s="9" t="n"/>
      <c r="D466" s="9" t="n"/>
      <c r="E466" s="8" t="n"/>
      <c r="F466" s="10" t="n"/>
      <c r="G466" s="8" t="n"/>
      <c r="H466" s="11">
        <f>IF(D466="","",IF(G466="",Setup!$B$5,G466)-E466)</f>
        <v/>
      </c>
      <c r="I466" s="6">
        <f>IF(D466="","",AND(LOWER(B466)="y",H466&gt;Setup!$B$4))</f>
        <v/>
      </c>
      <c r="J466" s="12">
        <f>IF(D466="","",IF(AND(I466=TRUE,G466=""),F466,0))</f>
        <v/>
      </c>
      <c r="K466" s="12">
        <f>IF(OR(D466="",G466=""),0,F466)</f>
        <v/>
      </c>
      <c r="L466" s="12">
        <f>IF(OR(D466="",G466=""),0,H466*F466)</f>
        <v/>
      </c>
    </row>
    <row r="467">
      <c r="A467" s="9" t="n"/>
      <c r="B467" s="9" t="n"/>
      <c r="C467" s="9" t="n"/>
      <c r="D467" s="9" t="n"/>
      <c r="E467" s="8" t="n"/>
      <c r="F467" s="10" t="n"/>
      <c r="G467" s="8" t="n"/>
      <c r="H467" s="11">
        <f>IF(D467="","",IF(G467="",Setup!$B$5,G467)-E467)</f>
        <v/>
      </c>
      <c r="I467" s="6">
        <f>IF(D467="","",AND(LOWER(B467)="y",H467&gt;Setup!$B$4))</f>
        <v/>
      </c>
      <c r="J467" s="12">
        <f>IF(D467="","",IF(AND(I467=TRUE,G467=""),F467,0))</f>
        <v/>
      </c>
      <c r="K467" s="12">
        <f>IF(OR(D467="",G467=""),0,F467)</f>
        <v/>
      </c>
      <c r="L467" s="12">
        <f>IF(OR(D467="",G467=""),0,H467*F467)</f>
        <v/>
      </c>
    </row>
    <row r="468">
      <c r="A468" s="9" t="n"/>
      <c r="B468" s="9" t="n"/>
      <c r="C468" s="9" t="n"/>
      <c r="D468" s="9" t="n"/>
      <c r="E468" s="8" t="n"/>
      <c r="F468" s="10" t="n"/>
      <c r="G468" s="8" t="n"/>
      <c r="H468" s="11">
        <f>IF(D468="","",IF(G468="",Setup!$B$5,G468)-E468)</f>
        <v/>
      </c>
      <c r="I468" s="6">
        <f>IF(D468="","",AND(LOWER(B468)="y",H468&gt;Setup!$B$4))</f>
        <v/>
      </c>
      <c r="J468" s="12">
        <f>IF(D468="","",IF(AND(I468=TRUE,G468=""),F468,0))</f>
        <v/>
      </c>
      <c r="K468" s="12">
        <f>IF(OR(D468="",G468=""),0,F468)</f>
        <v/>
      </c>
      <c r="L468" s="12">
        <f>IF(OR(D468="",G468=""),0,H468*F468)</f>
        <v/>
      </c>
    </row>
    <row r="469">
      <c r="A469" s="9" t="n"/>
      <c r="B469" s="9" t="n"/>
      <c r="C469" s="9" t="n"/>
      <c r="D469" s="9" t="n"/>
      <c r="E469" s="8" t="n"/>
      <c r="F469" s="10" t="n"/>
      <c r="G469" s="8" t="n"/>
      <c r="H469" s="11">
        <f>IF(D469="","",IF(G469="",Setup!$B$5,G469)-E469)</f>
        <v/>
      </c>
      <c r="I469" s="6">
        <f>IF(D469="","",AND(LOWER(B469)="y",H469&gt;Setup!$B$4))</f>
        <v/>
      </c>
      <c r="J469" s="12">
        <f>IF(D469="","",IF(AND(I469=TRUE,G469=""),F469,0))</f>
        <v/>
      </c>
      <c r="K469" s="12">
        <f>IF(OR(D469="",G469=""),0,F469)</f>
        <v/>
      </c>
      <c r="L469" s="12">
        <f>IF(OR(D469="",G469=""),0,H469*F469)</f>
        <v/>
      </c>
    </row>
    <row r="470">
      <c r="A470" s="9" t="n"/>
      <c r="B470" s="9" t="n"/>
      <c r="C470" s="9" t="n"/>
      <c r="D470" s="9" t="n"/>
      <c r="E470" s="8" t="n"/>
      <c r="F470" s="10" t="n"/>
      <c r="G470" s="8" t="n"/>
      <c r="H470" s="11">
        <f>IF(D470="","",IF(G470="",Setup!$B$5,G470)-E470)</f>
        <v/>
      </c>
      <c r="I470" s="6">
        <f>IF(D470="","",AND(LOWER(B470)="y",H470&gt;Setup!$B$4))</f>
        <v/>
      </c>
      <c r="J470" s="12">
        <f>IF(D470="","",IF(AND(I470=TRUE,G470=""),F470,0))</f>
        <v/>
      </c>
      <c r="K470" s="12">
        <f>IF(OR(D470="",G470=""),0,F470)</f>
        <v/>
      </c>
      <c r="L470" s="12">
        <f>IF(OR(D470="",G470=""),0,H470*F470)</f>
        <v/>
      </c>
    </row>
    <row r="471">
      <c r="A471" s="9" t="n"/>
      <c r="B471" s="9" t="n"/>
      <c r="C471" s="9" t="n"/>
      <c r="D471" s="9" t="n"/>
      <c r="E471" s="8" t="n"/>
      <c r="F471" s="10" t="n"/>
      <c r="G471" s="8" t="n"/>
      <c r="H471" s="11">
        <f>IF(D471="","",IF(G471="",Setup!$B$5,G471)-E471)</f>
        <v/>
      </c>
      <c r="I471" s="6">
        <f>IF(D471="","",AND(LOWER(B471)="y",H471&gt;Setup!$B$4))</f>
        <v/>
      </c>
      <c r="J471" s="12">
        <f>IF(D471="","",IF(AND(I471=TRUE,G471=""),F471,0))</f>
        <v/>
      </c>
      <c r="K471" s="12">
        <f>IF(OR(D471="",G471=""),0,F471)</f>
        <v/>
      </c>
      <c r="L471" s="12">
        <f>IF(OR(D471="",G471=""),0,H471*F471)</f>
        <v/>
      </c>
    </row>
    <row r="472">
      <c r="A472" s="9" t="n"/>
      <c r="B472" s="9" t="n"/>
      <c r="C472" s="9" t="n"/>
      <c r="D472" s="9" t="n"/>
      <c r="E472" s="8" t="n"/>
      <c r="F472" s="10" t="n"/>
      <c r="G472" s="8" t="n"/>
      <c r="H472" s="11">
        <f>IF(D472="","",IF(G472="",Setup!$B$5,G472)-E472)</f>
        <v/>
      </c>
      <c r="I472" s="6">
        <f>IF(D472="","",AND(LOWER(B472)="y",H472&gt;Setup!$B$4))</f>
        <v/>
      </c>
      <c r="J472" s="12">
        <f>IF(D472="","",IF(AND(I472=TRUE,G472=""),F472,0))</f>
        <v/>
      </c>
      <c r="K472" s="12">
        <f>IF(OR(D472="",G472=""),0,F472)</f>
        <v/>
      </c>
      <c r="L472" s="12">
        <f>IF(OR(D472="",G472=""),0,H472*F472)</f>
        <v/>
      </c>
    </row>
    <row r="473">
      <c r="A473" s="9" t="n"/>
      <c r="B473" s="9" t="n"/>
      <c r="C473" s="9" t="n"/>
      <c r="D473" s="9" t="n"/>
      <c r="E473" s="8" t="n"/>
      <c r="F473" s="10" t="n"/>
      <c r="G473" s="8" t="n"/>
      <c r="H473" s="11">
        <f>IF(D473="","",IF(G473="",Setup!$B$5,G473)-E473)</f>
        <v/>
      </c>
      <c r="I473" s="6">
        <f>IF(D473="","",AND(LOWER(B473)="y",H473&gt;Setup!$B$4))</f>
        <v/>
      </c>
      <c r="J473" s="12">
        <f>IF(D473="","",IF(AND(I473=TRUE,G473=""),F473,0))</f>
        <v/>
      </c>
      <c r="K473" s="12">
        <f>IF(OR(D473="",G473=""),0,F473)</f>
        <v/>
      </c>
      <c r="L473" s="12">
        <f>IF(OR(D473="",G473=""),0,H473*F473)</f>
        <v/>
      </c>
    </row>
    <row r="474">
      <c r="A474" s="9" t="n"/>
      <c r="B474" s="9" t="n"/>
      <c r="C474" s="9" t="n"/>
      <c r="D474" s="9" t="n"/>
      <c r="E474" s="8" t="n"/>
      <c r="F474" s="10" t="n"/>
      <c r="G474" s="8" t="n"/>
      <c r="H474" s="11">
        <f>IF(D474="","",IF(G474="",Setup!$B$5,G474)-E474)</f>
        <v/>
      </c>
      <c r="I474" s="6">
        <f>IF(D474="","",AND(LOWER(B474)="y",H474&gt;Setup!$B$4))</f>
        <v/>
      </c>
      <c r="J474" s="12">
        <f>IF(D474="","",IF(AND(I474=TRUE,G474=""),F474,0))</f>
        <v/>
      </c>
      <c r="K474" s="12">
        <f>IF(OR(D474="",G474=""),0,F474)</f>
        <v/>
      </c>
      <c r="L474" s="12">
        <f>IF(OR(D474="",G474=""),0,H474*F474)</f>
        <v/>
      </c>
    </row>
    <row r="475">
      <c r="A475" s="9" t="n"/>
      <c r="B475" s="9" t="n"/>
      <c r="C475" s="9" t="n"/>
      <c r="D475" s="9" t="n"/>
      <c r="E475" s="8" t="n"/>
      <c r="F475" s="10" t="n"/>
      <c r="G475" s="8" t="n"/>
      <c r="H475" s="11">
        <f>IF(D475="","",IF(G475="",Setup!$B$5,G475)-E475)</f>
        <v/>
      </c>
      <c r="I475" s="6">
        <f>IF(D475="","",AND(LOWER(B475)="y",H475&gt;Setup!$B$4))</f>
        <v/>
      </c>
      <c r="J475" s="12">
        <f>IF(D475="","",IF(AND(I475=TRUE,G475=""),F475,0))</f>
        <v/>
      </c>
      <c r="K475" s="12">
        <f>IF(OR(D475="",G475=""),0,F475)</f>
        <v/>
      </c>
      <c r="L475" s="12">
        <f>IF(OR(D475="",G475=""),0,H475*F475)</f>
        <v/>
      </c>
    </row>
    <row r="476">
      <c r="A476" s="9" t="n"/>
      <c r="B476" s="9" t="n"/>
      <c r="C476" s="9" t="n"/>
      <c r="D476" s="9" t="n"/>
      <c r="E476" s="8" t="n"/>
      <c r="F476" s="10" t="n"/>
      <c r="G476" s="8" t="n"/>
      <c r="H476" s="11">
        <f>IF(D476="","",IF(G476="",Setup!$B$5,G476)-E476)</f>
        <v/>
      </c>
      <c r="I476" s="6">
        <f>IF(D476="","",AND(LOWER(B476)="y",H476&gt;Setup!$B$4))</f>
        <v/>
      </c>
      <c r="J476" s="12">
        <f>IF(D476="","",IF(AND(I476=TRUE,G476=""),F476,0))</f>
        <v/>
      </c>
      <c r="K476" s="12">
        <f>IF(OR(D476="",G476=""),0,F476)</f>
        <v/>
      </c>
      <c r="L476" s="12">
        <f>IF(OR(D476="",G476=""),0,H476*F476)</f>
        <v/>
      </c>
    </row>
    <row r="477">
      <c r="A477" s="9" t="n"/>
      <c r="B477" s="9" t="n"/>
      <c r="C477" s="9" t="n"/>
      <c r="D477" s="9" t="n"/>
      <c r="E477" s="8" t="n"/>
      <c r="F477" s="10" t="n"/>
      <c r="G477" s="8" t="n"/>
      <c r="H477" s="11">
        <f>IF(D477="","",IF(G477="",Setup!$B$5,G477)-E477)</f>
        <v/>
      </c>
      <c r="I477" s="6">
        <f>IF(D477="","",AND(LOWER(B477)="y",H477&gt;Setup!$B$4))</f>
        <v/>
      </c>
      <c r="J477" s="12">
        <f>IF(D477="","",IF(AND(I477=TRUE,G477=""),F477,0))</f>
        <v/>
      </c>
      <c r="K477" s="12">
        <f>IF(OR(D477="",G477=""),0,F477)</f>
        <v/>
      </c>
      <c r="L477" s="12">
        <f>IF(OR(D477="",G477=""),0,H477*F477)</f>
        <v/>
      </c>
    </row>
    <row r="478">
      <c r="A478" s="9" t="n"/>
      <c r="B478" s="9" t="n"/>
      <c r="C478" s="9" t="n"/>
      <c r="D478" s="9" t="n"/>
      <c r="E478" s="8" t="n"/>
      <c r="F478" s="10" t="n"/>
      <c r="G478" s="8" t="n"/>
      <c r="H478" s="11">
        <f>IF(D478="","",IF(G478="",Setup!$B$5,G478)-E478)</f>
        <v/>
      </c>
      <c r="I478" s="6">
        <f>IF(D478="","",AND(LOWER(B478)="y",H478&gt;Setup!$B$4))</f>
        <v/>
      </c>
      <c r="J478" s="12">
        <f>IF(D478="","",IF(AND(I478=TRUE,G478=""),F478,0))</f>
        <v/>
      </c>
      <c r="K478" s="12">
        <f>IF(OR(D478="",G478=""),0,F478)</f>
        <v/>
      </c>
      <c r="L478" s="12">
        <f>IF(OR(D478="",G478=""),0,H478*F478)</f>
        <v/>
      </c>
    </row>
    <row r="479">
      <c r="A479" s="9" t="n"/>
      <c r="B479" s="9" t="n"/>
      <c r="C479" s="9" t="n"/>
      <c r="D479" s="9" t="n"/>
      <c r="E479" s="8" t="n"/>
      <c r="F479" s="10" t="n"/>
      <c r="G479" s="8" t="n"/>
      <c r="H479" s="11">
        <f>IF(D479="","",IF(G479="",Setup!$B$5,G479)-E479)</f>
        <v/>
      </c>
      <c r="I479" s="6">
        <f>IF(D479="","",AND(LOWER(B479)="y",H479&gt;Setup!$B$4))</f>
        <v/>
      </c>
      <c r="J479" s="12">
        <f>IF(D479="","",IF(AND(I479=TRUE,G479=""),F479,0))</f>
        <v/>
      </c>
      <c r="K479" s="12">
        <f>IF(OR(D479="",G479=""),0,F479)</f>
        <v/>
      </c>
      <c r="L479" s="12">
        <f>IF(OR(D479="",G479=""),0,H479*F479)</f>
        <v/>
      </c>
    </row>
    <row r="480">
      <c r="A480" s="9" t="n"/>
      <c r="B480" s="9" t="n"/>
      <c r="C480" s="9" t="n"/>
      <c r="D480" s="9" t="n"/>
      <c r="E480" s="8" t="n"/>
      <c r="F480" s="10" t="n"/>
      <c r="G480" s="8" t="n"/>
      <c r="H480" s="11">
        <f>IF(D480="","",IF(G480="",Setup!$B$5,G480)-E480)</f>
        <v/>
      </c>
      <c r="I480" s="6">
        <f>IF(D480="","",AND(LOWER(B480)="y",H480&gt;Setup!$B$4))</f>
        <v/>
      </c>
      <c r="J480" s="12">
        <f>IF(D480="","",IF(AND(I480=TRUE,G480=""),F480,0))</f>
        <v/>
      </c>
      <c r="K480" s="12">
        <f>IF(OR(D480="",G480=""),0,F480)</f>
        <v/>
      </c>
      <c r="L480" s="12">
        <f>IF(OR(D480="",G480=""),0,H480*F480)</f>
        <v/>
      </c>
    </row>
    <row r="481">
      <c r="A481" s="9" t="n"/>
      <c r="B481" s="9" t="n"/>
      <c r="C481" s="9" t="n"/>
      <c r="D481" s="9" t="n"/>
      <c r="E481" s="8" t="n"/>
      <c r="F481" s="10" t="n"/>
      <c r="G481" s="8" t="n"/>
      <c r="H481" s="11">
        <f>IF(D481="","",IF(G481="",Setup!$B$5,G481)-E481)</f>
        <v/>
      </c>
      <c r="I481" s="6">
        <f>IF(D481="","",AND(LOWER(B481)="y",H481&gt;Setup!$B$4))</f>
        <v/>
      </c>
      <c r="J481" s="12">
        <f>IF(D481="","",IF(AND(I481=TRUE,G481=""),F481,0))</f>
        <v/>
      </c>
      <c r="K481" s="12">
        <f>IF(OR(D481="",G481=""),0,F481)</f>
        <v/>
      </c>
      <c r="L481" s="12">
        <f>IF(OR(D481="",G481=""),0,H481*F481)</f>
        <v/>
      </c>
    </row>
    <row r="482">
      <c r="A482" s="9" t="n"/>
      <c r="B482" s="9" t="n"/>
      <c r="C482" s="9" t="n"/>
      <c r="D482" s="9" t="n"/>
      <c r="E482" s="8" t="n"/>
      <c r="F482" s="10" t="n"/>
      <c r="G482" s="8" t="n"/>
      <c r="H482" s="11">
        <f>IF(D482="","",IF(G482="",Setup!$B$5,G482)-E482)</f>
        <v/>
      </c>
      <c r="I482" s="6">
        <f>IF(D482="","",AND(LOWER(B482)="y",H482&gt;Setup!$B$4))</f>
        <v/>
      </c>
      <c r="J482" s="12">
        <f>IF(D482="","",IF(AND(I482=TRUE,G482=""),F482,0))</f>
        <v/>
      </c>
      <c r="K482" s="12">
        <f>IF(OR(D482="",G482=""),0,F482)</f>
        <v/>
      </c>
      <c r="L482" s="12">
        <f>IF(OR(D482="",G482=""),0,H482*F482)</f>
        <v/>
      </c>
    </row>
    <row r="483">
      <c r="A483" s="9" t="n"/>
      <c r="B483" s="9" t="n"/>
      <c r="C483" s="9" t="n"/>
      <c r="D483" s="9" t="n"/>
      <c r="E483" s="8" t="n"/>
      <c r="F483" s="10" t="n"/>
      <c r="G483" s="8" t="n"/>
      <c r="H483" s="11">
        <f>IF(D483="","",IF(G483="",Setup!$B$5,G483)-E483)</f>
        <v/>
      </c>
      <c r="I483" s="6">
        <f>IF(D483="","",AND(LOWER(B483)="y",H483&gt;Setup!$B$4))</f>
        <v/>
      </c>
      <c r="J483" s="12">
        <f>IF(D483="","",IF(AND(I483=TRUE,G483=""),F483,0))</f>
        <v/>
      </c>
      <c r="K483" s="12">
        <f>IF(OR(D483="",G483=""),0,F483)</f>
        <v/>
      </c>
      <c r="L483" s="12">
        <f>IF(OR(D483="",G483=""),0,H483*F483)</f>
        <v/>
      </c>
    </row>
    <row r="484">
      <c r="A484" s="9" t="n"/>
      <c r="B484" s="9" t="n"/>
      <c r="C484" s="9" t="n"/>
      <c r="D484" s="9" t="n"/>
      <c r="E484" s="8" t="n"/>
      <c r="F484" s="10" t="n"/>
      <c r="G484" s="8" t="n"/>
      <c r="H484" s="11">
        <f>IF(D484="","",IF(G484="",Setup!$B$5,G484)-E484)</f>
        <v/>
      </c>
      <c r="I484" s="6">
        <f>IF(D484="","",AND(LOWER(B484)="y",H484&gt;Setup!$B$4))</f>
        <v/>
      </c>
      <c r="J484" s="12">
        <f>IF(D484="","",IF(AND(I484=TRUE,G484=""),F484,0))</f>
        <v/>
      </c>
      <c r="K484" s="12">
        <f>IF(OR(D484="",G484=""),0,F484)</f>
        <v/>
      </c>
      <c r="L484" s="12">
        <f>IF(OR(D484="",G484=""),0,H484*F484)</f>
        <v/>
      </c>
    </row>
    <row r="485">
      <c r="A485" s="9" t="n"/>
      <c r="B485" s="9" t="n"/>
      <c r="C485" s="9" t="n"/>
      <c r="D485" s="9" t="n"/>
      <c r="E485" s="8" t="n"/>
      <c r="F485" s="10" t="n"/>
      <c r="G485" s="8" t="n"/>
      <c r="H485" s="11">
        <f>IF(D485="","",IF(G485="",Setup!$B$5,G485)-E485)</f>
        <v/>
      </c>
      <c r="I485" s="6">
        <f>IF(D485="","",AND(LOWER(B485)="y",H485&gt;Setup!$B$4))</f>
        <v/>
      </c>
      <c r="J485" s="12">
        <f>IF(D485="","",IF(AND(I485=TRUE,G485=""),F485,0))</f>
        <v/>
      </c>
      <c r="K485" s="12">
        <f>IF(OR(D485="",G485=""),0,F485)</f>
        <v/>
      </c>
      <c r="L485" s="12">
        <f>IF(OR(D485="",G485=""),0,H485*F485)</f>
        <v/>
      </c>
    </row>
    <row r="486">
      <c r="A486" s="9" t="n"/>
      <c r="B486" s="9" t="n"/>
      <c r="C486" s="9" t="n"/>
      <c r="D486" s="9" t="n"/>
      <c r="E486" s="8" t="n"/>
      <c r="F486" s="10" t="n"/>
      <c r="G486" s="8" t="n"/>
      <c r="H486" s="11">
        <f>IF(D486="","",IF(G486="",Setup!$B$5,G486)-E486)</f>
        <v/>
      </c>
      <c r="I486" s="6">
        <f>IF(D486="","",AND(LOWER(B486)="y",H486&gt;Setup!$B$4))</f>
        <v/>
      </c>
      <c r="J486" s="12">
        <f>IF(D486="","",IF(AND(I486=TRUE,G486=""),F486,0))</f>
        <v/>
      </c>
      <c r="K486" s="12">
        <f>IF(OR(D486="",G486=""),0,F486)</f>
        <v/>
      </c>
      <c r="L486" s="12">
        <f>IF(OR(D486="",G486=""),0,H486*F486)</f>
        <v/>
      </c>
    </row>
    <row r="487">
      <c r="A487" s="9" t="n"/>
      <c r="B487" s="9" t="n"/>
      <c r="C487" s="9" t="n"/>
      <c r="D487" s="9" t="n"/>
      <c r="E487" s="8" t="n"/>
      <c r="F487" s="10" t="n"/>
      <c r="G487" s="8" t="n"/>
      <c r="H487" s="11">
        <f>IF(D487="","",IF(G487="",Setup!$B$5,G487)-E487)</f>
        <v/>
      </c>
      <c r="I487" s="6">
        <f>IF(D487="","",AND(LOWER(B487)="y",H487&gt;Setup!$B$4))</f>
        <v/>
      </c>
      <c r="J487" s="12">
        <f>IF(D487="","",IF(AND(I487=TRUE,G487=""),F487,0))</f>
        <v/>
      </c>
      <c r="K487" s="12">
        <f>IF(OR(D487="",G487=""),0,F487)</f>
        <v/>
      </c>
      <c r="L487" s="12">
        <f>IF(OR(D487="",G487=""),0,H487*F487)</f>
        <v/>
      </c>
    </row>
    <row r="488">
      <c r="A488" s="9" t="n"/>
      <c r="B488" s="9" t="n"/>
      <c r="C488" s="9" t="n"/>
      <c r="D488" s="9" t="n"/>
      <c r="E488" s="8" t="n"/>
      <c r="F488" s="10" t="n"/>
      <c r="G488" s="8" t="n"/>
      <c r="H488" s="11">
        <f>IF(D488="","",IF(G488="",Setup!$B$5,G488)-E488)</f>
        <v/>
      </c>
      <c r="I488" s="6">
        <f>IF(D488="","",AND(LOWER(B488)="y",H488&gt;Setup!$B$4))</f>
        <v/>
      </c>
      <c r="J488" s="12">
        <f>IF(D488="","",IF(AND(I488=TRUE,G488=""),F488,0))</f>
        <v/>
      </c>
      <c r="K488" s="12">
        <f>IF(OR(D488="",G488=""),0,F488)</f>
        <v/>
      </c>
      <c r="L488" s="12">
        <f>IF(OR(D488="",G488=""),0,H488*F488)</f>
        <v/>
      </c>
    </row>
    <row r="489">
      <c r="A489" s="9" t="n"/>
      <c r="B489" s="9" t="n"/>
      <c r="C489" s="9" t="n"/>
      <c r="D489" s="9" t="n"/>
      <c r="E489" s="8" t="n"/>
      <c r="F489" s="10" t="n"/>
      <c r="G489" s="8" t="n"/>
      <c r="H489" s="11">
        <f>IF(D489="","",IF(G489="",Setup!$B$5,G489)-E489)</f>
        <v/>
      </c>
      <c r="I489" s="6">
        <f>IF(D489="","",AND(LOWER(B489)="y",H489&gt;Setup!$B$4))</f>
        <v/>
      </c>
      <c r="J489" s="12">
        <f>IF(D489="","",IF(AND(I489=TRUE,G489=""),F489,0))</f>
        <v/>
      </c>
      <c r="K489" s="12">
        <f>IF(OR(D489="",G489=""),0,F489)</f>
        <v/>
      </c>
      <c r="L489" s="12">
        <f>IF(OR(D489="",G489=""),0,H489*F489)</f>
        <v/>
      </c>
    </row>
    <row r="490">
      <c r="A490" s="9" t="n"/>
      <c r="B490" s="9" t="n"/>
      <c r="C490" s="9" t="n"/>
      <c r="D490" s="9" t="n"/>
      <c r="E490" s="8" t="n"/>
      <c r="F490" s="10" t="n"/>
      <c r="G490" s="8" t="n"/>
      <c r="H490" s="11">
        <f>IF(D490="","",IF(G490="",Setup!$B$5,G490)-E490)</f>
        <v/>
      </c>
      <c r="I490" s="6">
        <f>IF(D490="","",AND(LOWER(B490)="y",H490&gt;Setup!$B$4))</f>
        <v/>
      </c>
      <c r="J490" s="12">
        <f>IF(D490="","",IF(AND(I490=TRUE,G490=""),F490,0))</f>
        <v/>
      </c>
      <c r="K490" s="12">
        <f>IF(OR(D490="",G490=""),0,F490)</f>
        <v/>
      </c>
      <c r="L490" s="12">
        <f>IF(OR(D490="",G490=""),0,H490*F490)</f>
        <v/>
      </c>
    </row>
    <row r="491">
      <c r="A491" s="9" t="n"/>
      <c r="B491" s="9" t="n"/>
      <c r="C491" s="9" t="n"/>
      <c r="D491" s="9" t="n"/>
      <c r="E491" s="8" t="n"/>
      <c r="F491" s="10" t="n"/>
      <c r="G491" s="8" t="n"/>
      <c r="H491" s="11">
        <f>IF(D491="","",IF(G491="",Setup!$B$5,G491)-E491)</f>
        <v/>
      </c>
      <c r="I491" s="6">
        <f>IF(D491="","",AND(LOWER(B491)="y",H491&gt;Setup!$B$4))</f>
        <v/>
      </c>
      <c r="J491" s="12">
        <f>IF(D491="","",IF(AND(I491=TRUE,G491=""),F491,0))</f>
        <v/>
      </c>
      <c r="K491" s="12">
        <f>IF(OR(D491="",G491=""),0,F491)</f>
        <v/>
      </c>
      <c r="L491" s="12">
        <f>IF(OR(D491="",G491=""),0,H491*F491)</f>
        <v/>
      </c>
    </row>
    <row r="492">
      <c r="A492" s="9" t="n"/>
      <c r="B492" s="9" t="n"/>
      <c r="C492" s="9" t="n"/>
      <c r="D492" s="9" t="n"/>
      <c r="E492" s="8" t="n"/>
      <c r="F492" s="10" t="n"/>
      <c r="G492" s="8" t="n"/>
      <c r="H492" s="11">
        <f>IF(D492="","",IF(G492="",Setup!$B$5,G492)-E492)</f>
        <v/>
      </c>
      <c r="I492" s="6">
        <f>IF(D492="","",AND(LOWER(B492)="y",H492&gt;Setup!$B$4))</f>
        <v/>
      </c>
      <c r="J492" s="12">
        <f>IF(D492="","",IF(AND(I492=TRUE,G492=""),F492,0))</f>
        <v/>
      </c>
      <c r="K492" s="12">
        <f>IF(OR(D492="",G492=""),0,F492)</f>
        <v/>
      </c>
      <c r="L492" s="12">
        <f>IF(OR(D492="",G492=""),0,H492*F492)</f>
        <v/>
      </c>
    </row>
    <row r="493">
      <c r="A493" s="9" t="n"/>
      <c r="B493" s="9" t="n"/>
      <c r="C493" s="9" t="n"/>
      <c r="D493" s="9" t="n"/>
      <c r="E493" s="8" t="n"/>
      <c r="F493" s="10" t="n"/>
      <c r="G493" s="8" t="n"/>
      <c r="H493" s="11">
        <f>IF(D493="","",IF(G493="",Setup!$B$5,G493)-E493)</f>
        <v/>
      </c>
      <c r="I493" s="6">
        <f>IF(D493="","",AND(LOWER(B493)="y",H493&gt;Setup!$B$4))</f>
        <v/>
      </c>
      <c r="J493" s="12">
        <f>IF(D493="","",IF(AND(I493=TRUE,G493=""),F493,0))</f>
        <v/>
      </c>
      <c r="K493" s="12">
        <f>IF(OR(D493="",G493=""),0,F493)</f>
        <v/>
      </c>
      <c r="L493" s="12">
        <f>IF(OR(D493="",G493=""),0,H493*F493)</f>
        <v/>
      </c>
    </row>
    <row r="494">
      <c r="A494" s="9" t="n"/>
      <c r="B494" s="9" t="n"/>
      <c r="C494" s="9" t="n"/>
      <c r="D494" s="9" t="n"/>
      <c r="E494" s="8" t="n"/>
      <c r="F494" s="10" t="n"/>
      <c r="G494" s="8" t="n"/>
      <c r="H494" s="11">
        <f>IF(D494="","",IF(G494="",Setup!$B$5,G494)-E494)</f>
        <v/>
      </c>
      <c r="I494" s="6">
        <f>IF(D494="","",AND(LOWER(B494)="y",H494&gt;Setup!$B$4))</f>
        <v/>
      </c>
      <c r="J494" s="12">
        <f>IF(D494="","",IF(AND(I494=TRUE,G494=""),F494,0))</f>
        <v/>
      </c>
      <c r="K494" s="12">
        <f>IF(OR(D494="",G494=""),0,F494)</f>
        <v/>
      </c>
      <c r="L494" s="12">
        <f>IF(OR(D494="",G494=""),0,H494*F494)</f>
        <v/>
      </c>
    </row>
    <row r="495">
      <c r="A495" s="9" t="n"/>
      <c r="B495" s="9" t="n"/>
      <c r="C495" s="9" t="n"/>
      <c r="D495" s="9" t="n"/>
      <c r="E495" s="8" t="n"/>
      <c r="F495" s="10" t="n"/>
      <c r="G495" s="8" t="n"/>
      <c r="H495" s="11">
        <f>IF(D495="","",IF(G495="",Setup!$B$5,G495)-E495)</f>
        <v/>
      </c>
      <c r="I495" s="6">
        <f>IF(D495="","",AND(LOWER(B495)="y",H495&gt;Setup!$B$4))</f>
        <v/>
      </c>
      <c r="J495" s="12">
        <f>IF(D495="","",IF(AND(I495=TRUE,G495=""),F495,0))</f>
        <v/>
      </c>
      <c r="K495" s="12">
        <f>IF(OR(D495="",G495=""),0,F495)</f>
        <v/>
      </c>
      <c r="L495" s="12">
        <f>IF(OR(D495="",G495=""),0,H495*F495)</f>
        <v/>
      </c>
    </row>
    <row r="496">
      <c r="A496" s="9" t="n"/>
      <c r="B496" s="9" t="n"/>
      <c r="C496" s="9" t="n"/>
      <c r="D496" s="9" t="n"/>
      <c r="E496" s="8" t="n"/>
      <c r="F496" s="10" t="n"/>
      <c r="G496" s="8" t="n"/>
      <c r="H496" s="11">
        <f>IF(D496="","",IF(G496="",Setup!$B$5,G496)-E496)</f>
        <v/>
      </c>
      <c r="I496" s="6">
        <f>IF(D496="","",AND(LOWER(B496)="y",H496&gt;Setup!$B$4))</f>
        <v/>
      </c>
      <c r="J496" s="12">
        <f>IF(D496="","",IF(AND(I496=TRUE,G496=""),F496,0))</f>
        <v/>
      </c>
      <c r="K496" s="12">
        <f>IF(OR(D496="",G496=""),0,F496)</f>
        <v/>
      </c>
      <c r="L496" s="12">
        <f>IF(OR(D496="",G496=""),0,H496*F496)</f>
        <v/>
      </c>
    </row>
    <row r="497">
      <c r="A497" s="9" t="n"/>
      <c r="B497" s="9" t="n"/>
      <c r="C497" s="9" t="n"/>
      <c r="D497" s="9" t="n"/>
      <c r="E497" s="8" t="n"/>
      <c r="F497" s="10" t="n"/>
      <c r="G497" s="8" t="n"/>
      <c r="H497" s="11">
        <f>IF(D497="","",IF(G497="",Setup!$B$5,G497)-E497)</f>
        <v/>
      </c>
      <c r="I497" s="6">
        <f>IF(D497="","",AND(LOWER(B497)="y",H497&gt;Setup!$B$4))</f>
        <v/>
      </c>
      <c r="J497" s="12">
        <f>IF(D497="","",IF(AND(I497=TRUE,G497=""),F497,0))</f>
        <v/>
      </c>
      <c r="K497" s="12">
        <f>IF(OR(D497="",G497=""),0,F497)</f>
        <v/>
      </c>
      <c r="L497" s="12">
        <f>IF(OR(D497="",G497=""),0,H497*F497)</f>
        <v/>
      </c>
    </row>
    <row r="498">
      <c r="A498" s="9" t="n"/>
      <c r="B498" s="9" t="n"/>
      <c r="C498" s="9" t="n"/>
      <c r="D498" s="9" t="n"/>
      <c r="E498" s="8" t="n"/>
      <c r="F498" s="10" t="n"/>
      <c r="G498" s="8" t="n"/>
      <c r="H498" s="11">
        <f>IF(D498="","",IF(G498="",Setup!$B$5,G498)-E498)</f>
        <v/>
      </c>
      <c r="I498" s="6">
        <f>IF(D498="","",AND(LOWER(B498)="y",H498&gt;Setup!$B$4))</f>
        <v/>
      </c>
      <c r="J498" s="12">
        <f>IF(D498="","",IF(AND(I498=TRUE,G498=""),F498,0))</f>
        <v/>
      </c>
      <c r="K498" s="12">
        <f>IF(OR(D498="",G498=""),0,F498)</f>
        <v/>
      </c>
      <c r="L498" s="12">
        <f>IF(OR(D498="",G498=""),0,H498*F498)</f>
        <v/>
      </c>
    </row>
    <row r="499">
      <c r="A499" s="9" t="n"/>
      <c r="B499" s="9" t="n"/>
      <c r="C499" s="9" t="n"/>
      <c r="D499" s="9" t="n"/>
      <c r="E499" s="8" t="n"/>
      <c r="F499" s="10" t="n"/>
      <c r="G499" s="8" t="n"/>
      <c r="H499" s="11">
        <f>IF(D499="","",IF(G499="",Setup!$B$5,G499)-E499)</f>
        <v/>
      </c>
      <c r="I499" s="6">
        <f>IF(D499="","",AND(LOWER(B499)="y",H499&gt;Setup!$B$4))</f>
        <v/>
      </c>
      <c r="J499" s="12">
        <f>IF(D499="","",IF(AND(I499=TRUE,G499=""),F499,0))</f>
        <v/>
      </c>
      <c r="K499" s="12">
        <f>IF(OR(D499="",G499=""),0,F499)</f>
        <v/>
      </c>
      <c r="L499" s="12">
        <f>IF(OR(D499="",G499=""),0,H499*F499)</f>
        <v/>
      </c>
    </row>
    <row r="500">
      <c r="A500" s="9" t="n"/>
      <c r="B500" s="9" t="n"/>
      <c r="C500" s="9" t="n"/>
      <c r="D500" s="9" t="n"/>
      <c r="E500" s="8" t="n"/>
      <c r="F500" s="10" t="n"/>
      <c r="G500" s="8" t="n"/>
      <c r="H500" s="11">
        <f>IF(D500="","",IF(G500="",Setup!$B$5,G500)-E500)</f>
        <v/>
      </c>
      <c r="I500" s="6">
        <f>IF(D500="","",AND(LOWER(B500)="y",H500&gt;Setup!$B$4))</f>
        <v/>
      </c>
      <c r="J500" s="12">
        <f>IF(D500="","",IF(AND(I500=TRUE,G500=""),F500,0))</f>
        <v/>
      </c>
      <c r="K500" s="12">
        <f>IF(OR(D500="",G500=""),0,F500)</f>
        <v/>
      </c>
      <c r="L500" s="12">
        <f>IF(OR(D500="",G500=""),0,H500*F500)</f>
        <v/>
      </c>
    </row>
    <row r="501">
      <c r="A501" s="9" t="n"/>
      <c r="B501" s="9" t="n"/>
      <c r="C501" s="9" t="n"/>
      <c r="D501" s="9" t="n"/>
      <c r="E501" s="8" t="n"/>
      <c r="F501" s="10" t="n"/>
      <c r="G501" s="8" t="n"/>
      <c r="H501" s="11">
        <f>IF(D501="","",IF(G501="",Setup!$B$5,G501)-E501)</f>
        <v/>
      </c>
      <c r="I501" s="6">
        <f>IF(D501="","",AND(LOWER(B501)="y",H501&gt;Setup!$B$4))</f>
        <v/>
      </c>
      <c r="J501" s="12">
        <f>IF(D501="","",IF(AND(I501=TRUE,G501=""),F501,0))</f>
        <v/>
      </c>
      <c r="K501" s="12">
        <f>IF(OR(D501="",G501=""),0,F501)</f>
        <v/>
      </c>
      <c r="L501" s="12">
        <f>IF(OR(D501="",G501=""),0,H501*F501)</f>
        <v/>
      </c>
    </row>
    <row r="502">
      <c r="A502" s="9" t="n"/>
      <c r="B502" s="9" t="n"/>
      <c r="C502" s="9" t="n"/>
      <c r="D502" s="9" t="n"/>
      <c r="E502" s="8" t="n"/>
      <c r="F502" s="10" t="n"/>
      <c r="G502" s="8" t="n"/>
      <c r="H502" s="11">
        <f>IF(D502="","",IF(G502="",Setup!$B$5,G502)-E502)</f>
        <v/>
      </c>
      <c r="I502" s="6">
        <f>IF(D502="","",AND(LOWER(B502)="y",H502&gt;Setup!$B$4))</f>
        <v/>
      </c>
      <c r="J502" s="12">
        <f>IF(D502="","",IF(AND(I502=TRUE,G502=""),F502,0))</f>
        <v/>
      </c>
      <c r="K502" s="12">
        <f>IF(OR(D502="",G502=""),0,F502)</f>
        <v/>
      </c>
      <c r="L502" s="12">
        <f>IF(OR(D502="",G502=""),0,H502*F502)</f>
        <v/>
      </c>
    </row>
    <row r="503">
      <c r="A503" s="9" t="n"/>
      <c r="B503" s="9" t="n"/>
      <c r="C503" s="9" t="n"/>
      <c r="D503" s="9" t="n"/>
      <c r="E503" s="8" t="n"/>
      <c r="F503" s="10" t="n"/>
      <c r="G503" s="8" t="n"/>
      <c r="H503" s="11">
        <f>IF(D503="","",IF(G503="",Setup!$B$5,G503)-E503)</f>
        <v/>
      </c>
      <c r="I503" s="6">
        <f>IF(D503="","",AND(LOWER(B503)="y",H503&gt;Setup!$B$4))</f>
        <v/>
      </c>
      <c r="J503" s="12">
        <f>IF(D503="","",IF(AND(I503=TRUE,G503=""),F503,0))</f>
        <v/>
      </c>
      <c r="K503" s="12">
        <f>IF(OR(D503="",G503=""),0,F503)</f>
        <v/>
      </c>
      <c r="L503" s="12">
        <f>IF(OR(D503="",G503=""),0,H503*F503)</f>
        <v/>
      </c>
    </row>
    <row r="504">
      <c r="A504" s="9" t="n"/>
      <c r="B504" s="9" t="n"/>
      <c r="C504" s="9" t="n"/>
      <c r="D504" s="9" t="n"/>
      <c r="E504" s="8" t="n"/>
      <c r="F504" s="10" t="n"/>
      <c r="G504" s="8" t="n"/>
      <c r="H504" s="11">
        <f>IF(D504="","",IF(G504="",Setup!$B$5,G504)-E504)</f>
        <v/>
      </c>
      <c r="I504" s="6">
        <f>IF(D504="","",AND(LOWER(B504)="y",H504&gt;Setup!$B$4))</f>
        <v/>
      </c>
      <c r="J504" s="12">
        <f>IF(D504="","",IF(AND(I504=TRUE,G504=""),F504,0))</f>
        <v/>
      </c>
      <c r="K504" s="12">
        <f>IF(OR(D504="",G504=""),0,F504)</f>
        <v/>
      </c>
      <c r="L504" s="12">
        <f>IF(OR(D504="",G504=""),0,H504*F504)</f>
        <v/>
      </c>
    </row>
    <row r="505">
      <c r="A505" s="9" t="n"/>
      <c r="B505" s="9" t="n"/>
      <c r="C505" s="9" t="n"/>
      <c r="D505" s="9" t="n"/>
      <c r="E505" s="8" t="n"/>
      <c r="F505" s="10" t="n"/>
      <c r="G505" s="8" t="n"/>
      <c r="H505" s="11">
        <f>IF(D505="","",IF(G505="",Setup!$B$5,G505)-E505)</f>
        <v/>
      </c>
      <c r="I505" s="6">
        <f>IF(D505="","",AND(LOWER(B505)="y",H505&gt;Setup!$B$4))</f>
        <v/>
      </c>
      <c r="J505" s="12">
        <f>IF(D505="","",IF(AND(I505=TRUE,G505=""),F505,0))</f>
        <v/>
      </c>
      <c r="K505" s="12">
        <f>IF(OR(D505="",G505=""),0,F505)</f>
        <v/>
      </c>
      <c r="L505" s="12">
        <f>IF(OR(D505="",G505=""),0,H505*F505)</f>
        <v/>
      </c>
    </row>
    <row r="506">
      <c r="A506" s="9" t="n"/>
      <c r="B506" s="9" t="n"/>
      <c r="C506" s="9" t="n"/>
      <c r="D506" s="9" t="n"/>
      <c r="E506" s="8" t="n"/>
      <c r="F506" s="10" t="n"/>
      <c r="G506" s="8" t="n"/>
      <c r="H506" s="11">
        <f>IF(D506="","",IF(G506="",Setup!$B$5,G506)-E506)</f>
        <v/>
      </c>
      <c r="I506" s="6">
        <f>IF(D506="","",AND(LOWER(B506)="y",H506&gt;Setup!$B$4))</f>
        <v/>
      </c>
      <c r="J506" s="12">
        <f>IF(D506="","",IF(AND(I506=TRUE,G506=""),F506,0))</f>
        <v/>
      </c>
      <c r="K506" s="12">
        <f>IF(OR(D506="",G506=""),0,F506)</f>
        <v/>
      </c>
      <c r="L506" s="12">
        <f>IF(OR(D506="",G506=""),0,H506*F506)</f>
        <v/>
      </c>
    </row>
    <row r="507">
      <c r="A507" s="9" t="n"/>
      <c r="B507" s="9" t="n"/>
      <c r="C507" s="9" t="n"/>
      <c r="D507" s="9" t="n"/>
      <c r="E507" s="8" t="n"/>
      <c r="F507" s="10" t="n"/>
      <c r="G507" s="8" t="n"/>
      <c r="H507" s="11">
        <f>IF(D507="","",IF(G507="",Setup!$B$5,G507)-E507)</f>
        <v/>
      </c>
      <c r="I507" s="6">
        <f>IF(D507="","",AND(LOWER(B507)="y",H507&gt;Setup!$B$4))</f>
        <v/>
      </c>
      <c r="J507" s="12">
        <f>IF(D507="","",IF(AND(I507=TRUE,G507=""),F507,0))</f>
        <v/>
      </c>
      <c r="K507" s="12">
        <f>IF(OR(D507="",G507=""),0,F507)</f>
        <v/>
      </c>
      <c r="L507" s="12">
        <f>IF(OR(D507="",G507=""),0,H507*F507)</f>
        <v/>
      </c>
    </row>
    <row r="508">
      <c r="A508" s="9" t="n"/>
      <c r="B508" s="9" t="n"/>
      <c r="C508" s="9" t="n"/>
      <c r="D508" s="9" t="n"/>
      <c r="E508" s="8" t="n"/>
      <c r="F508" s="10" t="n"/>
      <c r="G508" s="8" t="n"/>
      <c r="H508" s="11">
        <f>IF(D508="","",IF(G508="",Setup!$B$5,G508)-E508)</f>
        <v/>
      </c>
      <c r="I508" s="6">
        <f>IF(D508="","",AND(LOWER(B508)="y",H508&gt;Setup!$B$4))</f>
        <v/>
      </c>
      <c r="J508" s="12">
        <f>IF(D508="","",IF(AND(I508=TRUE,G508=""),F508,0))</f>
        <v/>
      </c>
      <c r="K508" s="12">
        <f>IF(OR(D508="",G508=""),0,F508)</f>
        <v/>
      </c>
      <c r="L508" s="12">
        <f>IF(OR(D508="",G508=""),0,H508*F508)</f>
        <v/>
      </c>
    </row>
    <row r="509">
      <c r="A509" s="9" t="n"/>
      <c r="B509" s="9" t="n"/>
      <c r="C509" s="9" t="n"/>
      <c r="D509" s="9" t="n"/>
      <c r="E509" s="8" t="n"/>
      <c r="F509" s="10" t="n"/>
      <c r="G509" s="8" t="n"/>
      <c r="H509" s="11">
        <f>IF(D509="","",IF(G509="",Setup!$B$5,G509)-E509)</f>
        <v/>
      </c>
      <c r="I509" s="6">
        <f>IF(D509="","",AND(LOWER(B509)="y",H509&gt;Setup!$B$4))</f>
        <v/>
      </c>
      <c r="J509" s="12">
        <f>IF(D509="","",IF(AND(I509=TRUE,G509=""),F509,0))</f>
        <v/>
      </c>
      <c r="K509" s="12">
        <f>IF(OR(D509="",G509=""),0,F509)</f>
        <v/>
      </c>
      <c r="L509" s="12">
        <f>IF(OR(D509="",G509=""),0,H509*F509)</f>
        <v/>
      </c>
    </row>
    <row r="510">
      <c r="A510" s="9" t="n"/>
      <c r="B510" s="9" t="n"/>
      <c r="C510" s="9" t="n"/>
      <c r="D510" s="9" t="n"/>
      <c r="E510" s="8" t="n"/>
      <c r="F510" s="10" t="n"/>
      <c r="G510" s="8" t="n"/>
      <c r="H510" s="11">
        <f>IF(D510="","",IF(G510="",Setup!$B$5,G510)-E510)</f>
        <v/>
      </c>
      <c r="I510" s="6">
        <f>IF(D510="","",AND(LOWER(B510)="y",H510&gt;Setup!$B$4))</f>
        <v/>
      </c>
      <c r="J510" s="12">
        <f>IF(D510="","",IF(AND(I510=TRUE,G510=""),F510,0))</f>
        <v/>
      </c>
      <c r="K510" s="12">
        <f>IF(OR(D510="",G510=""),0,F510)</f>
        <v/>
      </c>
      <c r="L510" s="12">
        <f>IF(OR(D510="",G510=""),0,H510*F510)</f>
        <v/>
      </c>
    </row>
    <row r="511">
      <c r="A511" s="9" t="n"/>
      <c r="B511" s="9" t="n"/>
      <c r="C511" s="9" t="n"/>
      <c r="D511" s="9" t="n"/>
      <c r="E511" s="8" t="n"/>
      <c r="F511" s="10" t="n"/>
      <c r="G511" s="8" t="n"/>
      <c r="H511" s="11">
        <f>IF(D511="","",IF(G511="",Setup!$B$5,G511)-E511)</f>
        <v/>
      </c>
      <c r="I511" s="6">
        <f>IF(D511="","",AND(LOWER(B511)="y",H511&gt;Setup!$B$4))</f>
        <v/>
      </c>
      <c r="J511" s="12">
        <f>IF(D511="","",IF(AND(I511=TRUE,G511=""),F511,0))</f>
        <v/>
      </c>
      <c r="K511" s="12">
        <f>IF(OR(D511="",G511=""),0,F511)</f>
        <v/>
      </c>
      <c r="L511" s="12">
        <f>IF(OR(D511="",G511=""),0,H511*F511)</f>
        <v/>
      </c>
    </row>
    <row r="512">
      <c r="A512" s="9" t="n"/>
      <c r="B512" s="9" t="n"/>
      <c r="C512" s="9" t="n"/>
      <c r="D512" s="9" t="n"/>
      <c r="E512" s="8" t="n"/>
      <c r="F512" s="10" t="n"/>
      <c r="G512" s="8" t="n"/>
      <c r="H512" s="11">
        <f>IF(D512="","",IF(G512="",Setup!$B$5,G512)-E512)</f>
        <v/>
      </c>
      <c r="I512" s="6">
        <f>IF(D512="","",AND(LOWER(B512)="y",H512&gt;Setup!$B$4))</f>
        <v/>
      </c>
      <c r="J512" s="12">
        <f>IF(D512="","",IF(AND(I512=TRUE,G512=""),F512,0))</f>
        <v/>
      </c>
      <c r="K512" s="12">
        <f>IF(OR(D512="",G512=""),0,F512)</f>
        <v/>
      </c>
      <c r="L512" s="12">
        <f>IF(OR(D512="",G512=""),0,H512*F512)</f>
        <v/>
      </c>
    </row>
    <row r="513">
      <c r="A513" s="9" t="n"/>
      <c r="B513" s="9" t="n"/>
      <c r="C513" s="9" t="n"/>
      <c r="D513" s="9" t="n"/>
      <c r="E513" s="8" t="n"/>
      <c r="F513" s="10" t="n"/>
      <c r="G513" s="8" t="n"/>
      <c r="H513" s="11">
        <f>IF(D513="","",IF(G513="",Setup!$B$5,G513)-E513)</f>
        <v/>
      </c>
      <c r="I513" s="6">
        <f>IF(D513="","",AND(LOWER(B513)="y",H513&gt;Setup!$B$4))</f>
        <v/>
      </c>
      <c r="J513" s="12">
        <f>IF(D513="","",IF(AND(I513=TRUE,G513=""),F513,0))</f>
        <v/>
      </c>
      <c r="K513" s="12">
        <f>IF(OR(D513="",G513=""),0,F513)</f>
        <v/>
      </c>
      <c r="L513" s="12">
        <f>IF(OR(D513="",G513=""),0,H513*F513)</f>
        <v/>
      </c>
    </row>
    <row r="514">
      <c r="A514" s="9" t="n"/>
      <c r="B514" s="9" t="n"/>
      <c r="C514" s="9" t="n"/>
      <c r="D514" s="9" t="n"/>
      <c r="E514" s="8" t="n"/>
      <c r="F514" s="10" t="n"/>
      <c r="G514" s="8" t="n"/>
      <c r="H514" s="11">
        <f>IF(D514="","",IF(G514="",Setup!$B$5,G514)-E514)</f>
        <v/>
      </c>
      <c r="I514" s="6">
        <f>IF(D514="","",AND(LOWER(B514)="y",H514&gt;Setup!$B$4))</f>
        <v/>
      </c>
      <c r="J514" s="12">
        <f>IF(D514="","",IF(AND(I514=TRUE,G514=""),F514,0))</f>
        <v/>
      </c>
      <c r="K514" s="12">
        <f>IF(OR(D514="",G514=""),0,F514)</f>
        <v/>
      </c>
      <c r="L514" s="12">
        <f>IF(OR(D514="",G514=""),0,H514*F514)</f>
        <v/>
      </c>
    </row>
    <row r="515">
      <c r="A515" s="9" t="n"/>
      <c r="B515" s="9" t="n"/>
      <c r="C515" s="9" t="n"/>
      <c r="D515" s="9" t="n"/>
      <c r="E515" s="8" t="n"/>
      <c r="F515" s="10" t="n"/>
      <c r="G515" s="8" t="n"/>
      <c r="H515" s="11">
        <f>IF(D515="","",IF(G515="",Setup!$B$5,G515)-E515)</f>
        <v/>
      </c>
      <c r="I515" s="6">
        <f>IF(D515="","",AND(LOWER(B515)="y",H515&gt;Setup!$B$4))</f>
        <v/>
      </c>
      <c r="J515" s="12">
        <f>IF(D515="","",IF(AND(I515=TRUE,G515=""),F515,0))</f>
        <v/>
      </c>
      <c r="K515" s="12">
        <f>IF(OR(D515="",G515=""),0,F515)</f>
        <v/>
      </c>
      <c r="L515" s="12">
        <f>IF(OR(D515="",G515=""),0,H515*F515)</f>
        <v/>
      </c>
    </row>
    <row r="516">
      <c r="A516" s="9" t="n"/>
      <c r="B516" s="9" t="n"/>
      <c r="C516" s="9" t="n"/>
      <c r="D516" s="9" t="n"/>
      <c r="E516" s="8" t="n"/>
      <c r="F516" s="10" t="n"/>
      <c r="G516" s="8" t="n"/>
      <c r="H516" s="11">
        <f>IF(D516="","",IF(G516="",Setup!$B$5,G516)-E516)</f>
        <v/>
      </c>
      <c r="I516" s="6">
        <f>IF(D516="","",AND(LOWER(B516)="y",H516&gt;Setup!$B$4))</f>
        <v/>
      </c>
      <c r="J516" s="12">
        <f>IF(D516="","",IF(AND(I516=TRUE,G516=""),F516,0))</f>
        <v/>
      </c>
      <c r="K516" s="12">
        <f>IF(OR(D516="",G516=""),0,F516)</f>
        <v/>
      </c>
      <c r="L516" s="12">
        <f>IF(OR(D516="",G516=""),0,H516*F516)</f>
        <v/>
      </c>
    </row>
    <row r="517">
      <c r="A517" s="9" t="n"/>
      <c r="B517" s="9" t="n"/>
      <c r="C517" s="9" t="n"/>
      <c r="D517" s="9" t="n"/>
      <c r="E517" s="8" t="n"/>
      <c r="F517" s="10" t="n"/>
      <c r="G517" s="8" t="n"/>
      <c r="H517" s="11">
        <f>IF(D517="","",IF(G517="",Setup!$B$5,G517)-E517)</f>
        <v/>
      </c>
      <c r="I517" s="6">
        <f>IF(D517="","",AND(LOWER(B517)="y",H517&gt;Setup!$B$4))</f>
        <v/>
      </c>
      <c r="J517" s="12">
        <f>IF(D517="","",IF(AND(I517=TRUE,G517=""),F517,0))</f>
        <v/>
      </c>
      <c r="K517" s="12">
        <f>IF(OR(D517="",G517=""),0,F517)</f>
        <v/>
      </c>
      <c r="L517" s="12">
        <f>IF(OR(D517="",G517=""),0,H517*F517)</f>
        <v/>
      </c>
    </row>
    <row r="518">
      <c r="A518" s="9" t="n"/>
      <c r="B518" s="9" t="n"/>
      <c r="C518" s="9" t="n"/>
      <c r="D518" s="9" t="n"/>
      <c r="E518" s="8" t="n"/>
      <c r="F518" s="10" t="n"/>
      <c r="G518" s="8" t="n"/>
      <c r="H518" s="11">
        <f>IF(D518="","",IF(G518="",Setup!$B$5,G518)-E518)</f>
        <v/>
      </c>
      <c r="I518" s="6">
        <f>IF(D518="","",AND(LOWER(B518)="y",H518&gt;Setup!$B$4))</f>
        <v/>
      </c>
      <c r="J518" s="12">
        <f>IF(D518="","",IF(AND(I518=TRUE,G518=""),F518,0))</f>
        <v/>
      </c>
      <c r="K518" s="12">
        <f>IF(OR(D518="",G518=""),0,F518)</f>
        <v/>
      </c>
      <c r="L518" s="12">
        <f>IF(OR(D518="",G518=""),0,H518*F518)</f>
        <v/>
      </c>
    </row>
    <row r="519">
      <c r="A519" s="9" t="n"/>
      <c r="B519" s="9" t="n"/>
      <c r="C519" s="9" t="n"/>
      <c r="D519" s="9" t="n"/>
      <c r="E519" s="8" t="n"/>
      <c r="F519" s="10" t="n"/>
      <c r="G519" s="8" t="n"/>
      <c r="H519" s="11">
        <f>IF(D519="","",IF(G519="",Setup!$B$5,G519)-E519)</f>
        <v/>
      </c>
      <c r="I519" s="6">
        <f>IF(D519="","",AND(LOWER(B519)="y",H519&gt;Setup!$B$4))</f>
        <v/>
      </c>
      <c r="J519" s="12">
        <f>IF(D519="","",IF(AND(I519=TRUE,G519=""),F519,0))</f>
        <v/>
      </c>
      <c r="K519" s="12">
        <f>IF(OR(D519="",G519=""),0,F519)</f>
        <v/>
      </c>
      <c r="L519" s="12">
        <f>IF(OR(D519="",G519=""),0,H519*F519)</f>
        <v/>
      </c>
    </row>
    <row r="520">
      <c r="A520" s="9" t="n"/>
      <c r="B520" s="9" t="n"/>
      <c r="C520" s="9" t="n"/>
      <c r="D520" s="9" t="n"/>
      <c r="E520" s="8" t="n"/>
      <c r="F520" s="10" t="n"/>
      <c r="G520" s="8" t="n"/>
      <c r="H520" s="11">
        <f>IF(D520="","",IF(G520="",Setup!$B$5,G520)-E520)</f>
        <v/>
      </c>
      <c r="I520" s="6">
        <f>IF(D520="","",AND(LOWER(B520)="y",H520&gt;Setup!$B$4))</f>
        <v/>
      </c>
      <c r="J520" s="12">
        <f>IF(D520="","",IF(AND(I520=TRUE,G520=""),F520,0))</f>
        <v/>
      </c>
      <c r="K520" s="12">
        <f>IF(OR(D520="",G520=""),0,F520)</f>
        <v/>
      </c>
      <c r="L520" s="12">
        <f>IF(OR(D520="",G520=""),0,H520*F520)</f>
        <v/>
      </c>
    </row>
    <row r="521">
      <c r="A521" s="9" t="n"/>
      <c r="B521" s="9" t="n"/>
      <c r="C521" s="9" t="n"/>
      <c r="D521" s="9" t="n"/>
      <c r="E521" s="8" t="n"/>
      <c r="F521" s="10" t="n"/>
      <c r="G521" s="8" t="n"/>
      <c r="H521" s="11">
        <f>IF(D521="","",IF(G521="",Setup!$B$5,G521)-E521)</f>
        <v/>
      </c>
      <c r="I521" s="6">
        <f>IF(D521="","",AND(LOWER(B521)="y",H521&gt;Setup!$B$4))</f>
        <v/>
      </c>
      <c r="J521" s="12">
        <f>IF(D521="","",IF(AND(I521=TRUE,G521=""),F521,0))</f>
        <v/>
      </c>
      <c r="K521" s="12">
        <f>IF(OR(D521="",G521=""),0,F521)</f>
        <v/>
      </c>
      <c r="L521" s="12">
        <f>IF(OR(D521="",G521=""),0,H521*F521)</f>
        <v/>
      </c>
    </row>
    <row r="522">
      <c r="A522" s="9" t="n"/>
      <c r="B522" s="9" t="n"/>
      <c r="C522" s="9" t="n"/>
      <c r="D522" s="9" t="n"/>
      <c r="E522" s="8" t="n"/>
      <c r="F522" s="10" t="n"/>
      <c r="G522" s="8" t="n"/>
      <c r="H522" s="11">
        <f>IF(D522="","",IF(G522="",Setup!$B$5,G522)-E522)</f>
        <v/>
      </c>
      <c r="I522" s="6">
        <f>IF(D522="","",AND(LOWER(B522)="y",H522&gt;Setup!$B$4))</f>
        <v/>
      </c>
      <c r="J522" s="12">
        <f>IF(D522="","",IF(AND(I522=TRUE,G522=""),F522,0))</f>
        <v/>
      </c>
      <c r="K522" s="12">
        <f>IF(OR(D522="",G522=""),0,F522)</f>
        <v/>
      </c>
      <c r="L522" s="12">
        <f>IF(OR(D522="",G522=""),0,H522*F522)</f>
        <v/>
      </c>
    </row>
    <row r="523">
      <c r="A523" s="9" t="n"/>
      <c r="B523" s="9" t="n"/>
      <c r="C523" s="9" t="n"/>
      <c r="D523" s="9" t="n"/>
      <c r="E523" s="8" t="n"/>
      <c r="F523" s="10" t="n"/>
      <c r="G523" s="8" t="n"/>
      <c r="H523" s="11">
        <f>IF(D523="","",IF(G523="",Setup!$B$5,G523)-E523)</f>
        <v/>
      </c>
      <c r="I523" s="6">
        <f>IF(D523="","",AND(LOWER(B523)="y",H523&gt;Setup!$B$4))</f>
        <v/>
      </c>
      <c r="J523" s="12">
        <f>IF(D523="","",IF(AND(I523=TRUE,G523=""),F523,0))</f>
        <v/>
      </c>
      <c r="K523" s="12">
        <f>IF(OR(D523="",G523=""),0,F523)</f>
        <v/>
      </c>
      <c r="L523" s="12">
        <f>IF(OR(D523="",G523=""),0,H523*F523)</f>
        <v/>
      </c>
    </row>
    <row r="524">
      <c r="A524" s="9" t="n"/>
      <c r="B524" s="9" t="n"/>
      <c r="C524" s="9" t="n"/>
      <c r="D524" s="9" t="n"/>
      <c r="E524" s="8" t="n"/>
      <c r="F524" s="10" t="n"/>
      <c r="G524" s="8" t="n"/>
      <c r="H524" s="11">
        <f>IF(D524="","",IF(G524="",Setup!$B$5,G524)-E524)</f>
        <v/>
      </c>
      <c r="I524" s="6">
        <f>IF(D524="","",AND(LOWER(B524)="y",H524&gt;Setup!$B$4))</f>
        <v/>
      </c>
      <c r="J524" s="12">
        <f>IF(D524="","",IF(AND(I524=TRUE,G524=""),F524,0))</f>
        <v/>
      </c>
      <c r="K524" s="12">
        <f>IF(OR(D524="",G524=""),0,F524)</f>
        <v/>
      </c>
      <c r="L524" s="12">
        <f>IF(OR(D524="",G524=""),0,H524*F524)</f>
        <v/>
      </c>
    </row>
    <row r="525">
      <c r="A525" s="9" t="n"/>
      <c r="B525" s="9" t="n"/>
      <c r="C525" s="9" t="n"/>
      <c r="D525" s="9" t="n"/>
      <c r="E525" s="8" t="n"/>
      <c r="F525" s="10" t="n"/>
      <c r="G525" s="8" t="n"/>
      <c r="H525" s="11">
        <f>IF(D525="","",IF(G525="",Setup!$B$5,G525)-E525)</f>
        <v/>
      </c>
      <c r="I525" s="6">
        <f>IF(D525="","",AND(LOWER(B525)="y",H525&gt;Setup!$B$4))</f>
        <v/>
      </c>
      <c r="J525" s="12">
        <f>IF(D525="","",IF(AND(I525=TRUE,G525=""),F525,0))</f>
        <v/>
      </c>
      <c r="K525" s="12">
        <f>IF(OR(D525="",G525=""),0,F525)</f>
        <v/>
      </c>
      <c r="L525" s="12">
        <f>IF(OR(D525="",G525=""),0,H525*F525)</f>
        <v/>
      </c>
    </row>
    <row r="526">
      <c r="A526" s="9" t="n"/>
      <c r="B526" s="9" t="n"/>
      <c r="C526" s="9" t="n"/>
      <c r="D526" s="9" t="n"/>
      <c r="E526" s="8" t="n"/>
      <c r="F526" s="10" t="n"/>
      <c r="G526" s="8" t="n"/>
      <c r="H526" s="11">
        <f>IF(D526="","",IF(G526="",Setup!$B$5,G526)-E526)</f>
        <v/>
      </c>
      <c r="I526" s="6">
        <f>IF(D526="","",AND(LOWER(B526)="y",H526&gt;Setup!$B$4))</f>
        <v/>
      </c>
      <c r="J526" s="12">
        <f>IF(D526="","",IF(AND(I526=TRUE,G526=""),F526,0))</f>
        <v/>
      </c>
      <c r="K526" s="12">
        <f>IF(OR(D526="",G526=""),0,F526)</f>
        <v/>
      </c>
      <c r="L526" s="12">
        <f>IF(OR(D526="",G526=""),0,H526*F526)</f>
        <v/>
      </c>
    </row>
    <row r="527">
      <c r="A527" s="9" t="n"/>
      <c r="B527" s="9" t="n"/>
      <c r="C527" s="9" t="n"/>
      <c r="D527" s="9" t="n"/>
      <c r="E527" s="8" t="n"/>
      <c r="F527" s="10" t="n"/>
      <c r="G527" s="8" t="n"/>
      <c r="H527" s="11">
        <f>IF(D527="","",IF(G527="",Setup!$B$5,G527)-E527)</f>
        <v/>
      </c>
      <c r="I527" s="6">
        <f>IF(D527="","",AND(LOWER(B527)="y",H527&gt;Setup!$B$4))</f>
        <v/>
      </c>
      <c r="J527" s="12">
        <f>IF(D527="","",IF(AND(I527=TRUE,G527=""),F527,0))</f>
        <v/>
      </c>
      <c r="K527" s="12">
        <f>IF(OR(D527="",G527=""),0,F527)</f>
        <v/>
      </c>
      <c r="L527" s="12">
        <f>IF(OR(D527="",G527=""),0,H527*F527)</f>
        <v/>
      </c>
    </row>
    <row r="528">
      <c r="A528" s="9" t="n"/>
      <c r="B528" s="9" t="n"/>
      <c r="C528" s="9" t="n"/>
      <c r="D528" s="9" t="n"/>
      <c r="E528" s="8" t="n"/>
      <c r="F528" s="10" t="n"/>
      <c r="G528" s="8" t="n"/>
      <c r="H528" s="11">
        <f>IF(D528="","",IF(G528="",Setup!$B$5,G528)-E528)</f>
        <v/>
      </c>
      <c r="I528" s="6">
        <f>IF(D528="","",AND(LOWER(B528)="y",H528&gt;Setup!$B$4))</f>
        <v/>
      </c>
      <c r="J528" s="12">
        <f>IF(D528="","",IF(AND(I528=TRUE,G528=""),F528,0))</f>
        <v/>
      </c>
      <c r="K528" s="12">
        <f>IF(OR(D528="",G528=""),0,F528)</f>
        <v/>
      </c>
      <c r="L528" s="12">
        <f>IF(OR(D528="",G528=""),0,H528*F528)</f>
        <v/>
      </c>
    </row>
    <row r="529">
      <c r="A529" s="9" t="n"/>
      <c r="B529" s="9" t="n"/>
      <c r="C529" s="9" t="n"/>
      <c r="D529" s="9" t="n"/>
      <c r="E529" s="8" t="n"/>
      <c r="F529" s="10" t="n"/>
      <c r="G529" s="8" t="n"/>
      <c r="H529" s="11">
        <f>IF(D529="","",IF(G529="",Setup!$B$5,G529)-E529)</f>
        <v/>
      </c>
      <c r="I529" s="6">
        <f>IF(D529="","",AND(LOWER(B529)="y",H529&gt;Setup!$B$4))</f>
        <v/>
      </c>
      <c r="J529" s="12">
        <f>IF(D529="","",IF(AND(I529=TRUE,G529=""),F529,0))</f>
        <v/>
      </c>
      <c r="K529" s="12">
        <f>IF(OR(D529="",G529=""),0,F529)</f>
        <v/>
      </c>
      <c r="L529" s="12">
        <f>IF(OR(D529="",G529=""),0,H529*F529)</f>
        <v/>
      </c>
    </row>
    <row r="530">
      <c r="A530" s="9" t="n"/>
      <c r="B530" s="9" t="n"/>
      <c r="C530" s="9" t="n"/>
      <c r="D530" s="9" t="n"/>
      <c r="E530" s="8" t="n"/>
      <c r="F530" s="10" t="n"/>
      <c r="G530" s="8" t="n"/>
      <c r="H530" s="11">
        <f>IF(D530="","",IF(G530="",Setup!$B$5,G530)-E530)</f>
        <v/>
      </c>
      <c r="I530" s="6">
        <f>IF(D530="","",AND(LOWER(B530)="y",H530&gt;Setup!$B$4))</f>
        <v/>
      </c>
      <c r="J530" s="12">
        <f>IF(D530="","",IF(AND(I530=TRUE,G530=""),F530,0))</f>
        <v/>
      </c>
      <c r="K530" s="12">
        <f>IF(OR(D530="",G530=""),0,F530)</f>
        <v/>
      </c>
      <c r="L530" s="12">
        <f>IF(OR(D530="",G530=""),0,H530*F530)</f>
        <v/>
      </c>
    </row>
    <row r="531">
      <c r="A531" s="9" t="n"/>
      <c r="B531" s="9" t="n"/>
      <c r="C531" s="9" t="n"/>
      <c r="D531" s="9" t="n"/>
      <c r="E531" s="8" t="n"/>
      <c r="F531" s="10" t="n"/>
      <c r="G531" s="8" t="n"/>
      <c r="H531" s="11">
        <f>IF(D531="","",IF(G531="",Setup!$B$5,G531)-E531)</f>
        <v/>
      </c>
      <c r="I531" s="6">
        <f>IF(D531="","",AND(LOWER(B531)="y",H531&gt;Setup!$B$4))</f>
        <v/>
      </c>
      <c r="J531" s="12">
        <f>IF(D531="","",IF(AND(I531=TRUE,G531=""),F531,0))</f>
        <v/>
      </c>
      <c r="K531" s="12">
        <f>IF(OR(D531="",G531=""),0,F531)</f>
        <v/>
      </c>
      <c r="L531" s="12">
        <f>IF(OR(D531="",G531=""),0,H531*F531)</f>
        <v/>
      </c>
    </row>
    <row r="532">
      <c r="A532" s="9" t="n"/>
      <c r="B532" s="9" t="n"/>
      <c r="C532" s="9" t="n"/>
      <c r="D532" s="9" t="n"/>
      <c r="E532" s="8" t="n"/>
      <c r="F532" s="10" t="n"/>
      <c r="G532" s="8" t="n"/>
      <c r="H532" s="11">
        <f>IF(D532="","",IF(G532="",Setup!$B$5,G532)-E532)</f>
        <v/>
      </c>
      <c r="I532" s="6">
        <f>IF(D532="","",AND(LOWER(B532)="y",H532&gt;Setup!$B$4))</f>
        <v/>
      </c>
      <c r="J532" s="12">
        <f>IF(D532="","",IF(AND(I532=TRUE,G532=""),F532,0))</f>
        <v/>
      </c>
      <c r="K532" s="12">
        <f>IF(OR(D532="",G532=""),0,F532)</f>
        <v/>
      </c>
      <c r="L532" s="12">
        <f>IF(OR(D532="",G532=""),0,H532*F532)</f>
        <v/>
      </c>
    </row>
    <row r="533">
      <c r="A533" s="9" t="n"/>
      <c r="B533" s="9" t="n"/>
      <c r="C533" s="9" t="n"/>
      <c r="D533" s="9" t="n"/>
      <c r="E533" s="8" t="n"/>
      <c r="F533" s="10" t="n"/>
      <c r="G533" s="8" t="n"/>
      <c r="H533" s="11">
        <f>IF(D533="","",IF(G533="",Setup!$B$5,G533)-E533)</f>
        <v/>
      </c>
      <c r="I533" s="6">
        <f>IF(D533="","",AND(LOWER(B533)="y",H533&gt;Setup!$B$4))</f>
        <v/>
      </c>
      <c r="J533" s="12">
        <f>IF(D533="","",IF(AND(I533=TRUE,G533=""),F533,0))</f>
        <v/>
      </c>
      <c r="K533" s="12">
        <f>IF(OR(D533="",G533=""),0,F533)</f>
        <v/>
      </c>
      <c r="L533" s="12">
        <f>IF(OR(D533="",G533=""),0,H533*F533)</f>
        <v/>
      </c>
    </row>
    <row r="534">
      <c r="A534" s="9" t="n"/>
      <c r="B534" s="9" t="n"/>
      <c r="C534" s="9" t="n"/>
      <c r="D534" s="9" t="n"/>
      <c r="E534" s="8" t="n"/>
      <c r="F534" s="10" t="n"/>
      <c r="G534" s="8" t="n"/>
      <c r="H534" s="11">
        <f>IF(D534="","",IF(G534="",Setup!$B$5,G534)-E534)</f>
        <v/>
      </c>
      <c r="I534" s="6">
        <f>IF(D534="","",AND(LOWER(B534)="y",H534&gt;Setup!$B$4))</f>
        <v/>
      </c>
      <c r="J534" s="12">
        <f>IF(D534="","",IF(AND(I534=TRUE,G534=""),F534,0))</f>
        <v/>
      </c>
      <c r="K534" s="12">
        <f>IF(OR(D534="",G534=""),0,F534)</f>
        <v/>
      </c>
      <c r="L534" s="12">
        <f>IF(OR(D534="",G534=""),0,H534*F534)</f>
        <v/>
      </c>
    </row>
    <row r="535">
      <c r="A535" s="9" t="n"/>
      <c r="B535" s="9" t="n"/>
      <c r="C535" s="9" t="n"/>
      <c r="D535" s="9" t="n"/>
      <c r="E535" s="8" t="n"/>
      <c r="F535" s="10" t="n"/>
      <c r="G535" s="8" t="n"/>
      <c r="H535" s="11">
        <f>IF(D535="","",IF(G535="",Setup!$B$5,G535)-E535)</f>
        <v/>
      </c>
      <c r="I535" s="6">
        <f>IF(D535="","",AND(LOWER(B535)="y",H535&gt;Setup!$B$4))</f>
        <v/>
      </c>
      <c r="J535" s="12">
        <f>IF(D535="","",IF(AND(I535=TRUE,G535=""),F535,0))</f>
        <v/>
      </c>
      <c r="K535" s="12">
        <f>IF(OR(D535="",G535=""),0,F535)</f>
        <v/>
      </c>
      <c r="L535" s="12">
        <f>IF(OR(D535="",G535=""),0,H535*F535)</f>
        <v/>
      </c>
    </row>
    <row r="536">
      <c r="A536" s="9" t="n"/>
      <c r="B536" s="9" t="n"/>
      <c r="C536" s="9" t="n"/>
      <c r="D536" s="9" t="n"/>
      <c r="E536" s="8" t="n"/>
      <c r="F536" s="10" t="n"/>
      <c r="G536" s="8" t="n"/>
      <c r="H536" s="11">
        <f>IF(D536="","",IF(G536="",Setup!$B$5,G536)-E536)</f>
        <v/>
      </c>
      <c r="I536" s="6">
        <f>IF(D536="","",AND(LOWER(B536)="y",H536&gt;Setup!$B$4))</f>
        <v/>
      </c>
      <c r="J536" s="12">
        <f>IF(D536="","",IF(AND(I536=TRUE,G536=""),F536,0))</f>
        <v/>
      </c>
      <c r="K536" s="12">
        <f>IF(OR(D536="",G536=""),0,F536)</f>
        <v/>
      </c>
      <c r="L536" s="12">
        <f>IF(OR(D536="",G536=""),0,H536*F536)</f>
        <v/>
      </c>
    </row>
    <row r="537">
      <c r="A537" s="9" t="n"/>
      <c r="B537" s="9" t="n"/>
      <c r="C537" s="9" t="n"/>
      <c r="D537" s="9" t="n"/>
      <c r="E537" s="8" t="n"/>
      <c r="F537" s="10" t="n"/>
      <c r="G537" s="8" t="n"/>
      <c r="H537" s="11">
        <f>IF(D537="","",IF(G537="",Setup!$B$5,G537)-E537)</f>
        <v/>
      </c>
      <c r="I537" s="6">
        <f>IF(D537="","",AND(LOWER(B537)="y",H537&gt;Setup!$B$4))</f>
        <v/>
      </c>
      <c r="J537" s="12">
        <f>IF(D537="","",IF(AND(I537=TRUE,G537=""),F537,0))</f>
        <v/>
      </c>
      <c r="K537" s="12">
        <f>IF(OR(D537="",G537=""),0,F537)</f>
        <v/>
      </c>
      <c r="L537" s="12">
        <f>IF(OR(D537="",G537=""),0,H537*F537)</f>
        <v/>
      </c>
    </row>
    <row r="538">
      <c r="A538" s="9" t="n"/>
      <c r="B538" s="9" t="n"/>
      <c r="C538" s="9" t="n"/>
      <c r="D538" s="9" t="n"/>
      <c r="E538" s="8" t="n"/>
      <c r="F538" s="10" t="n"/>
      <c r="G538" s="8" t="n"/>
      <c r="H538" s="11">
        <f>IF(D538="","",IF(G538="",Setup!$B$5,G538)-E538)</f>
        <v/>
      </c>
      <c r="I538" s="6">
        <f>IF(D538="","",AND(LOWER(B538)="y",H538&gt;Setup!$B$4))</f>
        <v/>
      </c>
      <c r="J538" s="12">
        <f>IF(D538="","",IF(AND(I538=TRUE,G538=""),F538,0))</f>
        <v/>
      </c>
      <c r="K538" s="12">
        <f>IF(OR(D538="",G538=""),0,F538)</f>
        <v/>
      </c>
      <c r="L538" s="12">
        <f>IF(OR(D538="",G538=""),0,H538*F538)</f>
        <v/>
      </c>
    </row>
    <row r="539">
      <c r="A539" s="9" t="n"/>
      <c r="B539" s="9" t="n"/>
      <c r="C539" s="9" t="n"/>
      <c r="D539" s="9" t="n"/>
      <c r="E539" s="8" t="n"/>
      <c r="F539" s="10" t="n"/>
      <c r="G539" s="8" t="n"/>
      <c r="H539" s="11">
        <f>IF(D539="","",IF(G539="",Setup!$B$5,G539)-E539)</f>
        <v/>
      </c>
      <c r="I539" s="6">
        <f>IF(D539="","",AND(LOWER(B539)="y",H539&gt;Setup!$B$4))</f>
        <v/>
      </c>
      <c r="J539" s="12">
        <f>IF(D539="","",IF(AND(I539=TRUE,G539=""),F539,0))</f>
        <v/>
      </c>
      <c r="K539" s="12">
        <f>IF(OR(D539="",G539=""),0,F539)</f>
        <v/>
      </c>
      <c r="L539" s="12">
        <f>IF(OR(D539="",G539=""),0,H539*F539)</f>
        <v/>
      </c>
    </row>
    <row r="540">
      <c r="A540" s="9" t="n"/>
      <c r="B540" s="9" t="n"/>
      <c r="C540" s="9" t="n"/>
      <c r="D540" s="9" t="n"/>
      <c r="E540" s="8" t="n"/>
      <c r="F540" s="10" t="n"/>
      <c r="G540" s="8" t="n"/>
      <c r="H540" s="11">
        <f>IF(D540="","",IF(G540="",Setup!$B$5,G540)-E540)</f>
        <v/>
      </c>
      <c r="I540" s="6">
        <f>IF(D540="","",AND(LOWER(B540)="y",H540&gt;Setup!$B$4))</f>
        <v/>
      </c>
      <c r="J540" s="12">
        <f>IF(D540="","",IF(AND(I540=TRUE,G540=""),F540,0))</f>
        <v/>
      </c>
      <c r="K540" s="12">
        <f>IF(OR(D540="",G540=""),0,F540)</f>
        <v/>
      </c>
      <c r="L540" s="12">
        <f>IF(OR(D540="",G540=""),0,H540*F540)</f>
        <v/>
      </c>
    </row>
    <row r="541">
      <c r="A541" s="9" t="n"/>
      <c r="B541" s="9" t="n"/>
      <c r="C541" s="9" t="n"/>
      <c r="D541" s="9" t="n"/>
      <c r="E541" s="8" t="n"/>
      <c r="F541" s="10" t="n"/>
      <c r="G541" s="8" t="n"/>
      <c r="H541" s="11">
        <f>IF(D541="","",IF(G541="",Setup!$B$5,G541)-E541)</f>
        <v/>
      </c>
      <c r="I541" s="6">
        <f>IF(D541="","",AND(LOWER(B541)="y",H541&gt;Setup!$B$4))</f>
        <v/>
      </c>
      <c r="J541" s="12">
        <f>IF(D541="","",IF(AND(I541=TRUE,G541=""),F541,0))</f>
        <v/>
      </c>
      <c r="K541" s="12">
        <f>IF(OR(D541="",G541=""),0,F541)</f>
        <v/>
      </c>
      <c r="L541" s="12">
        <f>IF(OR(D541="",G541=""),0,H541*F541)</f>
        <v/>
      </c>
    </row>
    <row r="542">
      <c r="A542" s="9" t="n"/>
      <c r="B542" s="9" t="n"/>
      <c r="C542" s="9" t="n"/>
      <c r="D542" s="9" t="n"/>
      <c r="E542" s="8" t="n"/>
      <c r="F542" s="10" t="n"/>
      <c r="G542" s="8" t="n"/>
      <c r="H542" s="11">
        <f>IF(D542="","",IF(G542="",Setup!$B$5,G542)-E542)</f>
        <v/>
      </c>
      <c r="I542" s="6">
        <f>IF(D542="","",AND(LOWER(B542)="y",H542&gt;Setup!$B$4))</f>
        <v/>
      </c>
      <c r="J542" s="12">
        <f>IF(D542="","",IF(AND(I542=TRUE,G542=""),F542,0))</f>
        <v/>
      </c>
      <c r="K542" s="12">
        <f>IF(OR(D542="",G542=""),0,F542)</f>
        <v/>
      </c>
      <c r="L542" s="12">
        <f>IF(OR(D542="",G542=""),0,H542*F542)</f>
        <v/>
      </c>
    </row>
    <row r="543">
      <c r="A543" s="9" t="n"/>
      <c r="B543" s="9" t="n"/>
      <c r="C543" s="9" t="n"/>
      <c r="D543" s="9" t="n"/>
      <c r="E543" s="8" t="n"/>
      <c r="F543" s="10" t="n"/>
      <c r="G543" s="8" t="n"/>
      <c r="H543" s="11">
        <f>IF(D543="","",IF(G543="",Setup!$B$5,G543)-E543)</f>
        <v/>
      </c>
      <c r="I543" s="6">
        <f>IF(D543="","",AND(LOWER(B543)="y",H543&gt;Setup!$B$4))</f>
        <v/>
      </c>
      <c r="J543" s="12">
        <f>IF(D543="","",IF(AND(I543=TRUE,G543=""),F543,0))</f>
        <v/>
      </c>
      <c r="K543" s="12">
        <f>IF(OR(D543="",G543=""),0,F543)</f>
        <v/>
      </c>
      <c r="L543" s="12">
        <f>IF(OR(D543="",G543=""),0,H543*F543)</f>
        <v/>
      </c>
    </row>
    <row r="544">
      <c r="A544" s="9" t="n"/>
      <c r="B544" s="9" t="n"/>
      <c r="C544" s="9" t="n"/>
      <c r="D544" s="9" t="n"/>
      <c r="E544" s="8" t="n"/>
      <c r="F544" s="10" t="n"/>
      <c r="G544" s="8" t="n"/>
      <c r="H544" s="11">
        <f>IF(D544="","",IF(G544="",Setup!$B$5,G544)-E544)</f>
        <v/>
      </c>
      <c r="I544" s="6">
        <f>IF(D544="","",AND(LOWER(B544)="y",H544&gt;Setup!$B$4))</f>
        <v/>
      </c>
      <c r="J544" s="12">
        <f>IF(D544="","",IF(AND(I544=TRUE,G544=""),F544,0))</f>
        <v/>
      </c>
      <c r="K544" s="12">
        <f>IF(OR(D544="",G544=""),0,F544)</f>
        <v/>
      </c>
      <c r="L544" s="12">
        <f>IF(OR(D544="",G544=""),0,H544*F544)</f>
        <v/>
      </c>
    </row>
    <row r="545">
      <c r="A545" s="9" t="n"/>
      <c r="B545" s="9" t="n"/>
      <c r="C545" s="9" t="n"/>
      <c r="D545" s="9" t="n"/>
      <c r="E545" s="8" t="n"/>
      <c r="F545" s="10" t="n"/>
      <c r="G545" s="8" t="n"/>
      <c r="H545" s="11">
        <f>IF(D545="","",IF(G545="",Setup!$B$5,G545)-E545)</f>
        <v/>
      </c>
      <c r="I545" s="6">
        <f>IF(D545="","",AND(LOWER(B545)="y",H545&gt;Setup!$B$4))</f>
        <v/>
      </c>
      <c r="J545" s="12">
        <f>IF(D545="","",IF(AND(I545=TRUE,G545=""),F545,0))</f>
        <v/>
      </c>
      <c r="K545" s="12">
        <f>IF(OR(D545="",G545=""),0,F545)</f>
        <v/>
      </c>
      <c r="L545" s="12">
        <f>IF(OR(D545="",G545=""),0,H545*F545)</f>
        <v/>
      </c>
    </row>
    <row r="546">
      <c r="A546" s="9" t="n"/>
      <c r="B546" s="9" t="n"/>
      <c r="C546" s="9" t="n"/>
      <c r="D546" s="9" t="n"/>
      <c r="E546" s="8" t="n"/>
      <c r="F546" s="10" t="n"/>
      <c r="G546" s="8" t="n"/>
      <c r="H546" s="11">
        <f>IF(D546="","",IF(G546="",Setup!$B$5,G546)-E546)</f>
        <v/>
      </c>
      <c r="I546" s="6">
        <f>IF(D546="","",AND(LOWER(B546)="y",H546&gt;Setup!$B$4))</f>
        <v/>
      </c>
      <c r="J546" s="12">
        <f>IF(D546="","",IF(AND(I546=TRUE,G546=""),F546,0))</f>
        <v/>
      </c>
      <c r="K546" s="12">
        <f>IF(OR(D546="",G546=""),0,F546)</f>
        <v/>
      </c>
      <c r="L546" s="12">
        <f>IF(OR(D546="",G546=""),0,H546*F546)</f>
        <v/>
      </c>
    </row>
    <row r="547">
      <c r="A547" s="9" t="n"/>
      <c r="B547" s="9" t="n"/>
      <c r="C547" s="9" t="n"/>
      <c r="D547" s="9" t="n"/>
      <c r="E547" s="8" t="n"/>
      <c r="F547" s="10" t="n"/>
      <c r="G547" s="8" t="n"/>
      <c r="H547" s="11">
        <f>IF(D547="","",IF(G547="",Setup!$B$5,G547)-E547)</f>
        <v/>
      </c>
      <c r="I547" s="6">
        <f>IF(D547="","",AND(LOWER(B547)="y",H547&gt;Setup!$B$4))</f>
        <v/>
      </c>
      <c r="J547" s="12">
        <f>IF(D547="","",IF(AND(I547=TRUE,G547=""),F547,0))</f>
        <v/>
      </c>
      <c r="K547" s="12">
        <f>IF(OR(D547="",G547=""),0,F547)</f>
        <v/>
      </c>
      <c r="L547" s="12">
        <f>IF(OR(D547="",G547=""),0,H547*F547)</f>
        <v/>
      </c>
    </row>
    <row r="548">
      <c r="A548" s="9" t="n"/>
      <c r="B548" s="9" t="n"/>
      <c r="C548" s="9" t="n"/>
      <c r="D548" s="9" t="n"/>
      <c r="E548" s="8" t="n"/>
      <c r="F548" s="10" t="n"/>
      <c r="G548" s="8" t="n"/>
      <c r="H548" s="11">
        <f>IF(D548="","",IF(G548="",Setup!$B$5,G548)-E548)</f>
        <v/>
      </c>
      <c r="I548" s="6">
        <f>IF(D548="","",AND(LOWER(B548)="y",H548&gt;Setup!$B$4))</f>
        <v/>
      </c>
      <c r="J548" s="12">
        <f>IF(D548="","",IF(AND(I548=TRUE,G548=""),F548,0))</f>
        <v/>
      </c>
      <c r="K548" s="12">
        <f>IF(OR(D548="",G548=""),0,F548)</f>
        <v/>
      </c>
      <c r="L548" s="12">
        <f>IF(OR(D548="",G548=""),0,H548*F548)</f>
        <v/>
      </c>
    </row>
    <row r="549">
      <c r="A549" s="9" t="n"/>
      <c r="B549" s="9" t="n"/>
      <c r="C549" s="9" t="n"/>
      <c r="D549" s="9" t="n"/>
      <c r="E549" s="8" t="n"/>
      <c r="F549" s="10" t="n"/>
      <c r="G549" s="8" t="n"/>
      <c r="H549" s="11">
        <f>IF(D549="","",IF(G549="",Setup!$B$5,G549)-E549)</f>
        <v/>
      </c>
      <c r="I549" s="6">
        <f>IF(D549="","",AND(LOWER(B549)="y",H549&gt;Setup!$B$4))</f>
        <v/>
      </c>
      <c r="J549" s="12">
        <f>IF(D549="","",IF(AND(I549=TRUE,G549=""),F549,0))</f>
        <v/>
      </c>
      <c r="K549" s="12">
        <f>IF(OR(D549="",G549=""),0,F549)</f>
        <v/>
      </c>
      <c r="L549" s="12">
        <f>IF(OR(D549="",G549=""),0,H549*F549)</f>
        <v/>
      </c>
    </row>
    <row r="550">
      <c r="A550" s="9" t="n"/>
      <c r="B550" s="9" t="n"/>
      <c r="C550" s="9" t="n"/>
      <c r="D550" s="9" t="n"/>
      <c r="E550" s="8" t="n"/>
      <c r="F550" s="10" t="n"/>
      <c r="G550" s="8" t="n"/>
      <c r="H550" s="11">
        <f>IF(D550="","",IF(G550="",Setup!$B$5,G550)-E550)</f>
        <v/>
      </c>
      <c r="I550" s="6">
        <f>IF(D550="","",AND(LOWER(B550)="y",H550&gt;Setup!$B$4))</f>
        <v/>
      </c>
      <c r="J550" s="12">
        <f>IF(D550="","",IF(AND(I550=TRUE,G550=""),F550,0))</f>
        <v/>
      </c>
      <c r="K550" s="12">
        <f>IF(OR(D550="",G550=""),0,F550)</f>
        <v/>
      </c>
      <c r="L550" s="12">
        <f>IF(OR(D550="",G550=""),0,H550*F550)</f>
        <v/>
      </c>
    </row>
    <row r="551">
      <c r="A551" s="9" t="n"/>
      <c r="B551" s="9" t="n"/>
      <c r="C551" s="9" t="n"/>
      <c r="D551" s="9" t="n"/>
      <c r="E551" s="8" t="n"/>
      <c r="F551" s="10" t="n"/>
      <c r="G551" s="8" t="n"/>
      <c r="H551" s="11">
        <f>IF(D551="","",IF(G551="",Setup!$B$5,G551)-E551)</f>
        <v/>
      </c>
      <c r="I551" s="6">
        <f>IF(D551="","",AND(LOWER(B551)="y",H551&gt;Setup!$B$4))</f>
        <v/>
      </c>
      <c r="J551" s="12">
        <f>IF(D551="","",IF(AND(I551=TRUE,G551=""),F551,0))</f>
        <v/>
      </c>
      <c r="K551" s="12">
        <f>IF(OR(D551="",G551=""),0,F551)</f>
        <v/>
      </c>
      <c r="L551" s="12">
        <f>IF(OR(D551="",G551=""),0,H551*F551)</f>
        <v/>
      </c>
    </row>
    <row r="552">
      <c r="A552" s="9" t="n"/>
      <c r="B552" s="9" t="n"/>
      <c r="C552" s="9" t="n"/>
      <c r="D552" s="9" t="n"/>
      <c r="E552" s="8" t="n"/>
      <c r="F552" s="10" t="n"/>
      <c r="G552" s="8" t="n"/>
      <c r="H552" s="11">
        <f>IF(D552="","",IF(G552="",Setup!$B$5,G552)-E552)</f>
        <v/>
      </c>
      <c r="I552" s="6">
        <f>IF(D552="","",AND(LOWER(B552)="y",H552&gt;Setup!$B$4))</f>
        <v/>
      </c>
      <c r="J552" s="12">
        <f>IF(D552="","",IF(AND(I552=TRUE,G552=""),F552,0))</f>
        <v/>
      </c>
      <c r="K552" s="12">
        <f>IF(OR(D552="",G552=""),0,F552)</f>
        <v/>
      </c>
      <c r="L552" s="12">
        <f>IF(OR(D552="",G552=""),0,H552*F552)</f>
        <v/>
      </c>
    </row>
    <row r="553">
      <c r="A553" s="9" t="n"/>
      <c r="B553" s="9" t="n"/>
      <c r="C553" s="9" t="n"/>
      <c r="D553" s="9" t="n"/>
      <c r="E553" s="8" t="n"/>
      <c r="F553" s="10" t="n"/>
      <c r="G553" s="8" t="n"/>
      <c r="H553" s="11">
        <f>IF(D553="","",IF(G553="",Setup!$B$5,G553)-E553)</f>
        <v/>
      </c>
      <c r="I553" s="6">
        <f>IF(D553="","",AND(LOWER(B553)="y",H553&gt;Setup!$B$4))</f>
        <v/>
      </c>
      <c r="J553" s="12">
        <f>IF(D553="","",IF(AND(I553=TRUE,G553=""),F553,0))</f>
        <v/>
      </c>
      <c r="K553" s="12">
        <f>IF(OR(D553="",G553=""),0,F553)</f>
        <v/>
      </c>
      <c r="L553" s="12">
        <f>IF(OR(D553="",G553=""),0,H553*F553)</f>
        <v/>
      </c>
    </row>
    <row r="554">
      <c r="A554" s="9" t="n"/>
      <c r="B554" s="9" t="n"/>
      <c r="C554" s="9" t="n"/>
      <c r="D554" s="9" t="n"/>
      <c r="E554" s="8" t="n"/>
      <c r="F554" s="10" t="n"/>
      <c r="G554" s="8" t="n"/>
      <c r="H554" s="11">
        <f>IF(D554="","",IF(G554="",Setup!$B$5,G554)-E554)</f>
        <v/>
      </c>
      <c r="I554" s="6">
        <f>IF(D554="","",AND(LOWER(B554)="y",H554&gt;Setup!$B$4))</f>
        <v/>
      </c>
      <c r="J554" s="12">
        <f>IF(D554="","",IF(AND(I554=TRUE,G554=""),F554,0))</f>
        <v/>
      </c>
      <c r="K554" s="12">
        <f>IF(OR(D554="",G554=""),0,F554)</f>
        <v/>
      </c>
      <c r="L554" s="12">
        <f>IF(OR(D554="",G554=""),0,H554*F554)</f>
        <v/>
      </c>
    </row>
    <row r="555">
      <c r="A555" s="9" t="n"/>
      <c r="B555" s="9" t="n"/>
      <c r="C555" s="9" t="n"/>
      <c r="D555" s="9" t="n"/>
      <c r="E555" s="8" t="n"/>
      <c r="F555" s="10" t="n"/>
      <c r="G555" s="8" t="n"/>
      <c r="H555" s="11">
        <f>IF(D555="","",IF(G555="",Setup!$B$5,G555)-E555)</f>
        <v/>
      </c>
      <c r="I555" s="6">
        <f>IF(D555="","",AND(LOWER(B555)="y",H555&gt;Setup!$B$4))</f>
        <v/>
      </c>
      <c r="J555" s="12">
        <f>IF(D555="","",IF(AND(I555=TRUE,G555=""),F555,0))</f>
        <v/>
      </c>
      <c r="K555" s="12">
        <f>IF(OR(D555="",G555=""),0,F555)</f>
        <v/>
      </c>
      <c r="L555" s="12">
        <f>IF(OR(D555="",G555=""),0,H555*F555)</f>
        <v/>
      </c>
    </row>
    <row r="556">
      <c r="A556" s="9" t="n"/>
      <c r="B556" s="9" t="n"/>
      <c r="C556" s="9" t="n"/>
      <c r="D556" s="9" t="n"/>
      <c r="E556" s="8" t="n"/>
      <c r="F556" s="10" t="n"/>
      <c r="G556" s="8" t="n"/>
      <c r="H556" s="11">
        <f>IF(D556="","",IF(G556="",Setup!$B$5,G556)-E556)</f>
        <v/>
      </c>
      <c r="I556" s="6">
        <f>IF(D556="","",AND(LOWER(B556)="y",H556&gt;Setup!$B$4))</f>
        <v/>
      </c>
      <c r="J556" s="12">
        <f>IF(D556="","",IF(AND(I556=TRUE,G556=""),F556,0))</f>
        <v/>
      </c>
      <c r="K556" s="12">
        <f>IF(OR(D556="",G556=""),0,F556)</f>
        <v/>
      </c>
      <c r="L556" s="12">
        <f>IF(OR(D556="",G556=""),0,H556*F556)</f>
        <v/>
      </c>
    </row>
    <row r="557">
      <c r="A557" s="9" t="n"/>
      <c r="B557" s="9" t="n"/>
      <c r="C557" s="9" t="n"/>
      <c r="D557" s="9" t="n"/>
      <c r="E557" s="8" t="n"/>
      <c r="F557" s="10" t="n"/>
      <c r="G557" s="8" t="n"/>
      <c r="H557" s="11">
        <f>IF(D557="","",IF(G557="",Setup!$B$5,G557)-E557)</f>
        <v/>
      </c>
      <c r="I557" s="6">
        <f>IF(D557="","",AND(LOWER(B557)="y",H557&gt;Setup!$B$4))</f>
        <v/>
      </c>
      <c r="J557" s="12">
        <f>IF(D557="","",IF(AND(I557=TRUE,G557=""),F557,0))</f>
        <v/>
      </c>
      <c r="K557" s="12">
        <f>IF(OR(D557="",G557=""),0,F557)</f>
        <v/>
      </c>
      <c r="L557" s="12">
        <f>IF(OR(D557="",G557=""),0,H557*F557)</f>
        <v/>
      </c>
    </row>
    <row r="558">
      <c r="A558" s="9" t="n"/>
      <c r="B558" s="9" t="n"/>
      <c r="C558" s="9" t="n"/>
      <c r="D558" s="9" t="n"/>
      <c r="E558" s="8" t="n"/>
      <c r="F558" s="10" t="n"/>
      <c r="G558" s="8" t="n"/>
      <c r="H558" s="11">
        <f>IF(D558="","",IF(G558="",Setup!$B$5,G558)-E558)</f>
        <v/>
      </c>
      <c r="I558" s="6">
        <f>IF(D558="","",AND(LOWER(B558)="y",H558&gt;Setup!$B$4))</f>
        <v/>
      </c>
      <c r="J558" s="12">
        <f>IF(D558="","",IF(AND(I558=TRUE,G558=""),F558,0))</f>
        <v/>
      </c>
      <c r="K558" s="12">
        <f>IF(OR(D558="",G558=""),0,F558)</f>
        <v/>
      </c>
      <c r="L558" s="12">
        <f>IF(OR(D558="",G558=""),0,H558*F558)</f>
        <v/>
      </c>
    </row>
    <row r="559">
      <c r="A559" s="9" t="n"/>
      <c r="B559" s="9" t="n"/>
      <c r="C559" s="9" t="n"/>
      <c r="D559" s="9" t="n"/>
      <c r="E559" s="8" t="n"/>
      <c r="F559" s="10" t="n"/>
      <c r="G559" s="8" t="n"/>
      <c r="H559" s="11">
        <f>IF(D559="","",IF(G559="",Setup!$B$5,G559)-E559)</f>
        <v/>
      </c>
      <c r="I559" s="6">
        <f>IF(D559="","",AND(LOWER(B559)="y",H559&gt;Setup!$B$4))</f>
        <v/>
      </c>
      <c r="J559" s="12">
        <f>IF(D559="","",IF(AND(I559=TRUE,G559=""),F559,0))</f>
        <v/>
      </c>
      <c r="K559" s="12">
        <f>IF(OR(D559="",G559=""),0,F559)</f>
        <v/>
      </c>
      <c r="L559" s="12">
        <f>IF(OR(D559="",G559=""),0,H559*F559)</f>
        <v/>
      </c>
    </row>
    <row r="560">
      <c r="A560" s="9" t="n"/>
      <c r="B560" s="9" t="n"/>
      <c r="C560" s="9" t="n"/>
      <c r="D560" s="9" t="n"/>
      <c r="E560" s="8" t="n"/>
      <c r="F560" s="10" t="n"/>
      <c r="G560" s="8" t="n"/>
      <c r="H560" s="11">
        <f>IF(D560="","",IF(G560="",Setup!$B$5,G560)-E560)</f>
        <v/>
      </c>
      <c r="I560" s="6">
        <f>IF(D560="","",AND(LOWER(B560)="y",H560&gt;Setup!$B$4))</f>
        <v/>
      </c>
      <c r="J560" s="12">
        <f>IF(D560="","",IF(AND(I560=TRUE,G560=""),F560,0))</f>
        <v/>
      </c>
      <c r="K560" s="12">
        <f>IF(OR(D560="",G560=""),0,F560)</f>
        <v/>
      </c>
      <c r="L560" s="12">
        <f>IF(OR(D560="",G560=""),0,H560*F560)</f>
        <v/>
      </c>
    </row>
    <row r="561">
      <c r="A561" s="9" t="n"/>
      <c r="B561" s="9" t="n"/>
      <c r="C561" s="9" t="n"/>
      <c r="D561" s="9" t="n"/>
      <c r="E561" s="8" t="n"/>
      <c r="F561" s="10" t="n"/>
      <c r="G561" s="8" t="n"/>
      <c r="H561" s="11">
        <f>IF(D561="","",IF(G561="",Setup!$B$5,G561)-E561)</f>
        <v/>
      </c>
      <c r="I561" s="6">
        <f>IF(D561="","",AND(LOWER(B561)="y",H561&gt;Setup!$B$4))</f>
        <v/>
      </c>
      <c r="J561" s="12">
        <f>IF(D561="","",IF(AND(I561=TRUE,G561=""),F561,0))</f>
        <v/>
      </c>
      <c r="K561" s="12">
        <f>IF(OR(D561="",G561=""),0,F561)</f>
        <v/>
      </c>
      <c r="L561" s="12">
        <f>IF(OR(D561="",G561=""),0,H561*F561)</f>
        <v/>
      </c>
    </row>
    <row r="562">
      <c r="A562" s="9" t="n"/>
      <c r="B562" s="9" t="n"/>
      <c r="C562" s="9" t="n"/>
      <c r="D562" s="9" t="n"/>
      <c r="E562" s="8" t="n"/>
      <c r="F562" s="10" t="n"/>
      <c r="G562" s="8" t="n"/>
      <c r="H562" s="11">
        <f>IF(D562="","",IF(G562="",Setup!$B$5,G562)-E562)</f>
        <v/>
      </c>
      <c r="I562" s="6">
        <f>IF(D562="","",AND(LOWER(B562)="y",H562&gt;Setup!$B$4))</f>
        <v/>
      </c>
      <c r="J562" s="12">
        <f>IF(D562="","",IF(AND(I562=TRUE,G562=""),F562,0))</f>
        <v/>
      </c>
      <c r="K562" s="12">
        <f>IF(OR(D562="",G562=""),0,F562)</f>
        <v/>
      </c>
      <c r="L562" s="12">
        <f>IF(OR(D562="",G562=""),0,H562*F562)</f>
        <v/>
      </c>
    </row>
    <row r="563">
      <c r="A563" s="9" t="n"/>
      <c r="B563" s="9" t="n"/>
      <c r="C563" s="9" t="n"/>
      <c r="D563" s="9" t="n"/>
      <c r="E563" s="8" t="n"/>
      <c r="F563" s="10" t="n"/>
      <c r="G563" s="8" t="n"/>
      <c r="H563" s="11">
        <f>IF(D563="","",IF(G563="",Setup!$B$5,G563)-E563)</f>
        <v/>
      </c>
      <c r="I563" s="6">
        <f>IF(D563="","",AND(LOWER(B563)="y",H563&gt;Setup!$B$4))</f>
        <v/>
      </c>
      <c r="J563" s="12">
        <f>IF(D563="","",IF(AND(I563=TRUE,G563=""),F563,0))</f>
        <v/>
      </c>
      <c r="K563" s="12">
        <f>IF(OR(D563="",G563=""),0,F563)</f>
        <v/>
      </c>
      <c r="L563" s="12">
        <f>IF(OR(D563="",G563=""),0,H563*F563)</f>
        <v/>
      </c>
    </row>
    <row r="564">
      <c r="A564" s="9" t="n"/>
      <c r="B564" s="9" t="n"/>
      <c r="C564" s="9" t="n"/>
      <c r="D564" s="9" t="n"/>
      <c r="E564" s="8" t="n"/>
      <c r="F564" s="10" t="n"/>
      <c r="G564" s="8" t="n"/>
      <c r="H564" s="11">
        <f>IF(D564="","",IF(G564="",Setup!$B$5,G564)-E564)</f>
        <v/>
      </c>
      <c r="I564" s="6">
        <f>IF(D564="","",AND(LOWER(B564)="y",H564&gt;Setup!$B$4))</f>
        <v/>
      </c>
      <c r="J564" s="12">
        <f>IF(D564="","",IF(AND(I564=TRUE,G564=""),F564,0))</f>
        <v/>
      </c>
      <c r="K564" s="12">
        <f>IF(OR(D564="",G564=""),0,F564)</f>
        <v/>
      </c>
      <c r="L564" s="12">
        <f>IF(OR(D564="",G564=""),0,H564*F564)</f>
        <v/>
      </c>
    </row>
    <row r="565">
      <c r="A565" s="9" t="n"/>
      <c r="B565" s="9" t="n"/>
      <c r="C565" s="9" t="n"/>
      <c r="D565" s="9" t="n"/>
      <c r="E565" s="8" t="n"/>
      <c r="F565" s="10" t="n"/>
      <c r="G565" s="8" t="n"/>
      <c r="H565" s="11">
        <f>IF(D565="","",IF(G565="",Setup!$B$5,G565)-E565)</f>
        <v/>
      </c>
      <c r="I565" s="6">
        <f>IF(D565="","",AND(LOWER(B565)="y",H565&gt;Setup!$B$4))</f>
        <v/>
      </c>
      <c r="J565" s="12">
        <f>IF(D565="","",IF(AND(I565=TRUE,G565=""),F565,0))</f>
        <v/>
      </c>
      <c r="K565" s="12">
        <f>IF(OR(D565="",G565=""),0,F565)</f>
        <v/>
      </c>
      <c r="L565" s="12">
        <f>IF(OR(D565="",G565=""),0,H565*F565)</f>
        <v/>
      </c>
    </row>
    <row r="566">
      <c r="A566" s="9" t="n"/>
      <c r="B566" s="9" t="n"/>
      <c r="C566" s="9" t="n"/>
      <c r="D566" s="9" t="n"/>
      <c r="E566" s="8" t="n"/>
      <c r="F566" s="10" t="n"/>
      <c r="G566" s="8" t="n"/>
      <c r="H566" s="11">
        <f>IF(D566="","",IF(G566="",Setup!$B$5,G566)-E566)</f>
        <v/>
      </c>
      <c r="I566" s="6">
        <f>IF(D566="","",AND(LOWER(B566)="y",H566&gt;Setup!$B$4))</f>
        <v/>
      </c>
      <c r="J566" s="12">
        <f>IF(D566="","",IF(AND(I566=TRUE,G566=""),F566,0))</f>
        <v/>
      </c>
      <c r="K566" s="12">
        <f>IF(OR(D566="",G566=""),0,F566)</f>
        <v/>
      </c>
      <c r="L566" s="12">
        <f>IF(OR(D566="",G566=""),0,H566*F566)</f>
        <v/>
      </c>
    </row>
    <row r="567">
      <c r="A567" s="9" t="n"/>
      <c r="B567" s="9" t="n"/>
      <c r="C567" s="9" t="n"/>
      <c r="D567" s="9" t="n"/>
      <c r="E567" s="8" t="n"/>
      <c r="F567" s="10" t="n"/>
      <c r="G567" s="8" t="n"/>
      <c r="H567" s="11">
        <f>IF(D567="","",IF(G567="",Setup!$B$5,G567)-E567)</f>
        <v/>
      </c>
      <c r="I567" s="6">
        <f>IF(D567="","",AND(LOWER(B567)="y",H567&gt;Setup!$B$4))</f>
        <v/>
      </c>
      <c r="J567" s="12">
        <f>IF(D567="","",IF(AND(I567=TRUE,G567=""),F567,0))</f>
        <v/>
      </c>
      <c r="K567" s="12">
        <f>IF(OR(D567="",G567=""),0,F567)</f>
        <v/>
      </c>
      <c r="L567" s="12">
        <f>IF(OR(D567="",G567=""),0,H567*F567)</f>
        <v/>
      </c>
    </row>
    <row r="568">
      <c r="A568" s="9" t="n"/>
      <c r="B568" s="9" t="n"/>
      <c r="C568" s="9" t="n"/>
      <c r="D568" s="9" t="n"/>
      <c r="E568" s="8" t="n"/>
      <c r="F568" s="10" t="n"/>
      <c r="G568" s="8" t="n"/>
      <c r="H568" s="11">
        <f>IF(D568="","",IF(G568="",Setup!$B$5,G568)-E568)</f>
        <v/>
      </c>
      <c r="I568" s="6">
        <f>IF(D568="","",AND(LOWER(B568)="y",H568&gt;Setup!$B$4))</f>
        <v/>
      </c>
      <c r="J568" s="12">
        <f>IF(D568="","",IF(AND(I568=TRUE,G568=""),F568,0))</f>
        <v/>
      </c>
      <c r="K568" s="12">
        <f>IF(OR(D568="",G568=""),0,F568)</f>
        <v/>
      </c>
      <c r="L568" s="12">
        <f>IF(OR(D568="",G568=""),0,H568*F568)</f>
        <v/>
      </c>
    </row>
    <row r="569">
      <c r="A569" s="9" t="n"/>
      <c r="B569" s="9" t="n"/>
      <c r="C569" s="9" t="n"/>
      <c r="D569" s="9" t="n"/>
      <c r="E569" s="8" t="n"/>
      <c r="F569" s="10" t="n"/>
      <c r="G569" s="8" t="n"/>
      <c r="H569" s="11">
        <f>IF(D569="","",IF(G569="",Setup!$B$5,G569)-E569)</f>
        <v/>
      </c>
      <c r="I569" s="6">
        <f>IF(D569="","",AND(LOWER(B569)="y",H569&gt;Setup!$B$4))</f>
        <v/>
      </c>
      <c r="J569" s="12">
        <f>IF(D569="","",IF(AND(I569=TRUE,G569=""),F569,0))</f>
        <v/>
      </c>
      <c r="K569" s="12">
        <f>IF(OR(D569="",G569=""),0,F569)</f>
        <v/>
      </c>
      <c r="L569" s="12">
        <f>IF(OR(D569="",G569=""),0,H569*F569)</f>
        <v/>
      </c>
    </row>
    <row r="570">
      <c r="A570" s="9" t="n"/>
      <c r="B570" s="9" t="n"/>
      <c r="C570" s="9" t="n"/>
      <c r="D570" s="9" t="n"/>
      <c r="E570" s="8" t="n"/>
      <c r="F570" s="10" t="n"/>
      <c r="G570" s="8" t="n"/>
      <c r="H570" s="11">
        <f>IF(D570="","",IF(G570="",Setup!$B$5,G570)-E570)</f>
        <v/>
      </c>
      <c r="I570" s="6">
        <f>IF(D570="","",AND(LOWER(B570)="y",H570&gt;Setup!$B$4))</f>
        <v/>
      </c>
      <c r="J570" s="12">
        <f>IF(D570="","",IF(AND(I570=TRUE,G570=""),F570,0))</f>
        <v/>
      </c>
      <c r="K570" s="12">
        <f>IF(OR(D570="",G570=""),0,F570)</f>
        <v/>
      </c>
      <c r="L570" s="12">
        <f>IF(OR(D570="",G570=""),0,H570*F570)</f>
        <v/>
      </c>
    </row>
    <row r="571">
      <c r="A571" s="9" t="n"/>
      <c r="B571" s="9" t="n"/>
      <c r="C571" s="9" t="n"/>
      <c r="D571" s="9" t="n"/>
      <c r="E571" s="8" t="n"/>
      <c r="F571" s="10" t="n"/>
      <c r="G571" s="8" t="n"/>
      <c r="H571" s="11">
        <f>IF(D571="","",IF(G571="",Setup!$B$5,G571)-E571)</f>
        <v/>
      </c>
      <c r="I571" s="6">
        <f>IF(D571="","",AND(LOWER(B571)="y",H571&gt;Setup!$B$4))</f>
        <v/>
      </c>
      <c r="J571" s="12">
        <f>IF(D571="","",IF(AND(I571=TRUE,G571=""),F571,0))</f>
        <v/>
      </c>
      <c r="K571" s="12">
        <f>IF(OR(D571="",G571=""),0,F571)</f>
        <v/>
      </c>
      <c r="L571" s="12">
        <f>IF(OR(D571="",G571=""),0,H571*F571)</f>
        <v/>
      </c>
    </row>
    <row r="572">
      <c r="A572" s="9" t="n"/>
      <c r="B572" s="9" t="n"/>
      <c r="C572" s="9" t="n"/>
      <c r="D572" s="9" t="n"/>
      <c r="E572" s="8" t="n"/>
      <c r="F572" s="10" t="n"/>
      <c r="G572" s="8" t="n"/>
      <c r="H572" s="11">
        <f>IF(D572="","",IF(G572="",Setup!$B$5,G572)-E572)</f>
        <v/>
      </c>
      <c r="I572" s="6">
        <f>IF(D572="","",AND(LOWER(B572)="y",H572&gt;Setup!$B$4))</f>
        <v/>
      </c>
      <c r="J572" s="12">
        <f>IF(D572="","",IF(AND(I572=TRUE,G572=""),F572,0))</f>
        <v/>
      </c>
      <c r="K572" s="12">
        <f>IF(OR(D572="",G572=""),0,F572)</f>
        <v/>
      </c>
      <c r="L572" s="12">
        <f>IF(OR(D572="",G572=""),0,H572*F572)</f>
        <v/>
      </c>
    </row>
    <row r="573">
      <c r="A573" s="9" t="n"/>
      <c r="B573" s="9" t="n"/>
      <c r="C573" s="9" t="n"/>
      <c r="D573" s="9" t="n"/>
      <c r="E573" s="8" t="n"/>
      <c r="F573" s="10" t="n"/>
      <c r="G573" s="8" t="n"/>
      <c r="H573" s="11">
        <f>IF(D573="","",IF(G573="",Setup!$B$5,G573)-E573)</f>
        <v/>
      </c>
      <c r="I573" s="6">
        <f>IF(D573="","",AND(LOWER(B573)="y",H573&gt;Setup!$B$4))</f>
        <v/>
      </c>
      <c r="J573" s="12">
        <f>IF(D573="","",IF(AND(I573=TRUE,G573=""),F573,0))</f>
        <v/>
      </c>
      <c r="K573" s="12">
        <f>IF(OR(D573="",G573=""),0,F573)</f>
        <v/>
      </c>
      <c r="L573" s="12">
        <f>IF(OR(D573="",G573=""),0,H573*F573)</f>
        <v/>
      </c>
    </row>
    <row r="574">
      <c r="A574" s="9" t="n"/>
      <c r="B574" s="9" t="n"/>
      <c r="C574" s="9" t="n"/>
      <c r="D574" s="9" t="n"/>
      <c r="E574" s="8" t="n"/>
      <c r="F574" s="10" t="n"/>
      <c r="G574" s="8" t="n"/>
      <c r="H574" s="11">
        <f>IF(D574="","",IF(G574="",Setup!$B$5,G574)-E574)</f>
        <v/>
      </c>
      <c r="I574" s="6">
        <f>IF(D574="","",AND(LOWER(B574)="y",H574&gt;Setup!$B$4))</f>
        <v/>
      </c>
      <c r="J574" s="12">
        <f>IF(D574="","",IF(AND(I574=TRUE,G574=""),F574,0))</f>
        <v/>
      </c>
      <c r="K574" s="12">
        <f>IF(OR(D574="",G574=""),0,F574)</f>
        <v/>
      </c>
      <c r="L574" s="12">
        <f>IF(OR(D574="",G574=""),0,H574*F574)</f>
        <v/>
      </c>
    </row>
    <row r="575">
      <c r="A575" s="9" t="n"/>
      <c r="B575" s="9" t="n"/>
      <c r="C575" s="9" t="n"/>
      <c r="D575" s="9" t="n"/>
      <c r="E575" s="8" t="n"/>
      <c r="F575" s="10" t="n"/>
      <c r="G575" s="8" t="n"/>
      <c r="H575" s="11">
        <f>IF(D575="","",IF(G575="",Setup!$B$5,G575)-E575)</f>
        <v/>
      </c>
      <c r="I575" s="6">
        <f>IF(D575="","",AND(LOWER(B575)="y",H575&gt;Setup!$B$4))</f>
        <v/>
      </c>
      <c r="J575" s="12">
        <f>IF(D575="","",IF(AND(I575=TRUE,G575=""),F575,0))</f>
        <v/>
      </c>
      <c r="K575" s="12">
        <f>IF(OR(D575="",G575=""),0,F575)</f>
        <v/>
      </c>
      <c r="L575" s="12">
        <f>IF(OR(D575="",G575=""),0,H575*F575)</f>
        <v/>
      </c>
    </row>
    <row r="576">
      <c r="A576" s="9" t="n"/>
      <c r="B576" s="9" t="n"/>
      <c r="C576" s="9" t="n"/>
      <c r="D576" s="9" t="n"/>
      <c r="E576" s="8" t="n"/>
      <c r="F576" s="10" t="n"/>
      <c r="G576" s="8" t="n"/>
      <c r="H576" s="11">
        <f>IF(D576="","",IF(G576="",Setup!$B$5,G576)-E576)</f>
        <v/>
      </c>
      <c r="I576" s="6">
        <f>IF(D576="","",AND(LOWER(B576)="y",H576&gt;Setup!$B$4))</f>
        <v/>
      </c>
      <c r="J576" s="12">
        <f>IF(D576="","",IF(AND(I576=TRUE,G576=""),F576,0))</f>
        <v/>
      </c>
      <c r="K576" s="12">
        <f>IF(OR(D576="",G576=""),0,F576)</f>
        <v/>
      </c>
      <c r="L576" s="12">
        <f>IF(OR(D576="",G576=""),0,H576*F576)</f>
        <v/>
      </c>
    </row>
    <row r="577">
      <c r="A577" s="9" t="n"/>
      <c r="B577" s="9" t="n"/>
      <c r="C577" s="9" t="n"/>
      <c r="D577" s="9" t="n"/>
      <c r="E577" s="8" t="n"/>
      <c r="F577" s="10" t="n"/>
      <c r="G577" s="8" t="n"/>
      <c r="H577" s="11">
        <f>IF(D577="","",IF(G577="",Setup!$B$5,G577)-E577)</f>
        <v/>
      </c>
      <c r="I577" s="6">
        <f>IF(D577="","",AND(LOWER(B577)="y",H577&gt;Setup!$B$4))</f>
        <v/>
      </c>
      <c r="J577" s="12">
        <f>IF(D577="","",IF(AND(I577=TRUE,G577=""),F577,0))</f>
        <v/>
      </c>
      <c r="K577" s="12">
        <f>IF(OR(D577="",G577=""),0,F577)</f>
        <v/>
      </c>
      <c r="L577" s="12">
        <f>IF(OR(D577="",G577=""),0,H577*F577)</f>
        <v/>
      </c>
    </row>
    <row r="578">
      <c r="A578" s="9" t="n"/>
      <c r="B578" s="9" t="n"/>
      <c r="C578" s="9" t="n"/>
      <c r="D578" s="9" t="n"/>
      <c r="E578" s="8" t="n"/>
      <c r="F578" s="10" t="n"/>
      <c r="G578" s="8" t="n"/>
      <c r="H578" s="11">
        <f>IF(D578="","",IF(G578="",Setup!$B$5,G578)-E578)</f>
        <v/>
      </c>
      <c r="I578" s="6">
        <f>IF(D578="","",AND(LOWER(B578)="y",H578&gt;Setup!$B$4))</f>
        <v/>
      </c>
      <c r="J578" s="12">
        <f>IF(D578="","",IF(AND(I578=TRUE,G578=""),F578,0))</f>
        <v/>
      </c>
      <c r="K578" s="12">
        <f>IF(OR(D578="",G578=""),0,F578)</f>
        <v/>
      </c>
      <c r="L578" s="12">
        <f>IF(OR(D578="",G578=""),0,H578*F578)</f>
        <v/>
      </c>
    </row>
    <row r="579">
      <c r="A579" s="9" t="n"/>
      <c r="B579" s="9" t="n"/>
      <c r="C579" s="9" t="n"/>
      <c r="D579" s="9" t="n"/>
      <c r="E579" s="8" t="n"/>
      <c r="F579" s="10" t="n"/>
      <c r="G579" s="8" t="n"/>
      <c r="H579" s="11">
        <f>IF(D579="","",IF(G579="",Setup!$B$5,G579)-E579)</f>
        <v/>
      </c>
      <c r="I579" s="6">
        <f>IF(D579="","",AND(LOWER(B579)="y",H579&gt;Setup!$B$4))</f>
        <v/>
      </c>
      <c r="J579" s="12">
        <f>IF(D579="","",IF(AND(I579=TRUE,G579=""),F579,0))</f>
        <v/>
      </c>
      <c r="K579" s="12">
        <f>IF(OR(D579="",G579=""),0,F579)</f>
        <v/>
      </c>
      <c r="L579" s="12">
        <f>IF(OR(D579="",G579=""),0,H579*F579)</f>
        <v/>
      </c>
    </row>
    <row r="580">
      <c r="A580" s="9" t="n"/>
      <c r="B580" s="9" t="n"/>
      <c r="C580" s="9" t="n"/>
      <c r="D580" s="9" t="n"/>
      <c r="E580" s="8" t="n"/>
      <c r="F580" s="10" t="n"/>
      <c r="G580" s="8" t="n"/>
      <c r="H580" s="11">
        <f>IF(D580="","",IF(G580="",Setup!$B$5,G580)-E580)</f>
        <v/>
      </c>
      <c r="I580" s="6">
        <f>IF(D580="","",AND(LOWER(B580)="y",H580&gt;Setup!$B$4))</f>
        <v/>
      </c>
      <c r="J580" s="12">
        <f>IF(D580="","",IF(AND(I580=TRUE,G580=""),F580,0))</f>
        <v/>
      </c>
      <c r="K580" s="12">
        <f>IF(OR(D580="",G580=""),0,F580)</f>
        <v/>
      </c>
      <c r="L580" s="12">
        <f>IF(OR(D580="",G580=""),0,H580*F580)</f>
        <v/>
      </c>
    </row>
    <row r="581">
      <c r="A581" s="9" t="n"/>
      <c r="B581" s="9" t="n"/>
      <c r="C581" s="9" t="n"/>
      <c r="D581" s="9" t="n"/>
      <c r="E581" s="8" t="n"/>
      <c r="F581" s="10" t="n"/>
      <c r="G581" s="8" t="n"/>
      <c r="H581" s="11">
        <f>IF(D581="","",IF(G581="",Setup!$B$5,G581)-E581)</f>
        <v/>
      </c>
      <c r="I581" s="6">
        <f>IF(D581="","",AND(LOWER(B581)="y",H581&gt;Setup!$B$4))</f>
        <v/>
      </c>
      <c r="J581" s="12">
        <f>IF(D581="","",IF(AND(I581=TRUE,G581=""),F581,0))</f>
        <v/>
      </c>
      <c r="K581" s="12">
        <f>IF(OR(D581="",G581=""),0,F581)</f>
        <v/>
      </c>
      <c r="L581" s="12">
        <f>IF(OR(D581="",G581=""),0,H581*F581)</f>
        <v/>
      </c>
    </row>
    <row r="582">
      <c r="A582" s="9" t="n"/>
      <c r="B582" s="9" t="n"/>
      <c r="C582" s="9" t="n"/>
      <c r="D582" s="9" t="n"/>
      <c r="E582" s="8" t="n"/>
      <c r="F582" s="10" t="n"/>
      <c r="G582" s="8" t="n"/>
      <c r="H582" s="11">
        <f>IF(D582="","",IF(G582="",Setup!$B$5,G582)-E582)</f>
        <v/>
      </c>
      <c r="I582" s="6">
        <f>IF(D582="","",AND(LOWER(B582)="y",H582&gt;Setup!$B$4))</f>
        <v/>
      </c>
      <c r="J582" s="12">
        <f>IF(D582="","",IF(AND(I582=TRUE,G582=""),F582,0))</f>
        <v/>
      </c>
      <c r="K582" s="12">
        <f>IF(OR(D582="",G582=""),0,F582)</f>
        <v/>
      </c>
      <c r="L582" s="12">
        <f>IF(OR(D582="",G582=""),0,H582*F582)</f>
        <v/>
      </c>
    </row>
    <row r="583">
      <c r="A583" s="9" t="n"/>
      <c r="B583" s="9" t="n"/>
      <c r="C583" s="9" t="n"/>
      <c r="D583" s="9" t="n"/>
      <c r="E583" s="8" t="n"/>
      <c r="F583" s="10" t="n"/>
      <c r="G583" s="8" t="n"/>
      <c r="H583" s="11">
        <f>IF(D583="","",IF(G583="",Setup!$B$5,G583)-E583)</f>
        <v/>
      </c>
      <c r="I583" s="6">
        <f>IF(D583="","",AND(LOWER(B583)="y",H583&gt;Setup!$B$4))</f>
        <v/>
      </c>
      <c r="J583" s="12">
        <f>IF(D583="","",IF(AND(I583=TRUE,G583=""),F583,0))</f>
        <v/>
      </c>
      <c r="K583" s="12">
        <f>IF(OR(D583="",G583=""),0,F583)</f>
        <v/>
      </c>
      <c r="L583" s="12">
        <f>IF(OR(D583="",G583=""),0,H583*F583)</f>
        <v/>
      </c>
    </row>
    <row r="584">
      <c r="A584" s="9" t="n"/>
      <c r="B584" s="9" t="n"/>
      <c r="C584" s="9" t="n"/>
      <c r="D584" s="9" t="n"/>
      <c r="E584" s="8" t="n"/>
      <c r="F584" s="10" t="n"/>
      <c r="G584" s="8" t="n"/>
      <c r="H584" s="11">
        <f>IF(D584="","",IF(G584="",Setup!$B$5,G584)-E584)</f>
        <v/>
      </c>
      <c r="I584" s="6">
        <f>IF(D584="","",AND(LOWER(B584)="y",H584&gt;Setup!$B$4))</f>
        <v/>
      </c>
      <c r="J584" s="12">
        <f>IF(D584="","",IF(AND(I584=TRUE,G584=""),F584,0))</f>
        <v/>
      </c>
      <c r="K584" s="12">
        <f>IF(OR(D584="",G584=""),0,F584)</f>
        <v/>
      </c>
      <c r="L584" s="12">
        <f>IF(OR(D584="",G584=""),0,H584*F584)</f>
        <v/>
      </c>
    </row>
    <row r="585">
      <c r="A585" s="9" t="n"/>
      <c r="B585" s="9" t="n"/>
      <c r="C585" s="9" t="n"/>
      <c r="D585" s="9" t="n"/>
      <c r="E585" s="8" t="n"/>
      <c r="F585" s="10" t="n"/>
      <c r="G585" s="8" t="n"/>
      <c r="H585" s="11">
        <f>IF(D585="","",IF(G585="",Setup!$B$5,G585)-E585)</f>
        <v/>
      </c>
      <c r="I585" s="6">
        <f>IF(D585="","",AND(LOWER(B585)="y",H585&gt;Setup!$B$4))</f>
        <v/>
      </c>
      <c r="J585" s="12">
        <f>IF(D585="","",IF(AND(I585=TRUE,G585=""),F585,0))</f>
        <v/>
      </c>
      <c r="K585" s="12">
        <f>IF(OR(D585="",G585=""),0,F585)</f>
        <v/>
      </c>
      <c r="L585" s="12">
        <f>IF(OR(D585="",G585=""),0,H585*F585)</f>
        <v/>
      </c>
    </row>
    <row r="586">
      <c r="A586" s="9" t="n"/>
      <c r="B586" s="9" t="n"/>
      <c r="C586" s="9" t="n"/>
      <c r="D586" s="9" t="n"/>
      <c r="E586" s="8" t="n"/>
      <c r="F586" s="10" t="n"/>
      <c r="G586" s="8" t="n"/>
      <c r="H586" s="11">
        <f>IF(D586="","",IF(G586="",Setup!$B$5,G586)-E586)</f>
        <v/>
      </c>
      <c r="I586" s="6">
        <f>IF(D586="","",AND(LOWER(B586)="y",H586&gt;Setup!$B$4))</f>
        <v/>
      </c>
      <c r="J586" s="12">
        <f>IF(D586="","",IF(AND(I586=TRUE,G586=""),F586,0))</f>
        <v/>
      </c>
      <c r="K586" s="12">
        <f>IF(OR(D586="",G586=""),0,F586)</f>
        <v/>
      </c>
      <c r="L586" s="12">
        <f>IF(OR(D586="",G586=""),0,H586*F586)</f>
        <v/>
      </c>
    </row>
    <row r="587">
      <c r="A587" s="9" t="n"/>
      <c r="B587" s="9" t="n"/>
      <c r="C587" s="9" t="n"/>
      <c r="D587" s="9" t="n"/>
      <c r="E587" s="8" t="n"/>
      <c r="F587" s="10" t="n"/>
      <c r="G587" s="8" t="n"/>
      <c r="H587" s="11">
        <f>IF(D587="","",IF(G587="",Setup!$B$5,G587)-E587)</f>
        <v/>
      </c>
      <c r="I587" s="6">
        <f>IF(D587="","",AND(LOWER(B587)="y",H587&gt;Setup!$B$4))</f>
        <v/>
      </c>
      <c r="J587" s="12">
        <f>IF(D587="","",IF(AND(I587=TRUE,G587=""),F587,0))</f>
        <v/>
      </c>
      <c r="K587" s="12">
        <f>IF(OR(D587="",G587=""),0,F587)</f>
        <v/>
      </c>
      <c r="L587" s="12">
        <f>IF(OR(D587="",G587=""),0,H587*F587)</f>
        <v/>
      </c>
    </row>
    <row r="588">
      <c r="A588" s="9" t="n"/>
      <c r="B588" s="9" t="n"/>
      <c r="C588" s="9" t="n"/>
      <c r="D588" s="9" t="n"/>
      <c r="E588" s="8" t="n"/>
      <c r="F588" s="10" t="n"/>
      <c r="G588" s="8" t="n"/>
      <c r="H588" s="11">
        <f>IF(D588="","",IF(G588="",Setup!$B$5,G588)-E588)</f>
        <v/>
      </c>
      <c r="I588" s="6">
        <f>IF(D588="","",AND(LOWER(B588)="y",H588&gt;Setup!$B$4))</f>
        <v/>
      </c>
      <c r="J588" s="12">
        <f>IF(D588="","",IF(AND(I588=TRUE,G588=""),F588,0))</f>
        <v/>
      </c>
      <c r="K588" s="12">
        <f>IF(OR(D588="",G588=""),0,F588)</f>
        <v/>
      </c>
      <c r="L588" s="12">
        <f>IF(OR(D588="",G588=""),0,H588*F588)</f>
        <v/>
      </c>
    </row>
    <row r="589">
      <c r="A589" s="9" t="n"/>
      <c r="B589" s="9" t="n"/>
      <c r="C589" s="9" t="n"/>
      <c r="D589" s="9" t="n"/>
      <c r="E589" s="8" t="n"/>
      <c r="F589" s="10" t="n"/>
      <c r="G589" s="8" t="n"/>
      <c r="H589" s="11">
        <f>IF(D589="","",IF(G589="",Setup!$B$5,G589)-E589)</f>
        <v/>
      </c>
      <c r="I589" s="6">
        <f>IF(D589="","",AND(LOWER(B589)="y",H589&gt;Setup!$B$4))</f>
        <v/>
      </c>
      <c r="J589" s="12">
        <f>IF(D589="","",IF(AND(I589=TRUE,G589=""),F589,0))</f>
        <v/>
      </c>
      <c r="K589" s="12">
        <f>IF(OR(D589="",G589=""),0,F589)</f>
        <v/>
      </c>
      <c r="L589" s="12">
        <f>IF(OR(D589="",G589=""),0,H589*F589)</f>
        <v/>
      </c>
    </row>
    <row r="590">
      <c r="A590" s="9" t="n"/>
      <c r="B590" s="9" t="n"/>
      <c r="C590" s="9" t="n"/>
      <c r="D590" s="9" t="n"/>
      <c r="E590" s="8" t="n"/>
      <c r="F590" s="10" t="n"/>
      <c r="G590" s="8" t="n"/>
      <c r="H590" s="11">
        <f>IF(D590="","",IF(G590="",Setup!$B$5,G590)-E590)</f>
        <v/>
      </c>
      <c r="I590" s="6">
        <f>IF(D590="","",AND(LOWER(B590)="y",H590&gt;Setup!$B$4))</f>
        <v/>
      </c>
      <c r="J590" s="12">
        <f>IF(D590="","",IF(AND(I590=TRUE,G590=""),F590,0))</f>
        <v/>
      </c>
      <c r="K590" s="12">
        <f>IF(OR(D590="",G590=""),0,F590)</f>
        <v/>
      </c>
      <c r="L590" s="12">
        <f>IF(OR(D590="",G590=""),0,H590*F590)</f>
        <v/>
      </c>
    </row>
    <row r="591">
      <c r="A591" s="9" t="n"/>
      <c r="B591" s="9" t="n"/>
      <c r="C591" s="9" t="n"/>
      <c r="D591" s="9" t="n"/>
      <c r="E591" s="8" t="n"/>
      <c r="F591" s="10" t="n"/>
      <c r="G591" s="8" t="n"/>
      <c r="H591" s="11">
        <f>IF(D591="","",IF(G591="",Setup!$B$5,G591)-E591)</f>
        <v/>
      </c>
      <c r="I591" s="6">
        <f>IF(D591="","",AND(LOWER(B591)="y",H591&gt;Setup!$B$4))</f>
        <v/>
      </c>
      <c r="J591" s="12">
        <f>IF(D591="","",IF(AND(I591=TRUE,G591=""),F591,0))</f>
        <v/>
      </c>
      <c r="K591" s="12">
        <f>IF(OR(D591="",G591=""),0,F591)</f>
        <v/>
      </c>
      <c r="L591" s="12">
        <f>IF(OR(D591="",G591=""),0,H591*F591)</f>
        <v/>
      </c>
    </row>
    <row r="592">
      <c r="A592" s="9" t="n"/>
      <c r="B592" s="9" t="n"/>
      <c r="C592" s="9" t="n"/>
      <c r="D592" s="9" t="n"/>
      <c r="E592" s="8" t="n"/>
      <c r="F592" s="10" t="n"/>
      <c r="G592" s="8" t="n"/>
      <c r="H592" s="11">
        <f>IF(D592="","",IF(G592="",Setup!$B$5,G592)-E592)</f>
        <v/>
      </c>
      <c r="I592" s="6">
        <f>IF(D592="","",AND(LOWER(B592)="y",H592&gt;Setup!$B$4))</f>
        <v/>
      </c>
      <c r="J592" s="12">
        <f>IF(D592="","",IF(AND(I592=TRUE,G592=""),F592,0))</f>
        <v/>
      </c>
      <c r="K592" s="12">
        <f>IF(OR(D592="",G592=""),0,F592)</f>
        <v/>
      </c>
      <c r="L592" s="12">
        <f>IF(OR(D592="",G592=""),0,H592*F592)</f>
        <v/>
      </c>
    </row>
    <row r="593">
      <c r="A593" s="9" t="n"/>
      <c r="B593" s="9" t="n"/>
      <c r="C593" s="9" t="n"/>
      <c r="D593" s="9" t="n"/>
      <c r="E593" s="8" t="n"/>
      <c r="F593" s="10" t="n"/>
      <c r="G593" s="8" t="n"/>
      <c r="H593" s="11">
        <f>IF(D593="","",IF(G593="",Setup!$B$5,G593)-E593)</f>
        <v/>
      </c>
      <c r="I593" s="6">
        <f>IF(D593="","",AND(LOWER(B593)="y",H593&gt;Setup!$B$4))</f>
        <v/>
      </c>
      <c r="J593" s="12">
        <f>IF(D593="","",IF(AND(I593=TRUE,G593=""),F593,0))</f>
        <v/>
      </c>
      <c r="K593" s="12">
        <f>IF(OR(D593="",G593=""),0,F593)</f>
        <v/>
      </c>
      <c r="L593" s="12">
        <f>IF(OR(D593="",G593=""),0,H593*F593)</f>
        <v/>
      </c>
    </row>
    <row r="594">
      <c r="A594" s="9" t="n"/>
      <c r="B594" s="9" t="n"/>
      <c r="C594" s="9" t="n"/>
      <c r="D594" s="9" t="n"/>
      <c r="E594" s="8" t="n"/>
      <c r="F594" s="10" t="n"/>
      <c r="G594" s="8" t="n"/>
      <c r="H594" s="11">
        <f>IF(D594="","",IF(G594="",Setup!$B$5,G594)-E594)</f>
        <v/>
      </c>
      <c r="I594" s="6">
        <f>IF(D594="","",AND(LOWER(B594)="y",H594&gt;Setup!$B$4))</f>
        <v/>
      </c>
      <c r="J594" s="12">
        <f>IF(D594="","",IF(AND(I594=TRUE,G594=""),F594,0))</f>
        <v/>
      </c>
      <c r="K594" s="12">
        <f>IF(OR(D594="",G594=""),0,F594)</f>
        <v/>
      </c>
      <c r="L594" s="12">
        <f>IF(OR(D594="",G594=""),0,H594*F594)</f>
        <v/>
      </c>
    </row>
    <row r="595">
      <c r="A595" s="9" t="n"/>
      <c r="B595" s="9" t="n"/>
      <c r="C595" s="9" t="n"/>
      <c r="D595" s="9" t="n"/>
      <c r="E595" s="8" t="n"/>
      <c r="F595" s="10" t="n"/>
      <c r="G595" s="8" t="n"/>
      <c r="H595" s="11">
        <f>IF(D595="","",IF(G595="",Setup!$B$5,G595)-E595)</f>
        <v/>
      </c>
      <c r="I595" s="6">
        <f>IF(D595="","",AND(LOWER(B595)="y",H595&gt;Setup!$B$4))</f>
        <v/>
      </c>
      <c r="J595" s="12">
        <f>IF(D595="","",IF(AND(I595=TRUE,G595=""),F595,0))</f>
        <v/>
      </c>
      <c r="K595" s="12">
        <f>IF(OR(D595="",G595=""),0,F595)</f>
        <v/>
      </c>
      <c r="L595" s="12">
        <f>IF(OR(D595="",G595=""),0,H595*F595)</f>
        <v/>
      </c>
    </row>
    <row r="596">
      <c r="A596" s="9" t="n"/>
      <c r="B596" s="9" t="n"/>
      <c r="C596" s="9" t="n"/>
      <c r="D596" s="9" t="n"/>
      <c r="E596" s="8" t="n"/>
      <c r="F596" s="10" t="n"/>
      <c r="G596" s="8" t="n"/>
      <c r="H596" s="11">
        <f>IF(D596="","",IF(G596="",Setup!$B$5,G596)-E596)</f>
        <v/>
      </c>
      <c r="I596" s="6">
        <f>IF(D596="","",AND(LOWER(B596)="y",H596&gt;Setup!$B$4))</f>
        <v/>
      </c>
      <c r="J596" s="12">
        <f>IF(D596="","",IF(AND(I596=TRUE,G596=""),F596,0))</f>
        <v/>
      </c>
      <c r="K596" s="12">
        <f>IF(OR(D596="",G596=""),0,F596)</f>
        <v/>
      </c>
      <c r="L596" s="12">
        <f>IF(OR(D596="",G596=""),0,H596*F596)</f>
        <v/>
      </c>
    </row>
    <row r="597">
      <c r="A597" s="9" t="n"/>
      <c r="B597" s="9" t="n"/>
      <c r="C597" s="9" t="n"/>
      <c r="D597" s="9" t="n"/>
      <c r="E597" s="8" t="n"/>
      <c r="F597" s="10" t="n"/>
      <c r="G597" s="8" t="n"/>
      <c r="H597" s="11">
        <f>IF(D597="","",IF(G597="",Setup!$B$5,G597)-E597)</f>
        <v/>
      </c>
      <c r="I597" s="6">
        <f>IF(D597="","",AND(LOWER(B597)="y",H597&gt;Setup!$B$4))</f>
        <v/>
      </c>
      <c r="J597" s="12">
        <f>IF(D597="","",IF(AND(I597=TRUE,G597=""),F597,0))</f>
        <v/>
      </c>
      <c r="K597" s="12">
        <f>IF(OR(D597="",G597=""),0,F597)</f>
        <v/>
      </c>
      <c r="L597" s="12">
        <f>IF(OR(D597="",G597=""),0,H597*F597)</f>
        <v/>
      </c>
    </row>
    <row r="598">
      <c r="A598" s="9" t="n"/>
      <c r="B598" s="9" t="n"/>
      <c r="C598" s="9" t="n"/>
      <c r="D598" s="9" t="n"/>
      <c r="E598" s="8" t="n"/>
      <c r="F598" s="10" t="n"/>
      <c r="G598" s="8" t="n"/>
      <c r="H598" s="11">
        <f>IF(D598="","",IF(G598="",Setup!$B$5,G598)-E598)</f>
        <v/>
      </c>
      <c r="I598" s="6">
        <f>IF(D598="","",AND(LOWER(B598)="y",H598&gt;Setup!$B$4))</f>
        <v/>
      </c>
      <c r="J598" s="12">
        <f>IF(D598="","",IF(AND(I598=TRUE,G598=""),F598,0))</f>
        <v/>
      </c>
      <c r="K598" s="12">
        <f>IF(OR(D598="",G598=""),0,F598)</f>
        <v/>
      </c>
      <c r="L598" s="12">
        <f>IF(OR(D598="",G598=""),0,H598*F598)</f>
        <v/>
      </c>
    </row>
    <row r="599">
      <c r="A599" s="9" t="n"/>
      <c r="B599" s="9" t="n"/>
      <c r="C599" s="9" t="n"/>
      <c r="D599" s="9" t="n"/>
      <c r="E599" s="8" t="n"/>
      <c r="F599" s="10" t="n"/>
      <c r="G599" s="8" t="n"/>
      <c r="H599" s="11">
        <f>IF(D599="","",IF(G599="",Setup!$B$5,G599)-E599)</f>
        <v/>
      </c>
      <c r="I599" s="6">
        <f>IF(D599="","",AND(LOWER(B599)="y",H599&gt;Setup!$B$4))</f>
        <v/>
      </c>
      <c r="J599" s="12">
        <f>IF(D599="","",IF(AND(I599=TRUE,G599=""),F599,0))</f>
        <v/>
      </c>
      <c r="K599" s="12">
        <f>IF(OR(D599="",G599=""),0,F599)</f>
        <v/>
      </c>
      <c r="L599" s="12">
        <f>IF(OR(D599="",G599=""),0,H599*F599)</f>
        <v/>
      </c>
    </row>
    <row r="600">
      <c r="A600" s="9" t="n"/>
      <c r="B600" s="9" t="n"/>
      <c r="C600" s="9" t="n"/>
      <c r="D600" s="9" t="n"/>
      <c r="E600" s="8" t="n"/>
      <c r="F600" s="10" t="n"/>
      <c r="G600" s="8" t="n"/>
      <c r="H600" s="11">
        <f>IF(D600="","",IF(G600="",Setup!$B$5,G600)-E600)</f>
        <v/>
      </c>
      <c r="I600" s="6">
        <f>IF(D600="","",AND(LOWER(B600)="y",H600&gt;Setup!$B$4))</f>
        <v/>
      </c>
      <c r="J600" s="12">
        <f>IF(D600="","",IF(AND(I600=TRUE,G600=""),F600,0))</f>
        <v/>
      </c>
      <c r="K600" s="12">
        <f>IF(OR(D600="",G600=""),0,F600)</f>
        <v/>
      </c>
      <c r="L600" s="12">
        <f>IF(OR(D600="",G600=""),0,H600*F600)</f>
        <v/>
      </c>
    </row>
    <row r="601">
      <c r="A601" s="9" t="n"/>
      <c r="B601" s="9" t="n"/>
      <c r="C601" s="9" t="n"/>
      <c r="D601" s="9" t="n"/>
      <c r="E601" s="8" t="n"/>
      <c r="F601" s="10" t="n"/>
      <c r="G601" s="8" t="n"/>
      <c r="H601" s="11">
        <f>IF(D601="","",IF(G601="",Setup!$B$5,G601)-E601)</f>
        <v/>
      </c>
      <c r="I601" s="6">
        <f>IF(D601="","",AND(LOWER(B601)="y",H601&gt;Setup!$B$4))</f>
        <v/>
      </c>
      <c r="J601" s="12">
        <f>IF(D601="","",IF(AND(I601=TRUE,G601=""),F601,0))</f>
        <v/>
      </c>
      <c r="K601" s="12">
        <f>IF(OR(D601="",G601=""),0,F601)</f>
        <v/>
      </c>
      <c r="L601" s="12">
        <f>IF(OR(D601="",G601=""),0,H601*F601)</f>
        <v/>
      </c>
    </row>
    <row r="602">
      <c r="A602" s="9" t="n"/>
      <c r="B602" s="9" t="n"/>
      <c r="C602" s="9" t="n"/>
      <c r="D602" s="9" t="n"/>
      <c r="E602" s="8" t="n"/>
      <c r="F602" s="10" t="n"/>
      <c r="G602" s="8" t="n"/>
      <c r="H602" s="11">
        <f>IF(D602="","",IF(G602="",Setup!$B$5,G602)-E602)</f>
        <v/>
      </c>
      <c r="I602" s="6">
        <f>IF(D602="","",AND(LOWER(B602)="y",H602&gt;Setup!$B$4))</f>
        <v/>
      </c>
      <c r="J602" s="12">
        <f>IF(D602="","",IF(AND(I602=TRUE,G602=""),F602,0))</f>
        <v/>
      </c>
      <c r="K602" s="12">
        <f>IF(OR(D602="",G602=""),0,F602)</f>
        <v/>
      </c>
      <c r="L602" s="12">
        <f>IF(OR(D602="",G602=""),0,H602*F602)</f>
        <v/>
      </c>
    </row>
    <row r="603">
      <c r="A603" s="9" t="n"/>
      <c r="B603" s="9" t="n"/>
      <c r="C603" s="9" t="n"/>
      <c r="D603" s="9" t="n"/>
      <c r="E603" s="8" t="n"/>
      <c r="F603" s="10" t="n"/>
      <c r="G603" s="8" t="n"/>
      <c r="H603" s="11">
        <f>IF(D603="","",IF(G603="",Setup!$B$5,G603)-E603)</f>
        <v/>
      </c>
      <c r="I603" s="6">
        <f>IF(D603="","",AND(LOWER(B603)="y",H603&gt;Setup!$B$4))</f>
        <v/>
      </c>
      <c r="J603" s="12">
        <f>IF(D603="","",IF(AND(I603=TRUE,G603=""),F603,0))</f>
        <v/>
      </c>
      <c r="K603" s="12">
        <f>IF(OR(D603="",G603=""),0,F603)</f>
        <v/>
      </c>
      <c r="L603" s="12">
        <f>IF(OR(D603="",G603=""),0,H603*F603)</f>
        <v/>
      </c>
    </row>
    <row r="604">
      <c r="A604" s="9" t="n"/>
      <c r="B604" s="9" t="n"/>
      <c r="C604" s="9" t="n"/>
      <c r="D604" s="9" t="n"/>
      <c r="E604" s="8" t="n"/>
      <c r="F604" s="10" t="n"/>
      <c r="G604" s="8" t="n"/>
      <c r="H604" s="11">
        <f>IF(D604="","",IF(G604="",Setup!$B$5,G604)-E604)</f>
        <v/>
      </c>
      <c r="I604" s="6">
        <f>IF(D604="","",AND(LOWER(B604)="y",H604&gt;Setup!$B$4))</f>
        <v/>
      </c>
      <c r="J604" s="12">
        <f>IF(D604="","",IF(AND(I604=TRUE,G604=""),F604,0))</f>
        <v/>
      </c>
      <c r="K604" s="12">
        <f>IF(OR(D604="",G604=""),0,F604)</f>
        <v/>
      </c>
      <c r="L604" s="12">
        <f>IF(OR(D604="",G604=""),0,H604*F604)</f>
        <v/>
      </c>
    </row>
    <row r="605">
      <c r="A605" s="9" t="n"/>
      <c r="B605" s="9" t="n"/>
      <c r="C605" s="9" t="n"/>
      <c r="D605" s="9" t="n"/>
      <c r="E605" s="8" t="n"/>
      <c r="F605" s="10" t="n"/>
      <c r="G605" s="8" t="n"/>
      <c r="H605" s="11">
        <f>IF(D605="","",IF(G605="",Setup!$B$5,G605)-E605)</f>
        <v/>
      </c>
      <c r="I605" s="6">
        <f>IF(D605="","",AND(LOWER(B605)="y",H605&gt;Setup!$B$4))</f>
        <v/>
      </c>
      <c r="J605" s="12">
        <f>IF(D605="","",IF(AND(I605=TRUE,G605=""),F605,0))</f>
        <v/>
      </c>
      <c r="K605" s="12">
        <f>IF(OR(D605="",G605=""),0,F605)</f>
        <v/>
      </c>
      <c r="L605" s="12">
        <f>IF(OR(D605="",G605=""),0,H605*F605)</f>
        <v/>
      </c>
    </row>
    <row r="606">
      <c r="A606" s="9" t="n"/>
      <c r="B606" s="9" t="n"/>
      <c r="C606" s="9" t="n"/>
      <c r="D606" s="9" t="n"/>
      <c r="E606" s="8" t="n"/>
      <c r="F606" s="10" t="n"/>
      <c r="G606" s="8" t="n"/>
      <c r="H606" s="11">
        <f>IF(D606="","",IF(G606="",Setup!$B$5,G606)-E606)</f>
        <v/>
      </c>
      <c r="I606" s="6">
        <f>IF(D606="","",AND(LOWER(B606)="y",H606&gt;Setup!$B$4))</f>
        <v/>
      </c>
      <c r="J606" s="12">
        <f>IF(D606="","",IF(AND(I606=TRUE,G606=""),F606,0))</f>
        <v/>
      </c>
      <c r="K606" s="12">
        <f>IF(OR(D606="",G606=""),0,F606)</f>
        <v/>
      </c>
      <c r="L606" s="12">
        <f>IF(OR(D606="",G606=""),0,H606*F606)</f>
        <v/>
      </c>
    </row>
    <row r="607">
      <c r="A607" s="9" t="n"/>
      <c r="B607" s="9" t="n"/>
      <c r="C607" s="9" t="n"/>
      <c r="D607" s="9" t="n"/>
      <c r="E607" s="8" t="n"/>
      <c r="F607" s="10" t="n"/>
      <c r="G607" s="8" t="n"/>
      <c r="H607" s="11">
        <f>IF(D607="","",IF(G607="",Setup!$B$5,G607)-E607)</f>
        <v/>
      </c>
      <c r="I607" s="6">
        <f>IF(D607="","",AND(LOWER(B607)="y",H607&gt;Setup!$B$4))</f>
        <v/>
      </c>
      <c r="J607" s="12">
        <f>IF(D607="","",IF(AND(I607=TRUE,G607=""),F607,0))</f>
        <v/>
      </c>
      <c r="K607" s="12">
        <f>IF(OR(D607="",G607=""),0,F607)</f>
        <v/>
      </c>
      <c r="L607" s="12">
        <f>IF(OR(D607="",G607=""),0,H607*F607)</f>
        <v/>
      </c>
    </row>
    <row r="608">
      <c r="A608" s="9" t="n"/>
      <c r="B608" s="9" t="n"/>
      <c r="C608" s="9" t="n"/>
      <c r="D608" s="9" t="n"/>
      <c r="E608" s="8" t="n"/>
      <c r="F608" s="10" t="n"/>
      <c r="G608" s="8" t="n"/>
      <c r="H608" s="11">
        <f>IF(D608="","",IF(G608="",Setup!$B$5,G608)-E608)</f>
        <v/>
      </c>
      <c r="I608" s="6">
        <f>IF(D608="","",AND(LOWER(B608)="y",H608&gt;Setup!$B$4))</f>
        <v/>
      </c>
      <c r="J608" s="12">
        <f>IF(D608="","",IF(AND(I608=TRUE,G608=""),F608,0))</f>
        <v/>
      </c>
      <c r="K608" s="12">
        <f>IF(OR(D608="",G608=""),0,F608)</f>
        <v/>
      </c>
      <c r="L608" s="12">
        <f>IF(OR(D608="",G608=""),0,H608*F608)</f>
        <v/>
      </c>
    </row>
    <row r="609">
      <c r="A609" s="9" t="n"/>
      <c r="B609" s="9" t="n"/>
      <c r="C609" s="9" t="n"/>
      <c r="D609" s="9" t="n"/>
      <c r="E609" s="8" t="n"/>
      <c r="F609" s="10" t="n"/>
      <c r="G609" s="8" t="n"/>
      <c r="H609" s="11">
        <f>IF(D609="","",IF(G609="",Setup!$B$5,G609)-E609)</f>
        <v/>
      </c>
      <c r="I609" s="6">
        <f>IF(D609="","",AND(LOWER(B609)="y",H609&gt;Setup!$B$4))</f>
        <v/>
      </c>
      <c r="J609" s="12">
        <f>IF(D609="","",IF(AND(I609=TRUE,G609=""),F609,0))</f>
        <v/>
      </c>
      <c r="K609" s="12">
        <f>IF(OR(D609="",G609=""),0,F609)</f>
        <v/>
      </c>
      <c r="L609" s="12">
        <f>IF(OR(D609="",G609=""),0,H609*F609)</f>
        <v/>
      </c>
    </row>
    <row r="610">
      <c r="A610" s="9" t="n"/>
      <c r="B610" s="9" t="n"/>
      <c r="C610" s="9" t="n"/>
      <c r="D610" s="9" t="n"/>
      <c r="E610" s="8" t="n"/>
      <c r="F610" s="10" t="n"/>
      <c r="G610" s="8" t="n"/>
      <c r="H610" s="11">
        <f>IF(D610="","",IF(G610="",Setup!$B$5,G610)-E610)</f>
        <v/>
      </c>
      <c r="I610" s="6">
        <f>IF(D610="","",AND(LOWER(B610)="y",H610&gt;Setup!$B$4))</f>
        <v/>
      </c>
      <c r="J610" s="12">
        <f>IF(D610="","",IF(AND(I610=TRUE,G610=""),F610,0))</f>
        <v/>
      </c>
      <c r="K610" s="12">
        <f>IF(OR(D610="",G610=""),0,F610)</f>
        <v/>
      </c>
      <c r="L610" s="12">
        <f>IF(OR(D610="",G610=""),0,H610*F610)</f>
        <v/>
      </c>
    </row>
    <row r="611">
      <c r="A611" s="9" t="n"/>
      <c r="B611" s="9" t="n"/>
      <c r="C611" s="9" t="n"/>
      <c r="D611" s="9" t="n"/>
      <c r="E611" s="8" t="n"/>
      <c r="F611" s="10" t="n"/>
      <c r="G611" s="8" t="n"/>
      <c r="H611" s="11">
        <f>IF(D611="","",IF(G611="",Setup!$B$5,G611)-E611)</f>
        <v/>
      </c>
      <c r="I611" s="6">
        <f>IF(D611="","",AND(LOWER(B611)="y",H611&gt;Setup!$B$4))</f>
        <v/>
      </c>
      <c r="J611" s="12">
        <f>IF(D611="","",IF(AND(I611=TRUE,G611=""),F611,0))</f>
        <v/>
      </c>
      <c r="K611" s="12">
        <f>IF(OR(D611="",G611=""),0,F611)</f>
        <v/>
      </c>
      <c r="L611" s="12">
        <f>IF(OR(D611="",G611=""),0,H611*F611)</f>
        <v/>
      </c>
    </row>
    <row r="612">
      <c r="A612" s="9" t="n"/>
      <c r="B612" s="9" t="n"/>
      <c r="C612" s="9" t="n"/>
      <c r="D612" s="9" t="n"/>
      <c r="E612" s="8" t="n"/>
      <c r="F612" s="10" t="n"/>
      <c r="G612" s="8" t="n"/>
      <c r="H612" s="11">
        <f>IF(D612="","",IF(G612="",Setup!$B$5,G612)-E612)</f>
        <v/>
      </c>
      <c r="I612" s="6">
        <f>IF(D612="","",AND(LOWER(B612)="y",H612&gt;Setup!$B$4))</f>
        <v/>
      </c>
      <c r="J612" s="12">
        <f>IF(D612="","",IF(AND(I612=TRUE,G612=""),F612,0))</f>
        <v/>
      </c>
      <c r="K612" s="12">
        <f>IF(OR(D612="",G612=""),0,F612)</f>
        <v/>
      </c>
      <c r="L612" s="12">
        <f>IF(OR(D612="",G612=""),0,H612*F612)</f>
        <v/>
      </c>
    </row>
    <row r="613">
      <c r="A613" s="9" t="n"/>
      <c r="B613" s="9" t="n"/>
      <c r="C613" s="9" t="n"/>
      <c r="D613" s="9" t="n"/>
      <c r="E613" s="8" t="n"/>
      <c r="F613" s="10" t="n"/>
      <c r="G613" s="8" t="n"/>
      <c r="H613" s="11">
        <f>IF(D613="","",IF(G613="",Setup!$B$5,G613)-E613)</f>
        <v/>
      </c>
      <c r="I613" s="6">
        <f>IF(D613="","",AND(LOWER(B613)="y",H613&gt;Setup!$B$4))</f>
        <v/>
      </c>
      <c r="J613" s="12">
        <f>IF(D613="","",IF(AND(I613=TRUE,G613=""),F613,0))</f>
        <v/>
      </c>
      <c r="K613" s="12">
        <f>IF(OR(D613="",G613=""),0,F613)</f>
        <v/>
      </c>
      <c r="L613" s="12">
        <f>IF(OR(D613="",G613=""),0,H613*F613)</f>
        <v/>
      </c>
    </row>
    <row r="614">
      <c r="A614" s="9" t="n"/>
      <c r="B614" s="9" t="n"/>
      <c r="C614" s="9" t="n"/>
      <c r="D614" s="9" t="n"/>
      <c r="E614" s="8" t="n"/>
      <c r="F614" s="10" t="n"/>
      <c r="G614" s="8" t="n"/>
      <c r="H614" s="11">
        <f>IF(D614="","",IF(G614="",Setup!$B$5,G614)-E614)</f>
        <v/>
      </c>
      <c r="I614" s="6">
        <f>IF(D614="","",AND(LOWER(B614)="y",H614&gt;Setup!$B$4))</f>
        <v/>
      </c>
      <c r="J614" s="12">
        <f>IF(D614="","",IF(AND(I614=TRUE,G614=""),F614,0))</f>
        <v/>
      </c>
      <c r="K614" s="12">
        <f>IF(OR(D614="",G614=""),0,F614)</f>
        <v/>
      </c>
      <c r="L614" s="12">
        <f>IF(OR(D614="",G614=""),0,H614*F614)</f>
        <v/>
      </c>
    </row>
    <row r="615">
      <c r="A615" s="9" t="n"/>
      <c r="B615" s="9" t="n"/>
      <c r="C615" s="9" t="n"/>
      <c r="D615" s="9" t="n"/>
      <c r="E615" s="8" t="n"/>
      <c r="F615" s="10" t="n"/>
      <c r="G615" s="8" t="n"/>
      <c r="H615" s="11">
        <f>IF(D615="","",IF(G615="",Setup!$B$5,G615)-E615)</f>
        <v/>
      </c>
      <c r="I615" s="6">
        <f>IF(D615="","",AND(LOWER(B615)="y",H615&gt;Setup!$B$4))</f>
        <v/>
      </c>
      <c r="J615" s="12">
        <f>IF(D615="","",IF(AND(I615=TRUE,G615=""),F615,0))</f>
        <v/>
      </c>
      <c r="K615" s="12">
        <f>IF(OR(D615="",G615=""),0,F615)</f>
        <v/>
      </c>
      <c r="L615" s="12">
        <f>IF(OR(D615="",G615=""),0,H615*F615)</f>
        <v/>
      </c>
    </row>
    <row r="616">
      <c r="A616" s="9" t="n"/>
      <c r="B616" s="9" t="n"/>
      <c r="C616" s="9" t="n"/>
      <c r="D616" s="9" t="n"/>
      <c r="E616" s="8" t="n"/>
      <c r="F616" s="10" t="n"/>
      <c r="G616" s="8" t="n"/>
      <c r="H616" s="11">
        <f>IF(D616="","",IF(G616="",Setup!$B$5,G616)-E616)</f>
        <v/>
      </c>
      <c r="I616" s="6">
        <f>IF(D616="","",AND(LOWER(B616)="y",H616&gt;Setup!$B$4))</f>
        <v/>
      </c>
      <c r="J616" s="12">
        <f>IF(D616="","",IF(AND(I616=TRUE,G616=""),F616,0))</f>
        <v/>
      </c>
      <c r="K616" s="12">
        <f>IF(OR(D616="",G616=""),0,F616)</f>
        <v/>
      </c>
      <c r="L616" s="12">
        <f>IF(OR(D616="",G616=""),0,H616*F616)</f>
        <v/>
      </c>
    </row>
    <row r="617">
      <c r="A617" s="9" t="n"/>
      <c r="B617" s="9" t="n"/>
      <c r="C617" s="9" t="n"/>
      <c r="D617" s="9" t="n"/>
      <c r="E617" s="8" t="n"/>
      <c r="F617" s="10" t="n"/>
      <c r="G617" s="8" t="n"/>
      <c r="H617" s="11">
        <f>IF(D617="","",IF(G617="",Setup!$B$5,G617)-E617)</f>
        <v/>
      </c>
      <c r="I617" s="6">
        <f>IF(D617="","",AND(LOWER(B617)="y",H617&gt;Setup!$B$4))</f>
        <v/>
      </c>
      <c r="J617" s="12">
        <f>IF(D617="","",IF(AND(I617=TRUE,G617=""),F617,0))</f>
        <v/>
      </c>
      <c r="K617" s="12">
        <f>IF(OR(D617="",G617=""),0,F617)</f>
        <v/>
      </c>
      <c r="L617" s="12">
        <f>IF(OR(D617="",G617=""),0,H617*F617)</f>
        <v/>
      </c>
    </row>
    <row r="618">
      <c r="A618" s="9" t="n"/>
      <c r="B618" s="9" t="n"/>
      <c r="C618" s="9" t="n"/>
      <c r="D618" s="9" t="n"/>
      <c r="E618" s="8" t="n"/>
      <c r="F618" s="10" t="n"/>
      <c r="G618" s="8" t="n"/>
      <c r="H618" s="11">
        <f>IF(D618="","",IF(G618="",Setup!$B$5,G618)-E618)</f>
        <v/>
      </c>
      <c r="I618" s="6">
        <f>IF(D618="","",AND(LOWER(B618)="y",H618&gt;Setup!$B$4))</f>
        <v/>
      </c>
      <c r="J618" s="12">
        <f>IF(D618="","",IF(AND(I618=TRUE,G618=""),F618,0))</f>
        <v/>
      </c>
      <c r="K618" s="12">
        <f>IF(OR(D618="",G618=""),0,F618)</f>
        <v/>
      </c>
      <c r="L618" s="12">
        <f>IF(OR(D618="",G618=""),0,H618*F618)</f>
        <v/>
      </c>
    </row>
    <row r="619">
      <c r="A619" s="9" t="n"/>
      <c r="B619" s="9" t="n"/>
      <c r="C619" s="9" t="n"/>
      <c r="D619" s="9" t="n"/>
      <c r="E619" s="8" t="n"/>
      <c r="F619" s="10" t="n"/>
      <c r="G619" s="8" t="n"/>
      <c r="H619" s="11">
        <f>IF(D619="","",IF(G619="",Setup!$B$5,G619)-E619)</f>
        <v/>
      </c>
      <c r="I619" s="6">
        <f>IF(D619="","",AND(LOWER(B619)="y",H619&gt;Setup!$B$4))</f>
        <v/>
      </c>
      <c r="J619" s="12">
        <f>IF(D619="","",IF(AND(I619=TRUE,G619=""),F619,0))</f>
        <v/>
      </c>
      <c r="K619" s="12">
        <f>IF(OR(D619="",G619=""),0,F619)</f>
        <v/>
      </c>
      <c r="L619" s="12">
        <f>IF(OR(D619="",G619=""),0,H619*F619)</f>
        <v/>
      </c>
    </row>
    <row r="620">
      <c r="A620" s="9" t="n"/>
      <c r="B620" s="9" t="n"/>
      <c r="C620" s="9" t="n"/>
      <c r="D620" s="9" t="n"/>
      <c r="E620" s="8" t="n"/>
      <c r="F620" s="10" t="n"/>
      <c r="G620" s="8" t="n"/>
      <c r="H620" s="11">
        <f>IF(D620="","",IF(G620="",Setup!$B$5,G620)-E620)</f>
        <v/>
      </c>
      <c r="I620" s="6">
        <f>IF(D620="","",AND(LOWER(B620)="y",H620&gt;Setup!$B$4))</f>
        <v/>
      </c>
      <c r="J620" s="12">
        <f>IF(D620="","",IF(AND(I620=TRUE,G620=""),F620,0))</f>
        <v/>
      </c>
      <c r="K620" s="12">
        <f>IF(OR(D620="",G620=""),0,F620)</f>
        <v/>
      </c>
      <c r="L620" s="12">
        <f>IF(OR(D620="",G620=""),0,H620*F620)</f>
        <v/>
      </c>
    </row>
    <row r="621">
      <c r="A621" s="9" t="n"/>
      <c r="B621" s="9" t="n"/>
      <c r="C621" s="9" t="n"/>
      <c r="D621" s="9" t="n"/>
      <c r="E621" s="8" t="n"/>
      <c r="F621" s="10" t="n"/>
      <c r="G621" s="8" t="n"/>
      <c r="H621" s="11">
        <f>IF(D621="","",IF(G621="",Setup!$B$5,G621)-E621)</f>
        <v/>
      </c>
      <c r="I621" s="6">
        <f>IF(D621="","",AND(LOWER(B621)="y",H621&gt;Setup!$B$4))</f>
        <v/>
      </c>
      <c r="J621" s="12">
        <f>IF(D621="","",IF(AND(I621=TRUE,G621=""),F621,0))</f>
        <v/>
      </c>
      <c r="K621" s="12">
        <f>IF(OR(D621="",G621=""),0,F621)</f>
        <v/>
      </c>
      <c r="L621" s="12">
        <f>IF(OR(D621="",G621=""),0,H621*F621)</f>
        <v/>
      </c>
    </row>
    <row r="622">
      <c r="A622" s="9" t="n"/>
      <c r="B622" s="9" t="n"/>
      <c r="C622" s="9" t="n"/>
      <c r="D622" s="9" t="n"/>
      <c r="E622" s="8" t="n"/>
      <c r="F622" s="10" t="n"/>
      <c r="G622" s="8" t="n"/>
      <c r="H622" s="11">
        <f>IF(D622="","",IF(G622="",Setup!$B$5,G622)-E622)</f>
        <v/>
      </c>
      <c r="I622" s="6">
        <f>IF(D622="","",AND(LOWER(B622)="y",H622&gt;Setup!$B$4))</f>
        <v/>
      </c>
      <c r="J622" s="12">
        <f>IF(D622="","",IF(AND(I622=TRUE,G622=""),F622,0))</f>
        <v/>
      </c>
      <c r="K622" s="12">
        <f>IF(OR(D622="",G622=""),0,F622)</f>
        <v/>
      </c>
      <c r="L622" s="12">
        <f>IF(OR(D622="",G622=""),0,H622*F622)</f>
        <v/>
      </c>
    </row>
    <row r="623">
      <c r="A623" s="9" t="n"/>
      <c r="B623" s="9" t="n"/>
      <c r="C623" s="9" t="n"/>
      <c r="D623" s="9" t="n"/>
      <c r="E623" s="8" t="n"/>
      <c r="F623" s="10" t="n"/>
      <c r="G623" s="8" t="n"/>
      <c r="H623" s="11">
        <f>IF(D623="","",IF(G623="",Setup!$B$5,G623)-E623)</f>
        <v/>
      </c>
      <c r="I623" s="6">
        <f>IF(D623="","",AND(LOWER(B623)="y",H623&gt;Setup!$B$4))</f>
        <v/>
      </c>
      <c r="J623" s="12">
        <f>IF(D623="","",IF(AND(I623=TRUE,G623=""),F623,0))</f>
        <v/>
      </c>
      <c r="K623" s="12">
        <f>IF(OR(D623="",G623=""),0,F623)</f>
        <v/>
      </c>
      <c r="L623" s="12">
        <f>IF(OR(D623="",G623=""),0,H623*F623)</f>
        <v/>
      </c>
    </row>
    <row r="624">
      <c r="A624" s="9" t="n"/>
      <c r="B624" s="9" t="n"/>
      <c r="C624" s="9" t="n"/>
      <c r="D624" s="9" t="n"/>
      <c r="E624" s="8" t="n"/>
      <c r="F624" s="10" t="n"/>
      <c r="G624" s="8" t="n"/>
      <c r="H624" s="11">
        <f>IF(D624="","",IF(G624="",Setup!$B$5,G624)-E624)</f>
        <v/>
      </c>
      <c r="I624" s="6">
        <f>IF(D624="","",AND(LOWER(B624)="y",H624&gt;Setup!$B$4))</f>
        <v/>
      </c>
      <c r="J624" s="12">
        <f>IF(D624="","",IF(AND(I624=TRUE,G624=""),F624,0))</f>
        <v/>
      </c>
      <c r="K624" s="12">
        <f>IF(OR(D624="",G624=""),0,F624)</f>
        <v/>
      </c>
      <c r="L624" s="12">
        <f>IF(OR(D624="",G624=""),0,H624*F624)</f>
        <v/>
      </c>
    </row>
    <row r="625">
      <c r="A625" s="9" t="n"/>
      <c r="B625" s="9" t="n"/>
      <c r="C625" s="9" t="n"/>
      <c r="D625" s="9" t="n"/>
      <c r="E625" s="8" t="n"/>
      <c r="F625" s="10" t="n"/>
      <c r="G625" s="8" t="n"/>
      <c r="H625" s="11">
        <f>IF(D625="","",IF(G625="",Setup!$B$5,G625)-E625)</f>
        <v/>
      </c>
      <c r="I625" s="6">
        <f>IF(D625="","",AND(LOWER(B625)="y",H625&gt;Setup!$B$4))</f>
        <v/>
      </c>
      <c r="J625" s="12">
        <f>IF(D625="","",IF(AND(I625=TRUE,G625=""),F625,0))</f>
        <v/>
      </c>
      <c r="K625" s="12">
        <f>IF(OR(D625="",G625=""),0,F625)</f>
        <v/>
      </c>
      <c r="L625" s="12">
        <f>IF(OR(D625="",G625=""),0,H625*F625)</f>
        <v/>
      </c>
    </row>
    <row r="626">
      <c r="A626" s="9" t="n"/>
      <c r="B626" s="9" t="n"/>
      <c r="C626" s="9" t="n"/>
      <c r="D626" s="9" t="n"/>
      <c r="E626" s="8" t="n"/>
      <c r="F626" s="10" t="n"/>
      <c r="G626" s="8" t="n"/>
      <c r="H626" s="11">
        <f>IF(D626="","",IF(G626="",Setup!$B$5,G626)-E626)</f>
        <v/>
      </c>
      <c r="I626" s="6">
        <f>IF(D626="","",AND(LOWER(B626)="y",H626&gt;Setup!$B$4))</f>
        <v/>
      </c>
      <c r="J626" s="12">
        <f>IF(D626="","",IF(AND(I626=TRUE,G626=""),F626,0))</f>
        <v/>
      </c>
      <c r="K626" s="12">
        <f>IF(OR(D626="",G626=""),0,F626)</f>
        <v/>
      </c>
      <c r="L626" s="12">
        <f>IF(OR(D626="",G626=""),0,H626*F626)</f>
        <v/>
      </c>
    </row>
    <row r="627">
      <c r="A627" s="9" t="n"/>
      <c r="B627" s="9" t="n"/>
      <c r="C627" s="9" t="n"/>
      <c r="D627" s="9" t="n"/>
      <c r="E627" s="8" t="n"/>
      <c r="F627" s="10" t="n"/>
      <c r="G627" s="8" t="n"/>
      <c r="H627" s="11">
        <f>IF(D627="","",IF(G627="",Setup!$B$5,G627)-E627)</f>
        <v/>
      </c>
      <c r="I627" s="6">
        <f>IF(D627="","",AND(LOWER(B627)="y",H627&gt;Setup!$B$4))</f>
        <v/>
      </c>
      <c r="J627" s="12">
        <f>IF(D627="","",IF(AND(I627=TRUE,G627=""),F627,0))</f>
        <v/>
      </c>
      <c r="K627" s="12">
        <f>IF(OR(D627="",G627=""),0,F627)</f>
        <v/>
      </c>
      <c r="L627" s="12">
        <f>IF(OR(D627="",G627=""),0,H627*F627)</f>
        <v/>
      </c>
    </row>
    <row r="628">
      <c r="A628" s="9" t="n"/>
      <c r="B628" s="9" t="n"/>
      <c r="C628" s="9" t="n"/>
      <c r="D628" s="9" t="n"/>
      <c r="E628" s="8" t="n"/>
      <c r="F628" s="10" t="n"/>
      <c r="G628" s="8" t="n"/>
      <c r="H628" s="11">
        <f>IF(D628="","",IF(G628="",Setup!$B$5,G628)-E628)</f>
        <v/>
      </c>
      <c r="I628" s="6">
        <f>IF(D628="","",AND(LOWER(B628)="y",H628&gt;Setup!$B$4))</f>
        <v/>
      </c>
      <c r="J628" s="12">
        <f>IF(D628="","",IF(AND(I628=TRUE,G628=""),F628,0))</f>
        <v/>
      </c>
      <c r="K628" s="12">
        <f>IF(OR(D628="",G628=""),0,F628)</f>
        <v/>
      </c>
      <c r="L628" s="12">
        <f>IF(OR(D628="",G628=""),0,H628*F628)</f>
        <v/>
      </c>
    </row>
    <row r="629">
      <c r="A629" s="9" t="n"/>
      <c r="B629" s="9" t="n"/>
      <c r="C629" s="9" t="n"/>
      <c r="D629" s="9" t="n"/>
      <c r="E629" s="8" t="n"/>
      <c r="F629" s="10" t="n"/>
      <c r="G629" s="8" t="n"/>
      <c r="H629" s="11">
        <f>IF(D629="","",IF(G629="",Setup!$B$5,G629)-E629)</f>
        <v/>
      </c>
      <c r="I629" s="6">
        <f>IF(D629="","",AND(LOWER(B629)="y",H629&gt;Setup!$B$4))</f>
        <v/>
      </c>
      <c r="J629" s="12">
        <f>IF(D629="","",IF(AND(I629=TRUE,G629=""),F629,0))</f>
        <v/>
      </c>
      <c r="K629" s="12">
        <f>IF(OR(D629="",G629=""),0,F629)</f>
        <v/>
      </c>
      <c r="L629" s="12">
        <f>IF(OR(D629="",G629=""),0,H629*F629)</f>
        <v/>
      </c>
    </row>
    <row r="630">
      <c r="A630" s="9" t="n"/>
      <c r="B630" s="9" t="n"/>
      <c r="C630" s="9" t="n"/>
      <c r="D630" s="9" t="n"/>
      <c r="E630" s="8" t="n"/>
      <c r="F630" s="10" t="n"/>
      <c r="G630" s="8" t="n"/>
      <c r="H630" s="11">
        <f>IF(D630="","",IF(G630="",Setup!$B$5,G630)-E630)</f>
        <v/>
      </c>
      <c r="I630" s="6">
        <f>IF(D630="","",AND(LOWER(B630)="y",H630&gt;Setup!$B$4))</f>
        <v/>
      </c>
      <c r="J630" s="12">
        <f>IF(D630="","",IF(AND(I630=TRUE,G630=""),F630,0))</f>
        <v/>
      </c>
      <c r="K630" s="12">
        <f>IF(OR(D630="",G630=""),0,F630)</f>
        <v/>
      </c>
      <c r="L630" s="12">
        <f>IF(OR(D630="",G630=""),0,H630*F630)</f>
        <v/>
      </c>
    </row>
    <row r="631">
      <c r="A631" s="9" t="n"/>
      <c r="B631" s="9" t="n"/>
      <c r="C631" s="9" t="n"/>
      <c r="D631" s="9" t="n"/>
      <c r="E631" s="8" t="n"/>
      <c r="F631" s="10" t="n"/>
      <c r="G631" s="8" t="n"/>
      <c r="H631" s="11">
        <f>IF(D631="","",IF(G631="",Setup!$B$5,G631)-E631)</f>
        <v/>
      </c>
      <c r="I631" s="6">
        <f>IF(D631="","",AND(LOWER(B631)="y",H631&gt;Setup!$B$4))</f>
        <v/>
      </c>
      <c r="J631" s="12">
        <f>IF(D631="","",IF(AND(I631=TRUE,G631=""),F631,0))</f>
        <v/>
      </c>
      <c r="K631" s="12">
        <f>IF(OR(D631="",G631=""),0,F631)</f>
        <v/>
      </c>
      <c r="L631" s="12">
        <f>IF(OR(D631="",G631=""),0,H631*F631)</f>
        <v/>
      </c>
    </row>
    <row r="632">
      <c r="A632" s="9" t="n"/>
      <c r="B632" s="9" t="n"/>
      <c r="C632" s="9" t="n"/>
      <c r="D632" s="9" t="n"/>
      <c r="E632" s="8" t="n"/>
      <c r="F632" s="10" t="n"/>
      <c r="G632" s="8" t="n"/>
      <c r="H632" s="11">
        <f>IF(D632="","",IF(G632="",Setup!$B$5,G632)-E632)</f>
        <v/>
      </c>
      <c r="I632" s="6">
        <f>IF(D632="","",AND(LOWER(B632)="y",H632&gt;Setup!$B$4))</f>
        <v/>
      </c>
      <c r="J632" s="12">
        <f>IF(D632="","",IF(AND(I632=TRUE,G632=""),F632,0))</f>
        <v/>
      </c>
      <c r="K632" s="12">
        <f>IF(OR(D632="",G632=""),0,F632)</f>
        <v/>
      </c>
      <c r="L632" s="12">
        <f>IF(OR(D632="",G632=""),0,H632*F632)</f>
        <v/>
      </c>
    </row>
    <row r="633">
      <c r="A633" s="9" t="n"/>
      <c r="B633" s="9" t="n"/>
      <c r="C633" s="9" t="n"/>
      <c r="D633" s="9" t="n"/>
      <c r="E633" s="8" t="n"/>
      <c r="F633" s="10" t="n"/>
      <c r="G633" s="8" t="n"/>
      <c r="H633" s="11">
        <f>IF(D633="","",IF(G633="",Setup!$B$5,G633)-E633)</f>
        <v/>
      </c>
      <c r="I633" s="6">
        <f>IF(D633="","",AND(LOWER(B633)="y",H633&gt;Setup!$B$4))</f>
        <v/>
      </c>
      <c r="J633" s="12">
        <f>IF(D633="","",IF(AND(I633=TRUE,G633=""),F633,0))</f>
        <v/>
      </c>
      <c r="K633" s="12">
        <f>IF(OR(D633="",G633=""),0,F633)</f>
        <v/>
      </c>
      <c r="L633" s="12">
        <f>IF(OR(D633="",G633=""),0,H633*F633)</f>
        <v/>
      </c>
    </row>
    <row r="634">
      <c r="A634" s="9" t="n"/>
      <c r="B634" s="9" t="n"/>
      <c r="C634" s="9" t="n"/>
      <c r="D634" s="9" t="n"/>
      <c r="E634" s="8" t="n"/>
      <c r="F634" s="10" t="n"/>
      <c r="G634" s="8" t="n"/>
      <c r="H634" s="11">
        <f>IF(D634="","",IF(G634="",Setup!$B$5,G634)-E634)</f>
        <v/>
      </c>
      <c r="I634" s="6">
        <f>IF(D634="","",AND(LOWER(B634)="y",H634&gt;Setup!$B$4))</f>
        <v/>
      </c>
      <c r="J634" s="12">
        <f>IF(D634="","",IF(AND(I634=TRUE,G634=""),F634,0))</f>
        <v/>
      </c>
      <c r="K634" s="12">
        <f>IF(OR(D634="",G634=""),0,F634)</f>
        <v/>
      </c>
      <c r="L634" s="12">
        <f>IF(OR(D634="",G634=""),0,H634*F634)</f>
        <v/>
      </c>
    </row>
    <row r="635">
      <c r="A635" s="9" t="n"/>
      <c r="B635" s="9" t="n"/>
      <c r="C635" s="9" t="n"/>
      <c r="D635" s="9" t="n"/>
      <c r="E635" s="8" t="n"/>
      <c r="F635" s="10" t="n"/>
      <c r="G635" s="8" t="n"/>
      <c r="H635" s="11">
        <f>IF(D635="","",IF(G635="",Setup!$B$5,G635)-E635)</f>
        <v/>
      </c>
      <c r="I635" s="6">
        <f>IF(D635="","",AND(LOWER(B635)="y",H635&gt;Setup!$B$4))</f>
        <v/>
      </c>
      <c r="J635" s="12">
        <f>IF(D635="","",IF(AND(I635=TRUE,G635=""),F635,0))</f>
        <v/>
      </c>
      <c r="K635" s="12">
        <f>IF(OR(D635="",G635=""),0,F635)</f>
        <v/>
      </c>
      <c r="L635" s="12">
        <f>IF(OR(D635="",G635=""),0,H635*F635)</f>
        <v/>
      </c>
    </row>
    <row r="636">
      <c r="A636" s="9" t="n"/>
      <c r="B636" s="9" t="n"/>
      <c r="C636" s="9" t="n"/>
      <c r="D636" s="9" t="n"/>
      <c r="E636" s="8" t="n"/>
      <c r="F636" s="10" t="n"/>
      <c r="G636" s="8" t="n"/>
      <c r="H636" s="11">
        <f>IF(D636="","",IF(G636="",Setup!$B$5,G636)-E636)</f>
        <v/>
      </c>
      <c r="I636" s="6">
        <f>IF(D636="","",AND(LOWER(B636)="y",H636&gt;Setup!$B$4))</f>
        <v/>
      </c>
      <c r="J636" s="12">
        <f>IF(D636="","",IF(AND(I636=TRUE,G636=""),F636,0))</f>
        <v/>
      </c>
      <c r="K636" s="12">
        <f>IF(OR(D636="",G636=""),0,F636)</f>
        <v/>
      </c>
      <c r="L636" s="12">
        <f>IF(OR(D636="",G636=""),0,H636*F636)</f>
        <v/>
      </c>
    </row>
    <row r="637">
      <c r="A637" s="9" t="n"/>
      <c r="B637" s="9" t="n"/>
      <c r="C637" s="9" t="n"/>
      <c r="D637" s="9" t="n"/>
      <c r="E637" s="8" t="n"/>
      <c r="F637" s="10" t="n"/>
      <c r="G637" s="8" t="n"/>
      <c r="H637" s="11">
        <f>IF(D637="","",IF(G637="",Setup!$B$5,G637)-E637)</f>
        <v/>
      </c>
      <c r="I637" s="6">
        <f>IF(D637="","",AND(LOWER(B637)="y",H637&gt;Setup!$B$4))</f>
        <v/>
      </c>
      <c r="J637" s="12">
        <f>IF(D637="","",IF(AND(I637=TRUE,G637=""),F637,0))</f>
        <v/>
      </c>
      <c r="K637" s="12">
        <f>IF(OR(D637="",G637=""),0,F637)</f>
        <v/>
      </c>
      <c r="L637" s="12">
        <f>IF(OR(D637="",G637=""),0,H637*F637)</f>
        <v/>
      </c>
    </row>
    <row r="638">
      <c r="A638" s="9" t="n"/>
      <c r="B638" s="9" t="n"/>
      <c r="C638" s="9" t="n"/>
      <c r="D638" s="9" t="n"/>
      <c r="E638" s="8" t="n"/>
      <c r="F638" s="10" t="n"/>
      <c r="G638" s="8" t="n"/>
      <c r="H638" s="11">
        <f>IF(D638="","",IF(G638="",Setup!$B$5,G638)-E638)</f>
        <v/>
      </c>
      <c r="I638" s="6">
        <f>IF(D638="","",AND(LOWER(B638)="y",H638&gt;Setup!$B$4))</f>
        <v/>
      </c>
      <c r="J638" s="12">
        <f>IF(D638="","",IF(AND(I638=TRUE,G638=""),F638,0))</f>
        <v/>
      </c>
      <c r="K638" s="12">
        <f>IF(OR(D638="",G638=""),0,F638)</f>
        <v/>
      </c>
      <c r="L638" s="12">
        <f>IF(OR(D638="",G638=""),0,H638*F638)</f>
        <v/>
      </c>
    </row>
    <row r="639">
      <c r="A639" s="9" t="n"/>
      <c r="B639" s="9" t="n"/>
      <c r="C639" s="9" t="n"/>
      <c r="D639" s="9" t="n"/>
      <c r="E639" s="8" t="n"/>
      <c r="F639" s="10" t="n"/>
      <c r="G639" s="8" t="n"/>
      <c r="H639" s="11">
        <f>IF(D639="","",IF(G639="",Setup!$B$5,G639)-E639)</f>
        <v/>
      </c>
      <c r="I639" s="6">
        <f>IF(D639="","",AND(LOWER(B639)="y",H639&gt;Setup!$B$4))</f>
        <v/>
      </c>
      <c r="J639" s="12">
        <f>IF(D639="","",IF(AND(I639=TRUE,G639=""),F639,0))</f>
        <v/>
      </c>
      <c r="K639" s="12">
        <f>IF(OR(D639="",G639=""),0,F639)</f>
        <v/>
      </c>
      <c r="L639" s="12">
        <f>IF(OR(D639="",G639=""),0,H639*F639)</f>
        <v/>
      </c>
    </row>
    <row r="640">
      <c r="A640" s="9" t="n"/>
      <c r="B640" s="9" t="n"/>
      <c r="C640" s="9" t="n"/>
      <c r="D640" s="9" t="n"/>
      <c r="E640" s="8" t="n"/>
      <c r="F640" s="10" t="n"/>
      <c r="G640" s="8" t="n"/>
      <c r="H640" s="11">
        <f>IF(D640="","",IF(G640="",Setup!$B$5,G640)-E640)</f>
        <v/>
      </c>
      <c r="I640" s="6">
        <f>IF(D640="","",AND(LOWER(B640)="y",H640&gt;Setup!$B$4))</f>
        <v/>
      </c>
      <c r="J640" s="12">
        <f>IF(D640="","",IF(AND(I640=TRUE,G640=""),F640,0))</f>
        <v/>
      </c>
      <c r="K640" s="12">
        <f>IF(OR(D640="",G640=""),0,F640)</f>
        <v/>
      </c>
      <c r="L640" s="12">
        <f>IF(OR(D640="",G640=""),0,H640*F640)</f>
        <v/>
      </c>
    </row>
    <row r="641">
      <c r="A641" s="9" t="n"/>
      <c r="B641" s="9" t="n"/>
      <c r="C641" s="9" t="n"/>
      <c r="D641" s="9" t="n"/>
      <c r="E641" s="8" t="n"/>
      <c r="F641" s="10" t="n"/>
      <c r="G641" s="8" t="n"/>
      <c r="H641" s="11">
        <f>IF(D641="","",IF(G641="",Setup!$B$5,G641)-E641)</f>
        <v/>
      </c>
      <c r="I641" s="6">
        <f>IF(D641="","",AND(LOWER(B641)="y",H641&gt;Setup!$B$4))</f>
        <v/>
      </c>
      <c r="J641" s="12">
        <f>IF(D641="","",IF(AND(I641=TRUE,G641=""),F641,0))</f>
        <v/>
      </c>
      <c r="K641" s="12">
        <f>IF(OR(D641="",G641=""),0,F641)</f>
        <v/>
      </c>
      <c r="L641" s="12">
        <f>IF(OR(D641="",G641=""),0,H641*F641)</f>
        <v/>
      </c>
    </row>
    <row r="642">
      <c r="A642" s="9" t="n"/>
      <c r="B642" s="9" t="n"/>
      <c r="C642" s="9" t="n"/>
      <c r="D642" s="9" t="n"/>
      <c r="E642" s="8" t="n"/>
      <c r="F642" s="10" t="n"/>
      <c r="G642" s="8" t="n"/>
      <c r="H642" s="11">
        <f>IF(D642="","",IF(G642="",Setup!$B$5,G642)-E642)</f>
        <v/>
      </c>
      <c r="I642" s="6">
        <f>IF(D642="","",AND(LOWER(B642)="y",H642&gt;Setup!$B$4))</f>
        <v/>
      </c>
      <c r="J642" s="12">
        <f>IF(D642="","",IF(AND(I642=TRUE,G642=""),F642,0))</f>
        <v/>
      </c>
      <c r="K642" s="12">
        <f>IF(OR(D642="",G642=""),0,F642)</f>
        <v/>
      </c>
      <c r="L642" s="12">
        <f>IF(OR(D642="",G642=""),0,H642*F642)</f>
        <v/>
      </c>
    </row>
    <row r="643">
      <c r="A643" s="9" t="n"/>
      <c r="B643" s="9" t="n"/>
      <c r="C643" s="9" t="n"/>
      <c r="D643" s="9" t="n"/>
      <c r="E643" s="8" t="n"/>
      <c r="F643" s="10" t="n"/>
      <c r="G643" s="8" t="n"/>
      <c r="H643" s="11">
        <f>IF(D643="","",IF(G643="",Setup!$B$5,G643)-E643)</f>
        <v/>
      </c>
      <c r="I643" s="6">
        <f>IF(D643="","",AND(LOWER(B643)="y",H643&gt;Setup!$B$4))</f>
        <v/>
      </c>
      <c r="J643" s="12">
        <f>IF(D643="","",IF(AND(I643=TRUE,G643=""),F643,0))</f>
        <v/>
      </c>
      <c r="K643" s="12">
        <f>IF(OR(D643="",G643=""),0,F643)</f>
        <v/>
      </c>
      <c r="L643" s="12">
        <f>IF(OR(D643="",G643=""),0,H643*F643)</f>
        <v/>
      </c>
    </row>
    <row r="644">
      <c r="A644" s="9" t="n"/>
      <c r="B644" s="9" t="n"/>
      <c r="C644" s="9" t="n"/>
      <c r="D644" s="9" t="n"/>
      <c r="E644" s="8" t="n"/>
      <c r="F644" s="10" t="n"/>
      <c r="G644" s="8" t="n"/>
      <c r="H644" s="11">
        <f>IF(D644="","",IF(G644="",Setup!$B$5,G644)-E644)</f>
        <v/>
      </c>
      <c r="I644" s="6">
        <f>IF(D644="","",AND(LOWER(B644)="y",H644&gt;Setup!$B$4))</f>
        <v/>
      </c>
      <c r="J644" s="12">
        <f>IF(D644="","",IF(AND(I644=TRUE,G644=""),F644,0))</f>
        <v/>
      </c>
      <c r="K644" s="12">
        <f>IF(OR(D644="",G644=""),0,F644)</f>
        <v/>
      </c>
      <c r="L644" s="12">
        <f>IF(OR(D644="",G644=""),0,H644*F644)</f>
        <v/>
      </c>
    </row>
    <row r="645">
      <c r="A645" s="9" t="n"/>
      <c r="B645" s="9" t="n"/>
      <c r="C645" s="9" t="n"/>
      <c r="D645" s="9" t="n"/>
      <c r="E645" s="8" t="n"/>
      <c r="F645" s="10" t="n"/>
      <c r="G645" s="8" t="n"/>
      <c r="H645" s="11">
        <f>IF(D645="","",IF(G645="",Setup!$B$5,G645)-E645)</f>
        <v/>
      </c>
      <c r="I645" s="6">
        <f>IF(D645="","",AND(LOWER(B645)="y",H645&gt;Setup!$B$4))</f>
        <v/>
      </c>
      <c r="J645" s="12">
        <f>IF(D645="","",IF(AND(I645=TRUE,G645=""),F645,0))</f>
        <v/>
      </c>
      <c r="K645" s="12">
        <f>IF(OR(D645="",G645=""),0,F645)</f>
        <v/>
      </c>
      <c r="L645" s="12">
        <f>IF(OR(D645="",G645=""),0,H645*F645)</f>
        <v/>
      </c>
    </row>
    <row r="646">
      <c r="A646" s="9" t="n"/>
      <c r="B646" s="9" t="n"/>
      <c r="C646" s="9" t="n"/>
      <c r="D646" s="9" t="n"/>
      <c r="E646" s="8" t="n"/>
      <c r="F646" s="10" t="n"/>
      <c r="G646" s="8" t="n"/>
      <c r="H646" s="11">
        <f>IF(D646="","",IF(G646="",Setup!$B$5,G646)-E646)</f>
        <v/>
      </c>
      <c r="I646" s="6">
        <f>IF(D646="","",AND(LOWER(B646)="y",H646&gt;Setup!$B$4))</f>
        <v/>
      </c>
      <c r="J646" s="12">
        <f>IF(D646="","",IF(AND(I646=TRUE,G646=""),F646,0))</f>
        <v/>
      </c>
      <c r="K646" s="12">
        <f>IF(OR(D646="",G646=""),0,F646)</f>
        <v/>
      </c>
      <c r="L646" s="12">
        <f>IF(OR(D646="",G646=""),0,H646*F646)</f>
        <v/>
      </c>
    </row>
    <row r="647">
      <c r="A647" s="9" t="n"/>
      <c r="B647" s="9" t="n"/>
      <c r="C647" s="9" t="n"/>
      <c r="D647" s="9" t="n"/>
      <c r="E647" s="8" t="n"/>
      <c r="F647" s="10" t="n"/>
      <c r="G647" s="8" t="n"/>
      <c r="H647" s="11">
        <f>IF(D647="","",IF(G647="",Setup!$B$5,G647)-E647)</f>
        <v/>
      </c>
      <c r="I647" s="6">
        <f>IF(D647="","",AND(LOWER(B647)="y",H647&gt;Setup!$B$4))</f>
        <v/>
      </c>
      <c r="J647" s="12">
        <f>IF(D647="","",IF(AND(I647=TRUE,G647=""),F647,0))</f>
        <v/>
      </c>
      <c r="K647" s="12">
        <f>IF(OR(D647="",G647=""),0,F647)</f>
        <v/>
      </c>
      <c r="L647" s="12">
        <f>IF(OR(D647="",G647=""),0,H647*F647)</f>
        <v/>
      </c>
    </row>
    <row r="648">
      <c r="A648" s="9" t="n"/>
      <c r="B648" s="9" t="n"/>
      <c r="C648" s="9" t="n"/>
      <c r="D648" s="9" t="n"/>
      <c r="E648" s="8" t="n"/>
      <c r="F648" s="10" t="n"/>
      <c r="G648" s="8" t="n"/>
      <c r="H648" s="11">
        <f>IF(D648="","",IF(G648="",Setup!$B$5,G648)-E648)</f>
        <v/>
      </c>
      <c r="I648" s="6">
        <f>IF(D648="","",AND(LOWER(B648)="y",H648&gt;Setup!$B$4))</f>
        <v/>
      </c>
      <c r="J648" s="12">
        <f>IF(D648="","",IF(AND(I648=TRUE,G648=""),F648,0))</f>
        <v/>
      </c>
      <c r="K648" s="12">
        <f>IF(OR(D648="",G648=""),0,F648)</f>
        <v/>
      </c>
      <c r="L648" s="12">
        <f>IF(OR(D648="",G648=""),0,H648*F648)</f>
        <v/>
      </c>
    </row>
    <row r="649">
      <c r="A649" s="9" t="n"/>
      <c r="B649" s="9" t="n"/>
      <c r="C649" s="9" t="n"/>
      <c r="D649" s="9" t="n"/>
      <c r="E649" s="8" t="n"/>
      <c r="F649" s="10" t="n"/>
      <c r="G649" s="8" t="n"/>
      <c r="H649" s="11">
        <f>IF(D649="","",IF(G649="",Setup!$B$5,G649)-E649)</f>
        <v/>
      </c>
      <c r="I649" s="6">
        <f>IF(D649="","",AND(LOWER(B649)="y",H649&gt;Setup!$B$4))</f>
        <v/>
      </c>
      <c r="J649" s="12">
        <f>IF(D649="","",IF(AND(I649=TRUE,G649=""),F649,0))</f>
        <v/>
      </c>
      <c r="K649" s="12">
        <f>IF(OR(D649="",G649=""),0,F649)</f>
        <v/>
      </c>
      <c r="L649" s="12">
        <f>IF(OR(D649="",G649=""),0,H649*F649)</f>
        <v/>
      </c>
    </row>
    <row r="650">
      <c r="A650" s="9" t="n"/>
      <c r="B650" s="9" t="n"/>
      <c r="C650" s="9" t="n"/>
      <c r="D650" s="9" t="n"/>
      <c r="E650" s="8" t="n"/>
      <c r="F650" s="10" t="n"/>
      <c r="G650" s="8" t="n"/>
      <c r="H650" s="11">
        <f>IF(D650="","",IF(G650="",Setup!$B$5,G650)-E650)</f>
        <v/>
      </c>
      <c r="I650" s="6">
        <f>IF(D650="","",AND(LOWER(B650)="y",H650&gt;Setup!$B$4))</f>
        <v/>
      </c>
      <c r="J650" s="12">
        <f>IF(D650="","",IF(AND(I650=TRUE,G650=""),F650,0))</f>
        <v/>
      </c>
      <c r="K650" s="12">
        <f>IF(OR(D650="",G650=""),0,F650)</f>
        <v/>
      </c>
      <c r="L650" s="12">
        <f>IF(OR(D650="",G650=""),0,H650*F650)</f>
        <v/>
      </c>
    </row>
    <row r="651">
      <c r="A651" s="9" t="n"/>
      <c r="B651" s="9" t="n"/>
      <c r="C651" s="9" t="n"/>
      <c r="D651" s="9" t="n"/>
      <c r="E651" s="8" t="n"/>
      <c r="F651" s="10" t="n"/>
      <c r="G651" s="8" t="n"/>
      <c r="H651" s="11">
        <f>IF(D651="","",IF(G651="",Setup!$B$5,G651)-E651)</f>
        <v/>
      </c>
      <c r="I651" s="6">
        <f>IF(D651="","",AND(LOWER(B651)="y",H651&gt;Setup!$B$4))</f>
        <v/>
      </c>
      <c r="J651" s="12">
        <f>IF(D651="","",IF(AND(I651=TRUE,G651=""),F651,0))</f>
        <v/>
      </c>
      <c r="K651" s="12">
        <f>IF(OR(D651="",G651=""),0,F651)</f>
        <v/>
      </c>
      <c r="L651" s="12">
        <f>IF(OR(D651="",G651=""),0,H651*F651)</f>
        <v/>
      </c>
    </row>
    <row r="652">
      <c r="A652" s="9" t="n"/>
      <c r="B652" s="9" t="n"/>
      <c r="C652" s="9" t="n"/>
      <c r="D652" s="9" t="n"/>
      <c r="E652" s="8" t="n"/>
      <c r="F652" s="10" t="n"/>
      <c r="G652" s="8" t="n"/>
      <c r="H652" s="11">
        <f>IF(D652="","",IF(G652="",Setup!$B$5,G652)-E652)</f>
        <v/>
      </c>
      <c r="I652" s="6">
        <f>IF(D652="","",AND(LOWER(B652)="y",H652&gt;Setup!$B$4))</f>
        <v/>
      </c>
      <c r="J652" s="12">
        <f>IF(D652="","",IF(AND(I652=TRUE,G652=""),F652,0))</f>
        <v/>
      </c>
      <c r="K652" s="12">
        <f>IF(OR(D652="",G652=""),0,F652)</f>
        <v/>
      </c>
      <c r="L652" s="12">
        <f>IF(OR(D652="",G652=""),0,H652*F652)</f>
        <v/>
      </c>
    </row>
    <row r="653">
      <c r="A653" s="9" t="n"/>
      <c r="B653" s="9" t="n"/>
      <c r="C653" s="9" t="n"/>
      <c r="D653" s="9" t="n"/>
      <c r="E653" s="8" t="n"/>
      <c r="F653" s="10" t="n"/>
      <c r="G653" s="8" t="n"/>
      <c r="H653" s="11">
        <f>IF(D653="","",IF(G653="",Setup!$B$5,G653)-E653)</f>
        <v/>
      </c>
      <c r="I653" s="6">
        <f>IF(D653="","",AND(LOWER(B653)="y",H653&gt;Setup!$B$4))</f>
        <v/>
      </c>
      <c r="J653" s="12">
        <f>IF(D653="","",IF(AND(I653=TRUE,G653=""),F653,0))</f>
        <v/>
      </c>
      <c r="K653" s="12">
        <f>IF(OR(D653="",G653=""),0,F653)</f>
        <v/>
      </c>
      <c r="L653" s="12">
        <f>IF(OR(D653="",G653=""),0,H653*F653)</f>
        <v/>
      </c>
    </row>
    <row r="654">
      <c r="A654" s="9" t="n"/>
      <c r="B654" s="9" t="n"/>
      <c r="C654" s="9" t="n"/>
      <c r="D654" s="9" t="n"/>
      <c r="E654" s="8" t="n"/>
      <c r="F654" s="10" t="n"/>
      <c r="G654" s="8" t="n"/>
      <c r="H654" s="11">
        <f>IF(D654="","",IF(G654="",Setup!$B$5,G654)-E654)</f>
        <v/>
      </c>
      <c r="I654" s="6">
        <f>IF(D654="","",AND(LOWER(B654)="y",H654&gt;Setup!$B$4))</f>
        <v/>
      </c>
      <c r="J654" s="12">
        <f>IF(D654="","",IF(AND(I654=TRUE,G654=""),F654,0))</f>
        <v/>
      </c>
      <c r="K654" s="12">
        <f>IF(OR(D654="",G654=""),0,F654)</f>
        <v/>
      </c>
      <c r="L654" s="12">
        <f>IF(OR(D654="",G654=""),0,H654*F654)</f>
        <v/>
      </c>
    </row>
    <row r="655">
      <c r="A655" s="9" t="n"/>
      <c r="B655" s="9" t="n"/>
      <c r="C655" s="9" t="n"/>
      <c r="D655" s="9" t="n"/>
      <c r="E655" s="8" t="n"/>
      <c r="F655" s="10" t="n"/>
      <c r="G655" s="8" t="n"/>
      <c r="H655" s="11">
        <f>IF(D655="","",IF(G655="",Setup!$B$5,G655)-E655)</f>
        <v/>
      </c>
      <c r="I655" s="6">
        <f>IF(D655="","",AND(LOWER(B655)="y",H655&gt;Setup!$B$4))</f>
        <v/>
      </c>
      <c r="J655" s="12">
        <f>IF(D655="","",IF(AND(I655=TRUE,G655=""),F655,0))</f>
        <v/>
      </c>
      <c r="K655" s="12">
        <f>IF(OR(D655="",G655=""),0,F655)</f>
        <v/>
      </c>
      <c r="L655" s="12">
        <f>IF(OR(D655="",G655=""),0,H655*F655)</f>
        <v/>
      </c>
    </row>
    <row r="656">
      <c r="A656" s="9" t="n"/>
      <c r="B656" s="9" t="n"/>
      <c r="C656" s="9" t="n"/>
      <c r="D656" s="9" t="n"/>
      <c r="E656" s="8" t="n"/>
      <c r="F656" s="10" t="n"/>
      <c r="G656" s="8" t="n"/>
      <c r="H656" s="11">
        <f>IF(D656="","",IF(G656="",Setup!$B$5,G656)-E656)</f>
        <v/>
      </c>
      <c r="I656" s="6">
        <f>IF(D656="","",AND(LOWER(B656)="y",H656&gt;Setup!$B$4))</f>
        <v/>
      </c>
      <c r="J656" s="12">
        <f>IF(D656="","",IF(AND(I656=TRUE,G656=""),F656,0))</f>
        <v/>
      </c>
      <c r="K656" s="12">
        <f>IF(OR(D656="",G656=""),0,F656)</f>
        <v/>
      </c>
      <c r="L656" s="12">
        <f>IF(OR(D656="",G656=""),0,H656*F656)</f>
        <v/>
      </c>
    </row>
    <row r="657">
      <c r="A657" s="9" t="n"/>
      <c r="B657" s="9" t="n"/>
      <c r="C657" s="9" t="n"/>
      <c r="D657" s="9" t="n"/>
      <c r="E657" s="8" t="n"/>
      <c r="F657" s="10" t="n"/>
      <c r="G657" s="8" t="n"/>
      <c r="H657" s="11">
        <f>IF(D657="","",IF(G657="",Setup!$B$5,G657)-E657)</f>
        <v/>
      </c>
      <c r="I657" s="6">
        <f>IF(D657="","",AND(LOWER(B657)="y",H657&gt;Setup!$B$4))</f>
        <v/>
      </c>
      <c r="J657" s="12">
        <f>IF(D657="","",IF(AND(I657=TRUE,G657=""),F657,0))</f>
        <v/>
      </c>
      <c r="K657" s="12">
        <f>IF(OR(D657="",G657=""),0,F657)</f>
        <v/>
      </c>
      <c r="L657" s="12">
        <f>IF(OR(D657="",G657=""),0,H657*F657)</f>
        <v/>
      </c>
    </row>
    <row r="658">
      <c r="A658" s="9" t="n"/>
      <c r="B658" s="9" t="n"/>
      <c r="C658" s="9" t="n"/>
      <c r="D658" s="9" t="n"/>
      <c r="E658" s="8" t="n"/>
      <c r="F658" s="10" t="n"/>
      <c r="G658" s="8" t="n"/>
      <c r="H658" s="11">
        <f>IF(D658="","",IF(G658="",Setup!$B$5,G658)-E658)</f>
        <v/>
      </c>
      <c r="I658" s="6">
        <f>IF(D658="","",AND(LOWER(B658)="y",H658&gt;Setup!$B$4))</f>
        <v/>
      </c>
      <c r="J658" s="12">
        <f>IF(D658="","",IF(AND(I658=TRUE,G658=""),F658,0))</f>
        <v/>
      </c>
      <c r="K658" s="12">
        <f>IF(OR(D658="",G658=""),0,F658)</f>
        <v/>
      </c>
      <c r="L658" s="12">
        <f>IF(OR(D658="",G658=""),0,H658*F658)</f>
        <v/>
      </c>
    </row>
    <row r="659">
      <c r="A659" s="9" t="n"/>
      <c r="B659" s="9" t="n"/>
      <c r="C659" s="9" t="n"/>
      <c r="D659" s="9" t="n"/>
      <c r="E659" s="8" t="n"/>
      <c r="F659" s="10" t="n"/>
      <c r="G659" s="8" t="n"/>
      <c r="H659" s="11">
        <f>IF(D659="","",IF(G659="",Setup!$B$5,G659)-E659)</f>
        <v/>
      </c>
      <c r="I659" s="6">
        <f>IF(D659="","",AND(LOWER(B659)="y",H659&gt;Setup!$B$4))</f>
        <v/>
      </c>
      <c r="J659" s="12">
        <f>IF(D659="","",IF(AND(I659=TRUE,G659=""),F659,0))</f>
        <v/>
      </c>
      <c r="K659" s="12">
        <f>IF(OR(D659="",G659=""),0,F659)</f>
        <v/>
      </c>
      <c r="L659" s="12">
        <f>IF(OR(D659="",G659=""),0,H659*F659)</f>
        <v/>
      </c>
    </row>
    <row r="660">
      <c r="A660" s="9" t="n"/>
      <c r="B660" s="9" t="n"/>
      <c r="C660" s="9" t="n"/>
      <c r="D660" s="9" t="n"/>
      <c r="E660" s="8" t="n"/>
      <c r="F660" s="10" t="n"/>
      <c r="G660" s="8" t="n"/>
      <c r="H660" s="11">
        <f>IF(D660="","",IF(G660="",Setup!$B$5,G660)-E660)</f>
        <v/>
      </c>
      <c r="I660" s="6">
        <f>IF(D660="","",AND(LOWER(B660)="y",H660&gt;Setup!$B$4))</f>
        <v/>
      </c>
      <c r="J660" s="12">
        <f>IF(D660="","",IF(AND(I660=TRUE,G660=""),F660,0))</f>
        <v/>
      </c>
      <c r="K660" s="12">
        <f>IF(OR(D660="",G660=""),0,F660)</f>
        <v/>
      </c>
      <c r="L660" s="12">
        <f>IF(OR(D660="",G660=""),0,H660*F660)</f>
        <v/>
      </c>
    </row>
    <row r="661">
      <c r="A661" s="9" t="n"/>
      <c r="B661" s="9" t="n"/>
      <c r="C661" s="9" t="n"/>
      <c r="D661" s="9" t="n"/>
      <c r="E661" s="8" t="n"/>
      <c r="F661" s="10" t="n"/>
      <c r="G661" s="8" t="n"/>
      <c r="H661" s="11">
        <f>IF(D661="","",IF(G661="",Setup!$B$5,G661)-E661)</f>
        <v/>
      </c>
      <c r="I661" s="6">
        <f>IF(D661="","",AND(LOWER(B661)="y",H661&gt;Setup!$B$4))</f>
        <v/>
      </c>
      <c r="J661" s="12">
        <f>IF(D661="","",IF(AND(I661=TRUE,G661=""),F661,0))</f>
        <v/>
      </c>
      <c r="K661" s="12">
        <f>IF(OR(D661="",G661=""),0,F661)</f>
        <v/>
      </c>
      <c r="L661" s="12">
        <f>IF(OR(D661="",G661=""),0,H661*F661)</f>
        <v/>
      </c>
    </row>
    <row r="662">
      <c r="A662" s="9" t="n"/>
      <c r="B662" s="9" t="n"/>
      <c r="C662" s="9" t="n"/>
      <c r="D662" s="9" t="n"/>
      <c r="E662" s="8" t="n"/>
      <c r="F662" s="10" t="n"/>
      <c r="G662" s="8" t="n"/>
      <c r="H662" s="11">
        <f>IF(D662="","",IF(G662="",Setup!$B$5,G662)-E662)</f>
        <v/>
      </c>
      <c r="I662" s="6">
        <f>IF(D662="","",AND(LOWER(B662)="y",H662&gt;Setup!$B$4))</f>
        <v/>
      </c>
      <c r="J662" s="12">
        <f>IF(D662="","",IF(AND(I662=TRUE,G662=""),F662,0))</f>
        <v/>
      </c>
      <c r="K662" s="12">
        <f>IF(OR(D662="",G662=""),0,F662)</f>
        <v/>
      </c>
      <c r="L662" s="12">
        <f>IF(OR(D662="",G662=""),0,H662*F662)</f>
        <v/>
      </c>
    </row>
    <row r="663">
      <c r="A663" s="9" t="n"/>
      <c r="B663" s="9" t="n"/>
      <c r="C663" s="9" t="n"/>
      <c r="D663" s="9" t="n"/>
      <c r="E663" s="8" t="n"/>
      <c r="F663" s="10" t="n"/>
      <c r="G663" s="8" t="n"/>
      <c r="H663" s="11">
        <f>IF(D663="","",IF(G663="",Setup!$B$5,G663)-E663)</f>
        <v/>
      </c>
      <c r="I663" s="6">
        <f>IF(D663="","",AND(LOWER(B663)="y",H663&gt;Setup!$B$4))</f>
        <v/>
      </c>
      <c r="J663" s="12">
        <f>IF(D663="","",IF(AND(I663=TRUE,G663=""),F663,0))</f>
        <v/>
      </c>
      <c r="K663" s="12">
        <f>IF(OR(D663="",G663=""),0,F663)</f>
        <v/>
      </c>
      <c r="L663" s="12">
        <f>IF(OR(D663="",G663=""),0,H663*F663)</f>
        <v/>
      </c>
    </row>
    <row r="664">
      <c r="A664" s="9" t="n"/>
      <c r="B664" s="9" t="n"/>
      <c r="C664" s="9" t="n"/>
      <c r="D664" s="9" t="n"/>
      <c r="E664" s="8" t="n"/>
      <c r="F664" s="10" t="n"/>
      <c r="G664" s="8" t="n"/>
      <c r="H664" s="11">
        <f>IF(D664="","",IF(G664="",Setup!$B$5,G664)-E664)</f>
        <v/>
      </c>
      <c r="I664" s="6">
        <f>IF(D664="","",AND(LOWER(B664)="y",H664&gt;Setup!$B$4))</f>
        <v/>
      </c>
      <c r="J664" s="12">
        <f>IF(D664="","",IF(AND(I664=TRUE,G664=""),F664,0))</f>
        <v/>
      </c>
      <c r="K664" s="12">
        <f>IF(OR(D664="",G664=""),0,F664)</f>
        <v/>
      </c>
      <c r="L664" s="12">
        <f>IF(OR(D664="",G664=""),0,H664*F664)</f>
        <v/>
      </c>
    </row>
    <row r="665">
      <c r="A665" s="9" t="n"/>
      <c r="B665" s="9" t="n"/>
      <c r="C665" s="9" t="n"/>
      <c r="D665" s="9" t="n"/>
      <c r="E665" s="8" t="n"/>
      <c r="F665" s="10" t="n"/>
      <c r="G665" s="8" t="n"/>
      <c r="H665" s="11">
        <f>IF(D665="","",IF(G665="",Setup!$B$5,G665)-E665)</f>
        <v/>
      </c>
      <c r="I665" s="6">
        <f>IF(D665="","",AND(LOWER(B665)="y",H665&gt;Setup!$B$4))</f>
        <v/>
      </c>
      <c r="J665" s="12">
        <f>IF(D665="","",IF(AND(I665=TRUE,G665=""),F665,0))</f>
        <v/>
      </c>
      <c r="K665" s="12">
        <f>IF(OR(D665="",G665=""),0,F665)</f>
        <v/>
      </c>
      <c r="L665" s="12">
        <f>IF(OR(D665="",G665=""),0,H665*F665)</f>
        <v/>
      </c>
    </row>
    <row r="666">
      <c r="A666" s="9" t="n"/>
      <c r="B666" s="9" t="n"/>
      <c r="C666" s="9" t="n"/>
      <c r="D666" s="9" t="n"/>
      <c r="E666" s="8" t="n"/>
      <c r="F666" s="10" t="n"/>
      <c r="G666" s="8" t="n"/>
      <c r="H666" s="11">
        <f>IF(D666="","",IF(G666="",Setup!$B$5,G666)-E666)</f>
        <v/>
      </c>
      <c r="I666" s="6">
        <f>IF(D666="","",AND(LOWER(B666)="y",H666&gt;Setup!$B$4))</f>
        <v/>
      </c>
      <c r="J666" s="12">
        <f>IF(D666="","",IF(AND(I666=TRUE,G666=""),F666,0))</f>
        <v/>
      </c>
      <c r="K666" s="12">
        <f>IF(OR(D666="",G666=""),0,F666)</f>
        <v/>
      </c>
      <c r="L666" s="12">
        <f>IF(OR(D666="",G666=""),0,H666*F666)</f>
        <v/>
      </c>
    </row>
    <row r="667">
      <c r="A667" s="9" t="n"/>
      <c r="B667" s="9" t="n"/>
      <c r="C667" s="9" t="n"/>
      <c r="D667" s="9" t="n"/>
      <c r="E667" s="8" t="n"/>
      <c r="F667" s="10" t="n"/>
      <c r="G667" s="8" t="n"/>
      <c r="H667" s="11">
        <f>IF(D667="","",IF(G667="",Setup!$B$5,G667)-E667)</f>
        <v/>
      </c>
      <c r="I667" s="6">
        <f>IF(D667="","",AND(LOWER(B667)="y",H667&gt;Setup!$B$4))</f>
        <v/>
      </c>
      <c r="J667" s="12">
        <f>IF(D667="","",IF(AND(I667=TRUE,G667=""),F667,0))</f>
        <v/>
      </c>
      <c r="K667" s="12">
        <f>IF(OR(D667="",G667=""),0,F667)</f>
        <v/>
      </c>
      <c r="L667" s="12">
        <f>IF(OR(D667="",G667=""),0,H667*F667)</f>
        <v/>
      </c>
    </row>
    <row r="668">
      <c r="A668" s="9" t="n"/>
      <c r="B668" s="9" t="n"/>
      <c r="C668" s="9" t="n"/>
      <c r="D668" s="9" t="n"/>
      <c r="E668" s="8" t="n"/>
      <c r="F668" s="10" t="n"/>
      <c r="G668" s="8" t="n"/>
      <c r="H668" s="11">
        <f>IF(D668="","",IF(G668="",Setup!$B$5,G668)-E668)</f>
        <v/>
      </c>
      <c r="I668" s="6">
        <f>IF(D668="","",AND(LOWER(B668)="y",H668&gt;Setup!$B$4))</f>
        <v/>
      </c>
      <c r="J668" s="12">
        <f>IF(D668="","",IF(AND(I668=TRUE,G668=""),F668,0))</f>
        <v/>
      </c>
      <c r="K668" s="12">
        <f>IF(OR(D668="",G668=""),0,F668)</f>
        <v/>
      </c>
      <c r="L668" s="12">
        <f>IF(OR(D668="",G668=""),0,H668*F668)</f>
        <v/>
      </c>
    </row>
    <row r="669">
      <c r="A669" s="9" t="n"/>
      <c r="B669" s="9" t="n"/>
      <c r="C669" s="9" t="n"/>
      <c r="D669" s="9" t="n"/>
      <c r="E669" s="8" t="n"/>
      <c r="F669" s="10" t="n"/>
      <c r="G669" s="8" t="n"/>
      <c r="H669" s="11">
        <f>IF(D669="","",IF(G669="",Setup!$B$5,G669)-E669)</f>
        <v/>
      </c>
      <c r="I669" s="6">
        <f>IF(D669="","",AND(LOWER(B669)="y",H669&gt;Setup!$B$4))</f>
        <v/>
      </c>
      <c r="J669" s="12">
        <f>IF(D669="","",IF(AND(I669=TRUE,G669=""),F669,0))</f>
        <v/>
      </c>
      <c r="K669" s="12">
        <f>IF(OR(D669="",G669=""),0,F669)</f>
        <v/>
      </c>
      <c r="L669" s="12">
        <f>IF(OR(D669="",G669=""),0,H669*F669)</f>
        <v/>
      </c>
    </row>
    <row r="670">
      <c r="A670" s="9" t="n"/>
      <c r="B670" s="9" t="n"/>
      <c r="C670" s="9" t="n"/>
      <c r="D670" s="9" t="n"/>
      <c r="E670" s="8" t="n"/>
      <c r="F670" s="10" t="n"/>
      <c r="G670" s="8" t="n"/>
      <c r="H670" s="11">
        <f>IF(D670="","",IF(G670="",Setup!$B$5,G670)-E670)</f>
        <v/>
      </c>
      <c r="I670" s="6">
        <f>IF(D670="","",AND(LOWER(B670)="y",H670&gt;Setup!$B$4))</f>
        <v/>
      </c>
      <c r="J670" s="12">
        <f>IF(D670="","",IF(AND(I670=TRUE,G670=""),F670,0))</f>
        <v/>
      </c>
      <c r="K670" s="12">
        <f>IF(OR(D670="",G670=""),0,F670)</f>
        <v/>
      </c>
      <c r="L670" s="12">
        <f>IF(OR(D670="",G670=""),0,H670*F670)</f>
        <v/>
      </c>
    </row>
    <row r="671">
      <c r="A671" s="9" t="n"/>
      <c r="B671" s="9" t="n"/>
      <c r="C671" s="9" t="n"/>
      <c r="D671" s="9" t="n"/>
      <c r="E671" s="8" t="n"/>
      <c r="F671" s="10" t="n"/>
      <c r="G671" s="8" t="n"/>
      <c r="H671" s="11">
        <f>IF(D671="","",IF(G671="",Setup!$B$5,G671)-E671)</f>
        <v/>
      </c>
      <c r="I671" s="6">
        <f>IF(D671="","",AND(LOWER(B671)="y",H671&gt;Setup!$B$4))</f>
        <v/>
      </c>
      <c r="J671" s="12">
        <f>IF(D671="","",IF(AND(I671=TRUE,G671=""),F671,0))</f>
        <v/>
      </c>
      <c r="K671" s="12">
        <f>IF(OR(D671="",G671=""),0,F671)</f>
        <v/>
      </c>
      <c r="L671" s="12">
        <f>IF(OR(D671="",G671=""),0,H671*F671)</f>
        <v/>
      </c>
    </row>
    <row r="672">
      <c r="A672" s="9" t="n"/>
      <c r="B672" s="9" t="n"/>
      <c r="C672" s="9" t="n"/>
      <c r="D672" s="9" t="n"/>
      <c r="E672" s="8" t="n"/>
      <c r="F672" s="10" t="n"/>
      <c r="G672" s="8" t="n"/>
      <c r="H672" s="11">
        <f>IF(D672="","",IF(G672="",Setup!$B$5,G672)-E672)</f>
        <v/>
      </c>
      <c r="I672" s="6">
        <f>IF(D672="","",AND(LOWER(B672)="y",H672&gt;Setup!$B$4))</f>
        <v/>
      </c>
      <c r="J672" s="12">
        <f>IF(D672="","",IF(AND(I672=TRUE,G672=""),F672,0))</f>
        <v/>
      </c>
      <c r="K672" s="12">
        <f>IF(OR(D672="",G672=""),0,F672)</f>
        <v/>
      </c>
      <c r="L672" s="12">
        <f>IF(OR(D672="",G672=""),0,H672*F672)</f>
        <v/>
      </c>
    </row>
    <row r="673">
      <c r="A673" s="9" t="n"/>
      <c r="B673" s="9" t="n"/>
      <c r="C673" s="9" t="n"/>
      <c r="D673" s="9" t="n"/>
      <c r="E673" s="8" t="n"/>
      <c r="F673" s="10" t="n"/>
      <c r="G673" s="8" t="n"/>
      <c r="H673" s="11">
        <f>IF(D673="","",IF(G673="",Setup!$B$5,G673)-E673)</f>
        <v/>
      </c>
      <c r="I673" s="6">
        <f>IF(D673="","",AND(LOWER(B673)="y",H673&gt;Setup!$B$4))</f>
        <v/>
      </c>
      <c r="J673" s="12">
        <f>IF(D673="","",IF(AND(I673=TRUE,G673=""),F673,0))</f>
        <v/>
      </c>
      <c r="K673" s="12">
        <f>IF(OR(D673="",G673=""),0,F673)</f>
        <v/>
      </c>
      <c r="L673" s="12">
        <f>IF(OR(D673="",G673=""),0,H673*F673)</f>
        <v/>
      </c>
    </row>
    <row r="674">
      <c r="A674" s="9" t="n"/>
      <c r="B674" s="9" t="n"/>
      <c r="C674" s="9" t="n"/>
      <c r="D674" s="9" t="n"/>
      <c r="E674" s="8" t="n"/>
      <c r="F674" s="10" t="n"/>
      <c r="G674" s="8" t="n"/>
      <c r="H674" s="11">
        <f>IF(D674="","",IF(G674="",Setup!$B$5,G674)-E674)</f>
        <v/>
      </c>
      <c r="I674" s="6">
        <f>IF(D674="","",AND(LOWER(B674)="y",H674&gt;Setup!$B$4))</f>
        <v/>
      </c>
      <c r="J674" s="12">
        <f>IF(D674="","",IF(AND(I674=TRUE,G674=""),F674,0))</f>
        <v/>
      </c>
      <c r="K674" s="12">
        <f>IF(OR(D674="",G674=""),0,F674)</f>
        <v/>
      </c>
      <c r="L674" s="12">
        <f>IF(OR(D674="",G674=""),0,H674*F674)</f>
        <v/>
      </c>
    </row>
    <row r="675">
      <c r="A675" s="9" t="n"/>
      <c r="B675" s="9" t="n"/>
      <c r="C675" s="9" t="n"/>
      <c r="D675" s="9" t="n"/>
      <c r="E675" s="8" t="n"/>
      <c r="F675" s="10" t="n"/>
      <c r="G675" s="8" t="n"/>
      <c r="H675" s="11">
        <f>IF(D675="","",IF(G675="",Setup!$B$5,G675)-E675)</f>
        <v/>
      </c>
      <c r="I675" s="6">
        <f>IF(D675="","",AND(LOWER(B675)="y",H675&gt;Setup!$B$4))</f>
        <v/>
      </c>
      <c r="J675" s="12">
        <f>IF(D675="","",IF(AND(I675=TRUE,G675=""),F675,0))</f>
        <v/>
      </c>
      <c r="K675" s="12">
        <f>IF(OR(D675="",G675=""),0,F675)</f>
        <v/>
      </c>
      <c r="L675" s="12">
        <f>IF(OR(D675="",G675=""),0,H675*F675)</f>
        <v/>
      </c>
    </row>
    <row r="676">
      <c r="A676" s="9" t="n"/>
      <c r="B676" s="9" t="n"/>
      <c r="C676" s="9" t="n"/>
      <c r="D676" s="9" t="n"/>
      <c r="E676" s="8" t="n"/>
      <c r="F676" s="10" t="n"/>
      <c r="G676" s="8" t="n"/>
      <c r="H676" s="11">
        <f>IF(D676="","",IF(G676="",Setup!$B$5,G676)-E676)</f>
        <v/>
      </c>
      <c r="I676" s="6">
        <f>IF(D676="","",AND(LOWER(B676)="y",H676&gt;Setup!$B$4))</f>
        <v/>
      </c>
      <c r="J676" s="12">
        <f>IF(D676="","",IF(AND(I676=TRUE,G676=""),F676,0))</f>
        <v/>
      </c>
      <c r="K676" s="12">
        <f>IF(OR(D676="",G676=""),0,F676)</f>
        <v/>
      </c>
      <c r="L676" s="12">
        <f>IF(OR(D676="",G676=""),0,H676*F676)</f>
        <v/>
      </c>
    </row>
    <row r="677">
      <c r="A677" s="9" t="n"/>
      <c r="B677" s="9" t="n"/>
      <c r="C677" s="9" t="n"/>
      <c r="D677" s="9" t="n"/>
      <c r="E677" s="8" t="n"/>
      <c r="F677" s="10" t="n"/>
      <c r="G677" s="8" t="n"/>
      <c r="H677" s="11">
        <f>IF(D677="","",IF(G677="",Setup!$B$5,G677)-E677)</f>
        <v/>
      </c>
      <c r="I677" s="6">
        <f>IF(D677="","",AND(LOWER(B677)="y",H677&gt;Setup!$B$4))</f>
        <v/>
      </c>
      <c r="J677" s="12">
        <f>IF(D677="","",IF(AND(I677=TRUE,G677=""),F677,0))</f>
        <v/>
      </c>
      <c r="K677" s="12">
        <f>IF(OR(D677="",G677=""),0,F677)</f>
        <v/>
      </c>
      <c r="L677" s="12">
        <f>IF(OR(D677="",G677=""),0,H677*F677)</f>
        <v/>
      </c>
    </row>
    <row r="678">
      <c r="A678" s="9" t="n"/>
      <c r="B678" s="9" t="n"/>
      <c r="C678" s="9" t="n"/>
      <c r="D678" s="9" t="n"/>
      <c r="E678" s="8" t="n"/>
      <c r="F678" s="10" t="n"/>
      <c r="G678" s="8" t="n"/>
      <c r="H678" s="11">
        <f>IF(D678="","",IF(G678="",Setup!$B$5,G678)-E678)</f>
        <v/>
      </c>
      <c r="I678" s="6">
        <f>IF(D678="","",AND(LOWER(B678)="y",H678&gt;Setup!$B$4))</f>
        <v/>
      </c>
      <c r="J678" s="12">
        <f>IF(D678="","",IF(AND(I678=TRUE,G678=""),F678,0))</f>
        <v/>
      </c>
      <c r="K678" s="12">
        <f>IF(OR(D678="",G678=""),0,F678)</f>
        <v/>
      </c>
      <c r="L678" s="12">
        <f>IF(OR(D678="",G678=""),0,H678*F678)</f>
        <v/>
      </c>
    </row>
    <row r="679">
      <c r="A679" s="9" t="n"/>
      <c r="B679" s="9" t="n"/>
      <c r="C679" s="9" t="n"/>
      <c r="D679" s="9" t="n"/>
      <c r="E679" s="8" t="n"/>
      <c r="F679" s="10" t="n"/>
      <c r="G679" s="8" t="n"/>
      <c r="H679" s="11">
        <f>IF(D679="","",IF(G679="",Setup!$B$5,G679)-E679)</f>
        <v/>
      </c>
      <c r="I679" s="6">
        <f>IF(D679="","",AND(LOWER(B679)="y",H679&gt;Setup!$B$4))</f>
        <v/>
      </c>
      <c r="J679" s="12">
        <f>IF(D679="","",IF(AND(I679=TRUE,G679=""),F679,0))</f>
        <v/>
      </c>
      <c r="K679" s="12">
        <f>IF(OR(D679="",G679=""),0,F679)</f>
        <v/>
      </c>
      <c r="L679" s="12">
        <f>IF(OR(D679="",G679=""),0,H679*F679)</f>
        <v/>
      </c>
    </row>
    <row r="680">
      <c r="A680" s="9" t="n"/>
      <c r="B680" s="9" t="n"/>
      <c r="C680" s="9" t="n"/>
      <c r="D680" s="9" t="n"/>
      <c r="E680" s="8" t="n"/>
      <c r="F680" s="10" t="n"/>
      <c r="G680" s="8" t="n"/>
      <c r="H680" s="11">
        <f>IF(D680="","",IF(G680="",Setup!$B$5,G680)-E680)</f>
        <v/>
      </c>
      <c r="I680" s="6">
        <f>IF(D680="","",AND(LOWER(B680)="y",H680&gt;Setup!$B$4))</f>
        <v/>
      </c>
      <c r="J680" s="12">
        <f>IF(D680="","",IF(AND(I680=TRUE,G680=""),F680,0))</f>
        <v/>
      </c>
      <c r="K680" s="12">
        <f>IF(OR(D680="",G680=""),0,F680)</f>
        <v/>
      </c>
      <c r="L680" s="12">
        <f>IF(OR(D680="",G680=""),0,H680*F680)</f>
        <v/>
      </c>
    </row>
    <row r="681">
      <c r="A681" s="9" t="n"/>
      <c r="B681" s="9" t="n"/>
      <c r="C681" s="9" t="n"/>
      <c r="D681" s="9" t="n"/>
      <c r="E681" s="8" t="n"/>
      <c r="F681" s="10" t="n"/>
      <c r="G681" s="8" t="n"/>
      <c r="H681" s="11">
        <f>IF(D681="","",IF(G681="",Setup!$B$5,G681)-E681)</f>
        <v/>
      </c>
      <c r="I681" s="6">
        <f>IF(D681="","",AND(LOWER(B681)="y",H681&gt;Setup!$B$4))</f>
        <v/>
      </c>
      <c r="J681" s="12">
        <f>IF(D681="","",IF(AND(I681=TRUE,G681=""),F681,0))</f>
        <v/>
      </c>
      <c r="K681" s="12">
        <f>IF(OR(D681="",G681=""),0,F681)</f>
        <v/>
      </c>
      <c r="L681" s="12">
        <f>IF(OR(D681="",G681=""),0,H681*F681)</f>
        <v/>
      </c>
    </row>
    <row r="682">
      <c r="A682" s="9" t="n"/>
      <c r="B682" s="9" t="n"/>
      <c r="C682" s="9" t="n"/>
      <c r="D682" s="9" t="n"/>
      <c r="E682" s="8" t="n"/>
      <c r="F682" s="10" t="n"/>
      <c r="G682" s="8" t="n"/>
      <c r="H682" s="11">
        <f>IF(D682="","",IF(G682="",Setup!$B$5,G682)-E682)</f>
        <v/>
      </c>
      <c r="I682" s="6">
        <f>IF(D682="","",AND(LOWER(B682)="y",H682&gt;Setup!$B$4))</f>
        <v/>
      </c>
      <c r="J682" s="12">
        <f>IF(D682="","",IF(AND(I682=TRUE,G682=""),F682,0))</f>
        <v/>
      </c>
      <c r="K682" s="12">
        <f>IF(OR(D682="",G682=""),0,F682)</f>
        <v/>
      </c>
      <c r="L682" s="12">
        <f>IF(OR(D682="",G682=""),0,H682*F682)</f>
        <v/>
      </c>
    </row>
    <row r="683">
      <c r="A683" s="9" t="n"/>
      <c r="B683" s="9" t="n"/>
      <c r="C683" s="9" t="n"/>
      <c r="D683" s="9" t="n"/>
      <c r="E683" s="8" t="n"/>
      <c r="F683" s="10" t="n"/>
      <c r="G683" s="8" t="n"/>
      <c r="H683" s="11">
        <f>IF(D683="","",IF(G683="",Setup!$B$5,G683)-E683)</f>
        <v/>
      </c>
      <c r="I683" s="6">
        <f>IF(D683="","",AND(LOWER(B683)="y",H683&gt;Setup!$B$4))</f>
        <v/>
      </c>
      <c r="J683" s="12">
        <f>IF(D683="","",IF(AND(I683=TRUE,G683=""),F683,0))</f>
        <v/>
      </c>
      <c r="K683" s="12">
        <f>IF(OR(D683="",G683=""),0,F683)</f>
        <v/>
      </c>
      <c r="L683" s="12">
        <f>IF(OR(D683="",G683=""),0,H683*F683)</f>
        <v/>
      </c>
    </row>
    <row r="684">
      <c r="A684" s="9" t="n"/>
      <c r="B684" s="9" t="n"/>
      <c r="C684" s="9" t="n"/>
      <c r="D684" s="9" t="n"/>
      <c r="E684" s="8" t="n"/>
      <c r="F684" s="10" t="n"/>
      <c r="G684" s="8" t="n"/>
      <c r="H684" s="11">
        <f>IF(D684="","",IF(G684="",Setup!$B$5,G684)-E684)</f>
        <v/>
      </c>
      <c r="I684" s="6">
        <f>IF(D684="","",AND(LOWER(B684)="y",H684&gt;Setup!$B$4))</f>
        <v/>
      </c>
      <c r="J684" s="12">
        <f>IF(D684="","",IF(AND(I684=TRUE,G684=""),F684,0))</f>
        <v/>
      </c>
      <c r="K684" s="12">
        <f>IF(OR(D684="",G684=""),0,F684)</f>
        <v/>
      </c>
      <c r="L684" s="12">
        <f>IF(OR(D684="",G684=""),0,H684*F684)</f>
        <v/>
      </c>
    </row>
    <row r="685">
      <c r="A685" s="9" t="n"/>
      <c r="B685" s="9" t="n"/>
      <c r="C685" s="9" t="n"/>
      <c r="D685" s="9" t="n"/>
      <c r="E685" s="8" t="n"/>
      <c r="F685" s="10" t="n"/>
      <c r="G685" s="8" t="n"/>
      <c r="H685" s="11">
        <f>IF(D685="","",IF(G685="",Setup!$B$5,G685)-E685)</f>
        <v/>
      </c>
      <c r="I685" s="6">
        <f>IF(D685="","",AND(LOWER(B685)="y",H685&gt;Setup!$B$4))</f>
        <v/>
      </c>
      <c r="J685" s="12">
        <f>IF(D685="","",IF(AND(I685=TRUE,G685=""),F685,0))</f>
        <v/>
      </c>
      <c r="K685" s="12">
        <f>IF(OR(D685="",G685=""),0,F685)</f>
        <v/>
      </c>
      <c r="L685" s="12">
        <f>IF(OR(D685="",G685=""),0,H685*F685)</f>
        <v/>
      </c>
    </row>
    <row r="686">
      <c r="A686" s="9" t="n"/>
      <c r="B686" s="9" t="n"/>
      <c r="C686" s="9" t="n"/>
      <c r="D686" s="9" t="n"/>
      <c r="E686" s="8" t="n"/>
      <c r="F686" s="10" t="n"/>
      <c r="G686" s="8" t="n"/>
      <c r="H686" s="11">
        <f>IF(D686="","",IF(G686="",Setup!$B$5,G686)-E686)</f>
        <v/>
      </c>
      <c r="I686" s="6">
        <f>IF(D686="","",AND(LOWER(B686)="y",H686&gt;Setup!$B$4))</f>
        <v/>
      </c>
      <c r="J686" s="12">
        <f>IF(D686="","",IF(AND(I686=TRUE,G686=""),F686,0))</f>
        <v/>
      </c>
      <c r="K686" s="12">
        <f>IF(OR(D686="",G686=""),0,F686)</f>
        <v/>
      </c>
      <c r="L686" s="12">
        <f>IF(OR(D686="",G686=""),0,H686*F686)</f>
        <v/>
      </c>
    </row>
    <row r="687">
      <c r="A687" s="9" t="n"/>
      <c r="B687" s="9" t="n"/>
      <c r="C687" s="9" t="n"/>
      <c r="D687" s="9" t="n"/>
      <c r="E687" s="8" t="n"/>
      <c r="F687" s="10" t="n"/>
      <c r="G687" s="8" t="n"/>
      <c r="H687" s="11">
        <f>IF(D687="","",IF(G687="",Setup!$B$5,G687)-E687)</f>
        <v/>
      </c>
      <c r="I687" s="6">
        <f>IF(D687="","",AND(LOWER(B687)="y",H687&gt;Setup!$B$4))</f>
        <v/>
      </c>
      <c r="J687" s="12">
        <f>IF(D687="","",IF(AND(I687=TRUE,G687=""),F687,0))</f>
        <v/>
      </c>
      <c r="K687" s="12">
        <f>IF(OR(D687="",G687=""),0,F687)</f>
        <v/>
      </c>
      <c r="L687" s="12">
        <f>IF(OR(D687="",G687=""),0,H687*F687)</f>
        <v/>
      </c>
    </row>
    <row r="688">
      <c r="A688" s="9" t="n"/>
      <c r="B688" s="9" t="n"/>
      <c r="C688" s="9" t="n"/>
      <c r="D688" s="9" t="n"/>
      <c r="E688" s="8" t="n"/>
      <c r="F688" s="10" t="n"/>
      <c r="G688" s="8" t="n"/>
      <c r="H688" s="11">
        <f>IF(D688="","",IF(G688="",Setup!$B$5,G688)-E688)</f>
        <v/>
      </c>
      <c r="I688" s="6">
        <f>IF(D688="","",AND(LOWER(B688)="y",H688&gt;Setup!$B$4))</f>
        <v/>
      </c>
      <c r="J688" s="12">
        <f>IF(D688="","",IF(AND(I688=TRUE,G688=""),F688,0))</f>
        <v/>
      </c>
      <c r="K688" s="12">
        <f>IF(OR(D688="",G688=""),0,F688)</f>
        <v/>
      </c>
      <c r="L688" s="12">
        <f>IF(OR(D688="",G688=""),0,H688*F688)</f>
        <v/>
      </c>
    </row>
    <row r="689">
      <c r="A689" s="9" t="n"/>
      <c r="B689" s="9" t="n"/>
      <c r="C689" s="9" t="n"/>
      <c r="D689" s="9" t="n"/>
      <c r="E689" s="8" t="n"/>
      <c r="F689" s="10" t="n"/>
      <c r="G689" s="8" t="n"/>
      <c r="H689" s="11">
        <f>IF(D689="","",IF(G689="",Setup!$B$5,G689)-E689)</f>
        <v/>
      </c>
      <c r="I689" s="6">
        <f>IF(D689="","",AND(LOWER(B689)="y",H689&gt;Setup!$B$4))</f>
        <v/>
      </c>
      <c r="J689" s="12">
        <f>IF(D689="","",IF(AND(I689=TRUE,G689=""),F689,0))</f>
        <v/>
      </c>
      <c r="K689" s="12">
        <f>IF(OR(D689="",G689=""),0,F689)</f>
        <v/>
      </c>
      <c r="L689" s="12">
        <f>IF(OR(D689="",G689=""),0,H689*F689)</f>
        <v/>
      </c>
    </row>
    <row r="690">
      <c r="A690" s="9" t="n"/>
      <c r="B690" s="9" t="n"/>
      <c r="C690" s="9" t="n"/>
      <c r="D690" s="9" t="n"/>
      <c r="E690" s="8" t="n"/>
      <c r="F690" s="10" t="n"/>
      <c r="G690" s="8" t="n"/>
      <c r="H690" s="11">
        <f>IF(D690="","",IF(G690="",Setup!$B$5,G690)-E690)</f>
        <v/>
      </c>
      <c r="I690" s="6">
        <f>IF(D690="","",AND(LOWER(B690)="y",H690&gt;Setup!$B$4))</f>
        <v/>
      </c>
      <c r="J690" s="12">
        <f>IF(D690="","",IF(AND(I690=TRUE,G690=""),F690,0))</f>
        <v/>
      </c>
      <c r="K690" s="12">
        <f>IF(OR(D690="",G690=""),0,F690)</f>
        <v/>
      </c>
      <c r="L690" s="12">
        <f>IF(OR(D690="",G690=""),0,H690*F690)</f>
        <v/>
      </c>
    </row>
    <row r="691">
      <c r="A691" s="9" t="n"/>
      <c r="B691" s="9" t="n"/>
      <c r="C691" s="9" t="n"/>
      <c r="D691" s="9" t="n"/>
      <c r="E691" s="8" t="n"/>
      <c r="F691" s="10" t="n"/>
      <c r="G691" s="8" t="n"/>
      <c r="H691" s="11">
        <f>IF(D691="","",IF(G691="",Setup!$B$5,G691)-E691)</f>
        <v/>
      </c>
      <c r="I691" s="6">
        <f>IF(D691="","",AND(LOWER(B691)="y",H691&gt;Setup!$B$4))</f>
        <v/>
      </c>
      <c r="J691" s="12">
        <f>IF(D691="","",IF(AND(I691=TRUE,G691=""),F691,0))</f>
        <v/>
      </c>
      <c r="K691" s="12">
        <f>IF(OR(D691="",G691=""),0,F691)</f>
        <v/>
      </c>
      <c r="L691" s="12">
        <f>IF(OR(D691="",G691=""),0,H691*F691)</f>
        <v/>
      </c>
    </row>
    <row r="692">
      <c r="A692" s="9" t="n"/>
      <c r="B692" s="9" t="n"/>
      <c r="C692" s="9" t="n"/>
      <c r="D692" s="9" t="n"/>
      <c r="E692" s="8" t="n"/>
      <c r="F692" s="10" t="n"/>
      <c r="G692" s="8" t="n"/>
      <c r="H692" s="11">
        <f>IF(D692="","",IF(G692="",Setup!$B$5,G692)-E692)</f>
        <v/>
      </c>
      <c r="I692" s="6">
        <f>IF(D692="","",AND(LOWER(B692)="y",H692&gt;Setup!$B$4))</f>
        <v/>
      </c>
      <c r="J692" s="12">
        <f>IF(D692="","",IF(AND(I692=TRUE,G692=""),F692,0))</f>
        <v/>
      </c>
      <c r="K692" s="12">
        <f>IF(OR(D692="",G692=""),0,F692)</f>
        <v/>
      </c>
      <c r="L692" s="12">
        <f>IF(OR(D692="",G692=""),0,H692*F692)</f>
        <v/>
      </c>
    </row>
    <row r="693">
      <c r="A693" s="9" t="n"/>
      <c r="B693" s="9" t="n"/>
      <c r="C693" s="9" t="n"/>
      <c r="D693" s="9" t="n"/>
      <c r="E693" s="8" t="n"/>
      <c r="F693" s="10" t="n"/>
      <c r="G693" s="8" t="n"/>
      <c r="H693" s="11">
        <f>IF(D693="","",IF(G693="",Setup!$B$5,G693)-E693)</f>
        <v/>
      </c>
      <c r="I693" s="6">
        <f>IF(D693="","",AND(LOWER(B693)="y",H693&gt;Setup!$B$4))</f>
        <v/>
      </c>
      <c r="J693" s="12">
        <f>IF(D693="","",IF(AND(I693=TRUE,G693=""),F693,0))</f>
        <v/>
      </c>
      <c r="K693" s="12">
        <f>IF(OR(D693="",G693=""),0,F693)</f>
        <v/>
      </c>
      <c r="L693" s="12">
        <f>IF(OR(D693="",G693=""),0,H693*F693)</f>
        <v/>
      </c>
    </row>
    <row r="694">
      <c r="A694" s="9" t="n"/>
      <c r="B694" s="9" t="n"/>
      <c r="C694" s="9" t="n"/>
      <c r="D694" s="9" t="n"/>
      <c r="E694" s="8" t="n"/>
      <c r="F694" s="10" t="n"/>
      <c r="G694" s="8" t="n"/>
      <c r="H694" s="11">
        <f>IF(D694="","",IF(G694="",Setup!$B$5,G694)-E694)</f>
        <v/>
      </c>
      <c r="I694" s="6">
        <f>IF(D694="","",AND(LOWER(B694)="y",H694&gt;Setup!$B$4))</f>
        <v/>
      </c>
      <c r="J694" s="12">
        <f>IF(D694="","",IF(AND(I694=TRUE,G694=""),F694,0))</f>
        <v/>
      </c>
      <c r="K694" s="12">
        <f>IF(OR(D694="",G694=""),0,F694)</f>
        <v/>
      </c>
      <c r="L694" s="12">
        <f>IF(OR(D694="",G694=""),0,H694*F694)</f>
        <v/>
      </c>
    </row>
    <row r="695">
      <c r="A695" s="9" t="n"/>
      <c r="B695" s="9" t="n"/>
      <c r="C695" s="9" t="n"/>
      <c r="D695" s="9" t="n"/>
      <c r="E695" s="8" t="n"/>
      <c r="F695" s="10" t="n"/>
      <c r="G695" s="8" t="n"/>
      <c r="H695" s="11">
        <f>IF(D695="","",IF(G695="",Setup!$B$5,G695)-E695)</f>
        <v/>
      </c>
      <c r="I695" s="6">
        <f>IF(D695="","",AND(LOWER(B695)="y",H695&gt;Setup!$B$4))</f>
        <v/>
      </c>
      <c r="J695" s="12">
        <f>IF(D695="","",IF(AND(I695=TRUE,G695=""),F695,0))</f>
        <v/>
      </c>
      <c r="K695" s="12">
        <f>IF(OR(D695="",G695=""),0,F695)</f>
        <v/>
      </c>
      <c r="L695" s="12">
        <f>IF(OR(D695="",G695=""),0,H695*F695)</f>
        <v/>
      </c>
    </row>
    <row r="696">
      <c r="A696" s="9" t="n"/>
      <c r="B696" s="9" t="n"/>
      <c r="C696" s="9" t="n"/>
      <c r="D696" s="9" t="n"/>
      <c r="E696" s="8" t="n"/>
      <c r="F696" s="10" t="n"/>
      <c r="G696" s="8" t="n"/>
      <c r="H696" s="11">
        <f>IF(D696="","",IF(G696="",Setup!$B$5,G696)-E696)</f>
        <v/>
      </c>
      <c r="I696" s="6">
        <f>IF(D696="","",AND(LOWER(B696)="y",H696&gt;Setup!$B$4))</f>
        <v/>
      </c>
      <c r="J696" s="12">
        <f>IF(D696="","",IF(AND(I696=TRUE,G696=""),F696,0))</f>
        <v/>
      </c>
      <c r="K696" s="12">
        <f>IF(OR(D696="",G696=""),0,F696)</f>
        <v/>
      </c>
      <c r="L696" s="12">
        <f>IF(OR(D696="",G696=""),0,H696*F696)</f>
        <v/>
      </c>
    </row>
    <row r="697">
      <c r="A697" s="9" t="n"/>
      <c r="B697" s="9" t="n"/>
      <c r="C697" s="9" t="n"/>
      <c r="D697" s="9" t="n"/>
      <c r="E697" s="8" t="n"/>
      <c r="F697" s="10" t="n"/>
      <c r="G697" s="8" t="n"/>
      <c r="H697" s="11">
        <f>IF(D697="","",IF(G697="",Setup!$B$5,G697)-E697)</f>
        <v/>
      </c>
      <c r="I697" s="6">
        <f>IF(D697="","",AND(LOWER(B697)="y",H697&gt;Setup!$B$4))</f>
        <v/>
      </c>
      <c r="J697" s="12">
        <f>IF(D697="","",IF(AND(I697=TRUE,G697=""),F697,0))</f>
        <v/>
      </c>
      <c r="K697" s="12">
        <f>IF(OR(D697="",G697=""),0,F697)</f>
        <v/>
      </c>
      <c r="L697" s="12">
        <f>IF(OR(D697="",G697=""),0,H697*F697)</f>
        <v/>
      </c>
    </row>
    <row r="698">
      <c r="A698" s="9" t="n"/>
      <c r="B698" s="9" t="n"/>
      <c r="C698" s="9" t="n"/>
      <c r="D698" s="9" t="n"/>
      <c r="E698" s="8" t="n"/>
      <c r="F698" s="10" t="n"/>
      <c r="G698" s="8" t="n"/>
      <c r="H698" s="11">
        <f>IF(D698="","",IF(G698="",Setup!$B$5,G698)-E698)</f>
        <v/>
      </c>
      <c r="I698" s="6">
        <f>IF(D698="","",AND(LOWER(B698)="y",H698&gt;Setup!$B$4))</f>
        <v/>
      </c>
      <c r="J698" s="12">
        <f>IF(D698="","",IF(AND(I698=TRUE,G698=""),F698,0))</f>
        <v/>
      </c>
      <c r="K698" s="12">
        <f>IF(OR(D698="",G698=""),0,F698)</f>
        <v/>
      </c>
      <c r="L698" s="12">
        <f>IF(OR(D698="",G698=""),0,H698*F698)</f>
        <v/>
      </c>
    </row>
    <row r="699">
      <c r="A699" s="9" t="n"/>
      <c r="B699" s="9" t="n"/>
      <c r="C699" s="9" t="n"/>
      <c r="D699" s="9" t="n"/>
      <c r="E699" s="8" t="n"/>
      <c r="F699" s="10" t="n"/>
      <c r="G699" s="8" t="n"/>
      <c r="H699" s="11">
        <f>IF(D699="","",IF(G699="",Setup!$B$5,G699)-E699)</f>
        <v/>
      </c>
      <c r="I699" s="6">
        <f>IF(D699="","",AND(LOWER(B699)="y",H699&gt;Setup!$B$4))</f>
        <v/>
      </c>
      <c r="J699" s="12">
        <f>IF(D699="","",IF(AND(I699=TRUE,G699=""),F699,0))</f>
        <v/>
      </c>
      <c r="K699" s="12">
        <f>IF(OR(D699="",G699=""),0,F699)</f>
        <v/>
      </c>
      <c r="L699" s="12">
        <f>IF(OR(D699="",G699=""),0,H699*F699)</f>
        <v/>
      </c>
    </row>
    <row r="700">
      <c r="A700" s="9" t="n"/>
      <c r="B700" s="9" t="n"/>
      <c r="C700" s="9" t="n"/>
      <c r="D700" s="9" t="n"/>
      <c r="E700" s="8" t="n"/>
      <c r="F700" s="10" t="n"/>
      <c r="G700" s="8" t="n"/>
      <c r="H700" s="11">
        <f>IF(D700="","",IF(G700="",Setup!$B$5,G700)-E700)</f>
        <v/>
      </c>
      <c r="I700" s="6">
        <f>IF(D700="","",AND(LOWER(B700)="y",H700&gt;Setup!$B$4))</f>
        <v/>
      </c>
      <c r="J700" s="12">
        <f>IF(D700="","",IF(AND(I700=TRUE,G700=""),F700,0))</f>
        <v/>
      </c>
      <c r="K700" s="12">
        <f>IF(OR(D700="",G700=""),0,F700)</f>
        <v/>
      </c>
      <c r="L700" s="12">
        <f>IF(OR(D700="",G700=""),0,H700*F700)</f>
        <v/>
      </c>
    </row>
    <row r="701">
      <c r="A701" s="9" t="n"/>
      <c r="B701" s="9" t="n"/>
      <c r="C701" s="9" t="n"/>
      <c r="D701" s="9" t="n"/>
      <c r="E701" s="8" t="n"/>
      <c r="F701" s="10" t="n"/>
      <c r="G701" s="8" t="n"/>
      <c r="H701" s="11">
        <f>IF(D701="","",IF(G701="",Setup!$B$5,G701)-E701)</f>
        <v/>
      </c>
      <c r="I701" s="6">
        <f>IF(D701="","",AND(LOWER(B701)="y",H701&gt;Setup!$B$4))</f>
        <v/>
      </c>
      <c r="J701" s="12">
        <f>IF(D701="","",IF(AND(I701=TRUE,G701=""),F701,0))</f>
        <v/>
      </c>
      <c r="K701" s="12">
        <f>IF(OR(D701="",G701=""),0,F701)</f>
        <v/>
      </c>
      <c r="L701" s="12">
        <f>IF(OR(D701="",G701=""),0,H701*F701)</f>
        <v/>
      </c>
    </row>
    <row r="702">
      <c r="A702" s="9" t="n"/>
      <c r="B702" s="9" t="n"/>
      <c r="C702" s="9" t="n"/>
      <c r="D702" s="9" t="n"/>
      <c r="E702" s="8" t="n"/>
      <c r="F702" s="10" t="n"/>
      <c r="G702" s="8" t="n"/>
      <c r="H702" s="11">
        <f>IF(D702="","",IF(G702="",Setup!$B$5,G702)-E702)</f>
        <v/>
      </c>
      <c r="I702" s="6">
        <f>IF(D702="","",AND(LOWER(B702)="y",H702&gt;Setup!$B$4))</f>
        <v/>
      </c>
      <c r="J702" s="12">
        <f>IF(D702="","",IF(AND(I702=TRUE,G702=""),F702,0))</f>
        <v/>
      </c>
      <c r="K702" s="12">
        <f>IF(OR(D702="",G702=""),0,F702)</f>
        <v/>
      </c>
      <c r="L702" s="12">
        <f>IF(OR(D702="",G702=""),0,H702*F702)</f>
        <v/>
      </c>
    </row>
    <row r="703">
      <c r="A703" s="9" t="n"/>
      <c r="B703" s="9" t="n"/>
      <c r="C703" s="9" t="n"/>
      <c r="D703" s="9" t="n"/>
      <c r="E703" s="8" t="n"/>
      <c r="F703" s="10" t="n"/>
      <c r="G703" s="8" t="n"/>
      <c r="H703" s="11">
        <f>IF(D703="","",IF(G703="",Setup!$B$5,G703)-E703)</f>
        <v/>
      </c>
      <c r="I703" s="6">
        <f>IF(D703="","",AND(LOWER(B703)="y",H703&gt;Setup!$B$4))</f>
        <v/>
      </c>
      <c r="J703" s="12">
        <f>IF(D703="","",IF(AND(I703=TRUE,G703=""),F703,0))</f>
        <v/>
      </c>
      <c r="K703" s="12">
        <f>IF(OR(D703="",G703=""),0,F703)</f>
        <v/>
      </c>
      <c r="L703" s="12">
        <f>IF(OR(D703="",G703=""),0,H703*F703)</f>
        <v/>
      </c>
    </row>
    <row r="704">
      <c r="A704" s="9" t="n"/>
      <c r="B704" s="9" t="n"/>
      <c r="C704" s="9" t="n"/>
      <c r="D704" s="9" t="n"/>
      <c r="E704" s="8" t="n"/>
      <c r="F704" s="10" t="n"/>
      <c r="G704" s="8" t="n"/>
      <c r="H704" s="11">
        <f>IF(D704="","",IF(G704="",Setup!$B$5,G704)-E704)</f>
        <v/>
      </c>
      <c r="I704" s="6">
        <f>IF(D704="","",AND(LOWER(B704)="y",H704&gt;Setup!$B$4))</f>
        <v/>
      </c>
      <c r="J704" s="12">
        <f>IF(D704="","",IF(AND(I704=TRUE,G704=""),F704,0))</f>
        <v/>
      </c>
      <c r="K704" s="12">
        <f>IF(OR(D704="",G704=""),0,F704)</f>
        <v/>
      </c>
      <c r="L704" s="12">
        <f>IF(OR(D704="",G704=""),0,H704*F704)</f>
        <v/>
      </c>
    </row>
    <row r="705">
      <c r="A705" s="9" t="n"/>
      <c r="B705" s="9" t="n"/>
      <c r="C705" s="9" t="n"/>
      <c r="D705" s="9" t="n"/>
      <c r="E705" s="8" t="n"/>
      <c r="F705" s="10" t="n"/>
      <c r="G705" s="8" t="n"/>
      <c r="H705" s="11">
        <f>IF(D705="","",IF(G705="",Setup!$B$5,G705)-E705)</f>
        <v/>
      </c>
      <c r="I705" s="6">
        <f>IF(D705="","",AND(LOWER(B705)="y",H705&gt;Setup!$B$4))</f>
        <v/>
      </c>
      <c r="J705" s="12">
        <f>IF(D705="","",IF(AND(I705=TRUE,G705=""),F705,0))</f>
        <v/>
      </c>
      <c r="K705" s="12">
        <f>IF(OR(D705="",G705=""),0,F705)</f>
        <v/>
      </c>
      <c r="L705" s="12">
        <f>IF(OR(D705="",G705=""),0,H705*F705)</f>
        <v/>
      </c>
    </row>
    <row r="706">
      <c r="A706" s="9" t="n"/>
      <c r="B706" s="9" t="n"/>
      <c r="C706" s="9" t="n"/>
      <c r="D706" s="9" t="n"/>
      <c r="E706" s="8" t="n"/>
      <c r="F706" s="10" t="n"/>
      <c r="G706" s="8" t="n"/>
      <c r="H706" s="11">
        <f>IF(D706="","",IF(G706="",Setup!$B$5,G706)-E706)</f>
        <v/>
      </c>
      <c r="I706" s="6">
        <f>IF(D706="","",AND(LOWER(B706)="y",H706&gt;Setup!$B$4))</f>
        <v/>
      </c>
      <c r="J706" s="12">
        <f>IF(D706="","",IF(AND(I706=TRUE,G706=""),F706,0))</f>
        <v/>
      </c>
      <c r="K706" s="12">
        <f>IF(OR(D706="",G706=""),0,F706)</f>
        <v/>
      </c>
      <c r="L706" s="12">
        <f>IF(OR(D706="",G706=""),0,H706*F706)</f>
        <v/>
      </c>
    </row>
    <row r="707">
      <c r="A707" s="9" t="n"/>
      <c r="B707" s="9" t="n"/>
      <c r="C707" s="9" t="n"/>
      <c r="D707" s="9" t="n"/>
      <c r="E707" s="8" t="n"/>
      <c r="F707" s="10" t="n"/>
      <c r="G707" s="8" t="n"/>
      <c r="H707" s="11">
        <f>IF(D707="","",IF(G707="",Setup!$B$5,G707)-E707)</f>
        <v/>
      </c>
      <c r="I707" s="6">
        <f>IF(D707="","",AND(LOWER(B707)="y",H707&gt;Setup!$B$4))</f>
        <v/>
      </c>
      <c r="J707" s="12">
        <f>IF(D707="","",IF(AND(I707=TRUE,G707=""),F707,0))</f>
        <v/>
      </c>
      <c r="K707" s="12">
        <f>IF(OR(D707="",G707=""),0,F707)</f>
        <v/>
      </c>
      <c r="L707" s="12">
        <f>IF(OR(D707="",G707=""),0,H707*F707)</f>
        <v/>
      </c>
    </row>
    <row r="708">
      <c r="A708" s="9" t="n"/>
      <c r="B708" s="9" t="n"/>
      <c r="C708" s="9" t="n"/>
      <c r="D708" s="9" t="n"/>
      <c r="E708" s="8" t="n"/>
      <c r="F708" s="10" t="n"/>
      <c r="G708" s="8" t="n"/>
      <c r="H708" s="11">
        <f>IF(D708="","",IF(G708="",Setup!$B$5,G708)-E708)</f>
        <v/>
      </c>
      <c r="I708" s="6">
        <f>IF(D708="","",AND(LOWER(B708)="y",H708&gt;Setup!$B$4))</f>
        <v/>
      </c>
      <c r="J708" s="12">
        <f>IF(D708="","",IF(AND(I708=TRUE,G708=""),F708,0))</f>
        <v/>
      </c>
      <c r="K708" s="12">
        <f>IF(OR(D708="",G708=""),0,F708)</f>
        <v/>
      </c>
      <c r="L708" s="12">
        <f>IF(OR(D708="",G708=""),0,H708*F708)</f>
        <v/>
      </c>
    </row>
    <row r="709">
      <c r="A709" s="9" t="n"/>
      <c r="B709" s="9" t="n"/>
      <c r="C709" s="9" t="n"/>
      <c r="D709" s="9" t="n"/>
      <c r="E709" s="8" t="n"/>
      <c r="F709" s="10" t="n"/>
      <c r="G709" s="8" t="n"/>
      <c r="H709" s="11">
        <f>IF(D709="","",IF(G709="",Setup!$B$5,G709)-E709)</f>
        <v/>
      </c>
      <c r="I709" s="6">
        <f>IF(D709="","",AND(LOWER(B709)="y",H709&gt;Setup!$B$4))</f>
        <v/>
      </c>
      <c r="J709" s="12">
        <f>IF(D709="","",IF(AND(I709=TRUE,G709=""),F709,0))</f>
        <v/>
      </c>
      <c r="K709" s="12">
        <f>IF(OR(D709="",G709=""),0,F709)</f>
        <v/>
      </c>
      <c r="L709" s="12">
        <f>IF(OR(D709="",G709=""),0,H709*F709)</f>
        <v/>
      </c>
    </row>
    <row r="710">
      <c r="A710" s="9" t="n"/>
      <c r="B710" s="9" t="n"/>
      <c r="C710" s="9" t="n"/>
      <c r="D710" s="9" t="n"/>
      <c r="E710" s="8" t="n"/>
      <c r="F710" s="10" t="n"/>
      <c r="G710" s="8" t="n"/>
      <c r="H710" s="11">
        <f>IF(D710="","",IF(G710="",Setup!$B$5,G710)-E710)</f>
        <v/>
      </c>
      <c r="I710" s="6">
        <f>IF(D710="","",AND(LOWER(B710)="y",H710&gt;Setup!$B$4))</f>
        <v/>
      </c>
      <c r="J710" s="12">
        <f>IF(D710="","",IF(AND(I710=TRUE,G710=""),F710,0))</f>
        <v/>
      </c>
      <c r="K710" s="12">
        <f>IF(OR(D710="",G710=""),0,F710)</f>
        <v/>
      </c>
      <c r="L710" s="12">
        <f>IF(OR(D710="",G710=""),0,H710*F710)</f>
        <v/>
      </c>
    </row>
    <row r="711">
      <c r="A711" s="9" t="n"/>
      <c r="B711" s="9" t="n"/>
      <c r="C711" s="9" t="n"/>
      <c r="D711" s="9" t="n"/>
      <c r="E711" s="8" t="n"/>
      <c r="F711" s="10" t="n"/>
      <c r="G711" s="8" t="n"/>
      <c r="H711" s="11">
        <f>IF(D711="","",IF(G711="",Setup!$B$5,G711)-E711)</f>
        <v/>
      </c>
      <c r="I711" s="6">
        <f>IF(D711="","",AND(LOWER(B711)="y",H711&gt;Setup!$B$4))</f>
        <v/>
      </c>
      <c r="J711" s="12">
        <f>IF(D711="","",IF(AND(I711=TRUE,G711=""),F711,0))</f>
        <v/>
      </c>
      <c r="K711" s="12">
        <f>IF(OR(D711="",G711=""),0,F711)</f>
        <v/>
      </c>
      <c r="L711" s="12">
        <f>IF(OR(D711="",G711=""),0,H711*F711)</f>
        <v/>
      </c>
    </row>
    <row r="712">
      <c r="A712" s="9" t="n"/>
      <c r="B712" s="9" t="n"/>
      <c r="C712" s="9" t="n"/>
      <c r="D712" s="9" t="n"/>
      <c r="E712" s="8" t="n"/>
      <c r="F712" s="10" t="n"/>
      <c r="G712" s="8" t="n"/>
      <c r="H712" s="11">
        <f>IF(D712="","",IF(G712="",Setup!$B$5,G712)-E712)</f>
        <v/>
      </c>
      <c r="I712" s="6">
        <f>IF(D712="","",AND(LOWER(B712)="y",H712&gt;Setup!$B$4))</f>
        <v/>
      </c>
      <c r="J712" s="12">
        <f>IF(D712="","",IF(AND(I712=TRUE,G712=""),F712,0))</f>
        <v/>
      </c>
      <c r="K712" s="12">
        <f>IF(OR(D712="",G712=""),0,F712)</f>
        <v/>
      </c>
      <c r="L712" s="12">
        <f>IF(OR(D712="",G712=""),0,H712*F712)</f>
        <v/>
      </c>
    </row>
    <row r="713">
      <c r="A713" s="9" t="n"/>
      <c r="B713" s="9" t="n"/>
      <c r="C713" s="9" t="n"/>
      <c r="D713" s="9" t="n"/>
      <c r="E713" s="8" t="n"/>
      <c r="F713" s="10" t="n"/>
      <c r="G713" s="8" t="n"/>
      <c r="H713" s="11">
        <f>IF(D713="","",IF(G713="",Setup!$B$5,G713)-E713)</f>
        <v/>
      </c>
      <c r="I713" s="6">
        <f>IF(D713="","",AND(LOWER(B713)="y",H713&gt;Setup!$B$4))</f>
        <v/>
      </c>
      <c r="J713" s="12">
        <f>IF(D713="","",IF(AND(I713=TRUE,G713=""),F713,0))</f>
        <v/>
      </c>
      <c r="K713" s="12">
        <f>IF(OR(D713="",G713=""),0,F713)</f>
        <v/>
      </c>
      <c r="L713" s="12">
        <f>IF(OR(D713="",G713=""),0,H713*F713)</f>
        <v/>
      </c>
    </row>
    <row r="714">
      <c r="A714" s="9" t="n"/>
      <c r="B714" s="9" t="n"/>
      <c r="C714" s="9" t="n"/>
      <c r="D714" s="9" t="n"/>
      <c r="E714" s="8" t="n"/>
      <c r="F714" s="10" t="n"/>
      <c r="G714" s="8" t="n"/>
      <c r="H714" s="11">
        <f>IF(D714="","",IF(G714="",Setup!$B$5,G714)-E714)</f>
        <v/>
      </c>
      <c r="I714" s="6">
        <f>IF(D714="","",AND(LOWER(B714)="y",H714&gt;Setup!$B$4))</f>
        <v/>
      </c>
      <c r="J714" s="12">
        <f>IF(D714="","",IF(AND(I714=TRUE,G714=""),F714,0))</f>
        <v/>
      </c>
      <c r="K714" s="12">
        <f>IF(OR(D714="",G714=""),0,F714)</f>
        <v/>
      </c>
      <c r="L714" s="12">
        <f>IF(OR(D714="",G714=""),0,H714*F714)</f>
        <v/>
      </c>
    </row>
    <row r="715">
      <c r="A715" s="9" t="n"/>
      <c r="B715" s="9" t="n"/>
      <c r="C715" s="9" t="n"/>
      <c r="D715" s="9" t="n"/>
      <c r="E715" s="8" t="n"/>
      <c r="F715" s="10" t="n"/>
      <c r="G715" s="8" t="n"/>
      <c r="H715" s="11">
        <f>IF(D715="","",IF(G715="",Setup!$B$5,G715)-E715)</f>
        <v/>
      </c>
      <c r="I715" s="6">
        <f>IF(D715="","",AND(LOWER(B715)="y",H715&gt;Setup!$B$4))</f>
        <v/>
      </c>
      <c r="J715" s="12">
        <f>IF(D715="","",IF(AND(I715=TRUE,G715=""),F715,0))</f>
        <v/>
      </c>
      <c r="K715" s="12">
        <f>IF(OR(D715="",G715=""),0,F715)</f>
        <v/>
      </c>
      <c r="L715" s="12">
        <f>IF(OR(D715="",G715=""),0,H715*F715)</f>
        <v/>
      </c>
    </row>
    <row r="716">
      <c r="A716" s="9" t="n"/>
      <c r="B716" s="9" t="n"/>
      <c r="C716" s="9" t="n"/>
      <c r="D716" s="9" t="n"/>
      <c r="E716" s="8" t="n"/>
      <c r="F716" s="10" t="n"/>
      <c r="G716" s="8" t="n"/>
      <c r="H716" s="11">
        <f>IF(D716="","",IF(G716="",Setup!$B$5,G716)-E716)</f>
        <v/>
      </c>
      <c r="I716" s="6">
        <f>IF(D716="","",AND(LOWER(B716)="y",H716&gt;Setup!$B$4))</f>
        <v/>
      </c>
      <c r="J716" s="12">
        <f>IF(D716="","",IF(AND(I716=TRUE,G716=""),F716,0))</f>
        <v/>
      </c>
      <c r="K716" s="12">
        <f>IF(OR(D716="",G716=""),0,F716)</f>
        <v/>
      </c>
      <c r="L716" s="12">
        <f>IF(OR(D716="",G716=""),0,H716*F716)</f>
        <v/>
      </c>
    </row>
    <row r="717">
      <c r="A717" s="9" t="n"/>
      <c r="B717" s="9" t="n"/>
      <c r="C717" s="9" t="n"/>
      <c r="D717" s="9" t="n"/>
      <c r="E717" s="8" t="n"/>
      <c r="F717" s="10" t="n"/>
      <c r="G717" s="8" t="n"/>
      <c r="H717" s="11">
        <f>IF(D717="","",IF(G717="",Setup!$B$5,G717)-E717)</f>
        <v/>
      </c>
      <c r="I717" s="6">
        <f>IF(D717="","",AND(LOWER(B717)="y",H717&gt;Setup!$B$4))</f>
        <v/>
      </c>
      <c r="J717" s="12">
        <f>IF(D717="","",IF(AND(I717=TRUE,G717=""),F717,0))</f>
        <v/>
      </c>
      <c r="K717" s="12">
        <f>IF(OR(D717="",G717=""),0,F717)</f>
        <v/>
      </c>
      <c r="L717" s="12">
        <f>IF(OR(D717="",G717=""),0,H717*F717)</f>
        <v/>
      </c>
    </row>
    <row r="718">
      <c r="A718" s="9" t="n"/>
      <c r="B718" s="9" t="n"/>
      <c r="C718" s="9" t="n"/>
      <c r="D718" s="9" t="n"/>
      <c r="E718" s="8" t="n"/>
      <c r="F718" s="10" t="n"/>
      <c r="G718" s="8" t="n"/>
      <c r="H718" s="11">
        <f>IF(D718="","",IF(G718="",Setup!$B$5,G718)-E718)</f>
        <v/>
      </c>
      <c r="I718" s="6">
        <f>IF(D718="","",AND(LOWER(B718)="y",H718&gt;Setup!$B$4))</f>
        <v/>
      </c>
      <c r="J718" s="12">
        <f>IF(D718="","",IF(AND(I718=TRUE,G718=""),F718,0))</f>
        <v/>
      </c>
      <c r="K718" s="12">
        <f>IF(OR(D718="",G718=""),0,F718)</f>
        <v/>
      </c>
      <c r="L718" s="12">
        <f>IF(OR(D718="",G718=""),0,H718*F718)</f>
        <v/>
      </c>
    </row>
    <row r="719">
      <c r="A719" s="9" t="n"/>
      <c r="B719" s="9" t="n"/>
      <c r="C719" s="9" t="n"/>
      <c r="D719" s="9" t="n"/>
      <c r="E719" s="8" t="n"/>
      <c r="F719" s="10" t="n"/>
      <c r="G719" s="8" t="n"/>
      <c r="H719" s="11">
        <f>IF(D719="","",IF(G719="",Setup!$B$5,G719)-E719)</f>
        <v/>
      </c>
      <c r="I719" s="6">
        <f>IF(D719="","",AND(LOWER(B719)="y",H719&gt;Setup!$B$4))</f>
        <v/>
      </c>
      <c r="J719" s="12">
        <f>IF(D719="","",IF(AND(I719=TRUE,G719=""),F719,0))</f>
        <v/>
      </c>
      <c r="K719" s="12">
        <f>IF(OR(D719="",G719=""),0,F719)</f>
        <v/>
      </c>
      <c r="L719" s="12">
        <f>IF(OR(D719="",G719=""),0,H719*F719)</f>
        <v/>
      </c>
    </row>
    <row r="720">
      <c r="A720" s="9" t="n"/>
      <c r="B720" s="9" t="n"/>
      <c r="C720" s="9" t="n"/>
      <c r="D720" s="9" t="n"/>
      <c r="E720" s="8" t="n"/>
      <c r="F720" s="10" t="n"/>
      <c r="G720" s="8" t="n"/>
      <c r="H720" s="11">
        <f>IF(D720="","",IF(G720="",Setup!$B$5,G720)-E720)</f>
        <v/>
      </c>
      <c r="I720" s="6">
        <f>IF(D720="","",AND(LOWER(B720)="y",H720&gt;Setup!$B$4))</f>
        <v/>
      </c>
      <c r="J720" s="12">
        <f>IF(D720="","",IF(AND(I720=TRUE,G720=""),F720,0))</f>
        <v/>
      </c>
      <c r="K720" s="12">
        <f>IF(OR(D720="",G720=""),0,F720)</f>
        <v/>
      </c>
      <c r="L720" s="12">
        <f>IF(OR(D720="",G720=""),0,H720*F720)</f>
        <v/>
      </c>
    </row>
    <row r="721">
      <c r="A721" s="9" t="n"/>
      <c r="B721" s="9" t="n"/>
      <c r="C721" s="9" t="n"/>
      <c r="D721" s="9" t="n"/>
      <c r="E721" s="8" t="n"/>
      <c r="F721" s="10" t="n"/>
      <c r="G721" s="8" t="n"/>
      <c r="H721" s="11">
        <f>IF(D721="","",IF(G721="",Setup!$B$5,G721)-E721)</f>
        <v/>
      </c>
      <c r="I721" s="6">
        <f>IF(D721="","",AND(LOWER(B721)="y",H721&gt;Setup!$B$4))</f>
        <v/>
      </c>
      <c r="J721" s="12">
        <f>IF(D721="","",IF(AND(I721=TRUE,G721=""),F721,0))</f>
        <v/>
      </c>
      <c r="K721" s="12">
        <f>IF(OR(D721="",G721=""),0,F721)</f>
        <v/>
      </c>
      <c r="L721" s="12">
        <f>IF(OR(D721="",G721=""),0,H721*F721)</f>
        <v/>
      </c>
    </row>
    <row r="722">
      <c r="A722" s="9" t="n"/>
      <c r="B722" s="9" t="n"/>
      <c r="C722" s="9" t="n"/>
      <c r="D722" s="9" t="n"/>
      <c r="E722" s="8" t="n"/>
      <c r="F722" s="10" t="n"/>
      <c r="G722" s="8" t="n"/>
      <c r="H722" s="11">
        <f>IF(D722="","",IF(G722="",Setup!$B$5,G722)-E722)</f>
        <v/>
      </c>
      <c r="I722" s="6">
        <f>IF(D722="","",AND(LOWER(B722)="y",H722&gt;Setup!$B$4))</f>
        <v/>
      </c>
      <c r="J722" s="12">
        <f>IF(D722="","",IF(AND(I722=TRUE,G722=""),F722,0))</f>
        <v/>
      </c>
      <c r="K722" s="12">
        <f>IF(OR(D722="",G722=""),0,F722)</f>
        <v/>
      </c>
      <c r="L722" s="12">
        <f>IF(OR(D722="",G722=""),0,H722*F722)</f>
        <v/>
      </c>
    </row>
    <row r="723">
      <c r="A723" s="9" t="n"/>
      <c r="B723" s="9" t="n"/>
      <c r="C723" s="9" t="n"/>
      <c r="D723" s="9" t="n"/>
      <c r="E723" s="8" t="n"/>
      <c r="F723" s="10" t="n"/>
      <c r="G723" s="8" t="n"/>
      <c r="H723" s="11">
        <f>IF(D723="","",IF(G723="",Setup!$B$5,G723)-E723)</f>
        <v/>
      </c>
      <c r="I723" s="6">
        <f>IF(D723="","",AND(LOWER(B723)="y",H723&gt;Setup!$B$4))</f>
        <v/>
      </c>
      <c r="J723" s="12">
        <f>IF(D723="","",IF(AND(I723=TRUE,G723=""),F723,0))</f>
        <v/>
      </c>
      <c r="K723" s="12">
        <f>IF(OR(D723="",G723=""),0,F723)</f>
        <v/>
      </c>
      <c r="L723" s="12">
        <f>IF(OR(D723="",G723=""),0,H723*F723)</f>
        <v/>
      </c>
    </row>
    <row r="724">
      <c r="A724" s="9" t="n"/>
      <c r="B724" s="9" t="n"/>
      <c r="C724" s="9" t="n"/>
      <c r="D724" s="9" t="n"/>
      <c r="E724" s="8" t="n"/>
      <c r="F724" s="10" t="n"/>
      <c r="G724" s="8" t="n"/>
      <c r="H724" s="11">
        <f>IF(D724="","",IF(G724="",Setup!$B$5,G724)-E724)</f>
        <v/>
      </c>
      <c r="I724" s="6">
        <f>IF(D724="","",AND(LOWER(B724)="y",H724&gt;Setup!$B$4))</f>
        <v/>
      </c>
      <c r="J724" s="12">
        <f>IF(D724="","",IF(AND(I724=TRUE,G724=""),F724,0))</f>
        <v/>
      </c>
      <c r="K724" s="12">
        <f>IF(OR(D724="",G724=""),0,F724)</f>
        <v/>
      </c>
      <c r="L724" s="12">
        <f>IF(OR(D724="",G724=""),0,H724*F724)</f>
        <v/>
      </c>
    </row>
    <row r="725">
      <c r="A725" s="9" t="n"/>
      <c r="B725" s="9" t="n"/>
      <c r="C725" s="9" t="n"/>
      <c r="D725" s="9" t="n"/>
      <c r="E725" s="8" t="n"/>
      <c r="F725" s="10" t="n"/>
      <c r="G725" s="8" t="n"/>
      <c r="H725" s="11">
        <f>IF(D725="","",IF(G725="",Setup!$B$5,G725)-E725)</f>
        <v/>
      </c>
      <c r="I725" s="6">
        <f>IF(D725="","",AND(LOWER(B725)="y",H725&gt;Setup!$B$4))</f>
        <v/>
      </c>
      <c r="J725" s="12">
        <f>IF(D725="","",IF(AND(I725=TRUE,G725=""),F725,0))</f>
        <v/>
      </c>
      <c r="K725" s="12">
        <f>IF(OR(D725="",G725=""),0,F725)</f>
        <v/>
      </c>
      <c r="L725" s="12">
        <f>IF(OR(D725="",G725=""),0,H725*F725)</f>
        <v/>
      </c>
    </row>
    <row r="726">
      <c r="A726" s="9" t="n"/>
      <c r="B726" s="9" t="n"/>
      <c r="C726" s="9" t="n"/>
      <c r="D726" s="9" t="n"/>
      <c r="E726" s="8" t="n"/>
      <c r="F726" s="10" t="n"/>
      <c r="G726" s="8" t="n"/>
      <c r="H726" s="11">
        <f>IF(D726="","",IF(G726="",Setup!$B$5,G726)-E726)</f>
        <v/>
      </c>
      <c r="I726" s="6">
        <f>IF(D726="","",AND(LOWER(B726)="y",H726&gt;Setup!$B$4))</f>
        <v/>
      </c>
      <c r="J726" s="12">
        <f>IF(D726="","",IF(AND(I726=TRUE,G726=""),F726,0))</f>
        <v/>
      </c>
      <c r="K726" s="12">
        <f>IF(OR(D726="",G726=""),0,F726)</f>
        <v/>
      </c>
      <c r="L726" s="12">
        <f>IF(OR(D726="",G726=""),0,H726*F726)</f>
        <v/>
      </c>
    </row>
    <row r="727">
      <c r="A727" s="9" t="n"/>
      <c r="B727" s="9" t="n"/>
      <c r="C727" s="9" t="n"/>
      <c r="D727" s="9" t="n"/>
      <c r="E727" s="8" t="n"/>
      <c r="F727" s="10" t="n"/>
      <c r="G727" s="8" t="n"/>
      <c r="H727" s="11">
        <f>IF(D727="","",IF(G727="",Setup!$B$5,G727)-E727)</f>
        <v/>
      </c>
      <c r="I727" s="6">
        <f>IF(D727="","",AND(LOWER(B727)="y",H727&gt;Setup!$B$4))</f>
        <v/>
      </c>
      <c r="J727" s="12">
        <f>IF(D727="","",IF(AND(I727=TRUE,G727=""),F727,0))</f>
        <v/>
      </c>
      <c r="K727" s="12">
        <f>IF(OR(D727="",G727=""),0,F727)</f>
        <v/>
      </c>
      <c r="L727" s="12">
        <f>IF(OR(D727="",G727=""),0,H727*F727)</f>
        <v/>
      </c>
    </row>
    <row r="728">
      <c r="A728" s="9" t="n"/>
      <c r="B728" s="9" t="n"/>
      <c r="C728" s="9" t="n"/>
      <c r="D728" s="9" t="n"/>
      <c r="E728" s="8" t="n"/>
      <c r="F728" s="10" t="n"/>
      <c r="G728" s="8" t="n"/>
      <c r="H728" s="11">
        <f>IF(D728="","",IF(G728="",Setup!$B$5,G728)-E728)</f>
        <v/>
      </c>
      <c r="I728" s="6">
        <f>IF(D728="","",AND(LOWER(B728)="y",H728&gt;Setup!$B$4))</f>
        <v/>
      </c>
      <c r="J728" s="12">
        <f>IF(D728="","",IF(AND(I728=TRUE,G728=""),F728,0))</f>
        <v/>
      </c>
      <c r="K728" s="12">
        <f>IF(OR(D728="",G728=""),0,F728)</f>
        <v/>
      </c>
      <c r="L728" s="12">
        <f>IF(OR(D728="",G728=""),0,H728*F728)</f>
        <v/>
      </c>
    </row>
    <row r="729">
      <c r="A729" s="9" t="n"/>
      <c r="B729" s="9" t="n"/>
      <c r="C729" s="9" t="n"/>
      <c r="D729" s="9" t="n"/>
      <c r="E729" s="8" t="n"/>
      <c r="F729" s="10" t="n"/>
      <c r="G729" s="8" t="n"/>
      <c r="H729" s="11">
        <f>IF(D729="","",IF(G729="",Setup!$B$5,G729)-E729)</f>
        <v/>
      </c>
      <c r="I729" s="6">
        <f>IF(D729="","",AND(LOWER(B729)="y",H729&gt;Setup!$B$4))</f>
        <v/>
      </c>
      <c r="J729" s="12">
        <f>IF(D729="","",IF(AND(I729=TRUE,G729=""),F729,0))</f>
        <v/>
      </c>
      <c r="K729" s="12">
        <f>IF(OR(D729="",G729=""),0,F729)</f>
        <v/>
      </c>
      <c r="L729" s="12">
        <f>IF(OR(D729="",G729=""),0,H729*F729)</f>
        <v/>
      </c>
    </row>
    <row r="730">
      <c r="A730" s="9" t="n"/>
      <c r="B730" s="9" t="n"/>
      <c r="C730" s="9" t="n"/>
      <c r="D730" s="9" t="n"/>
      <c r="E730" s="8" t="n"/>
      <c r="F730" s="10" t="n"/>
      <c r="G730" s="8" t="n"/>
      <c r="H730" s="11">
        <f>IF(D730="","",IF(G730="",Setup!$B$5,G730)-E730)</f>
        <v/>
      </c>
      <c r="I730" s="6">
        <f>IF(D730="","",AND(LOWER(B730)="y",H730&gt;Setup!$B$4))</f>
        <v/>
      </c>
      <c r="J730" s="12">
        <f>IF(D730="","",IF(AND(I730=TRUE,G730=""),F730,0))</f>
        <v/>
      </c>
      <c r="K730" s="12">
        <f>IF(OR(D730="",G730=""),0,F730)</f>
        <v/>
      </c>
      <c r="L730" s="12">
        <f>IF(OR(D730="",G730=""),0,H730*F730)</f>
        <v/>
      </c>
    </row>
    <row r="731">
      <c r="A731" s="9" t="n"/>
      <c r="B731" s="9" t="n"/>
      <c r="C731" s="9" t="n"/>
      <c r="D731" s="9" t="n"/>
      <c r="E731" s="8" t="n"/>
      <c r="F731" s="10" t="n"/>
      <c r="G731" s="8" t="n"/>
      <c r="H731" s="11">
        <f>IF(D731="","",IF(G731="",Setup!$B$5,G731)-E731)</f>
        <v/>
      </c>
      <c r="I731" s="6">
        <f>IF(D731="","",AND(LOWER(B731)="y",H731&gt;Setup!$B$4))</f>
        <v/>
      </c>
      <c r="J731" s="12">
        <f>IF(D731="","",IF(AND(I731=TRUE,G731=""),F731,0))</f>
        <v/>
      </c>
      <c r="K731" s="12">
        <f>IF(OR(D731="",G731=""),0,F731)</f>
        <v/>
      </c>
      <c r="L731" s="12">
        <f>IF(OR(D731="",G731=""),0,H731*F731)</f>
        <v/>
      </c>
    </row>
    <row r="732">
      <c r="A732" s="9" t="n"/>
      <c r="B732" s="9" t="n"/>
      <c r="C732" s="9" t="n"/>
      <c r="D732" s="9" t="n"/>
      <c r="E732" s="8" t="n"/>
      <c r="F732" s="10" t="n"/>
      <c r="G732" s="8" t="n"/>
      <c r="H732" s="11">
        <f>IF(D732="","",IF(G732="",Setup!$B$5,G732)-E732)</f>
        <v/>
      </c>
      <c r="I732" s="6">
        <f>IF(D732="","",AND(LOWER(B732)="y",H732&gt;Setup!$B$4))</f>
        <v/>
      </c>
      <c r="J732" s="12">
        <f>IF(D732="","",IF(AND(I732=TRUE,G732=""),F732,0))</f>
        <v/>
      </c>
      <c r="K732" s="12">
        <f>IF(OR(D732="",G732=""),0,F732)</f>
        <v/>
      </c>
      <c r="L732" s="12">
        <f>IF(OR(D732="",G732=""),0,H732*F732)</f>
        <v/>
      </c>
    </row>
    <row r="733">
      <c r="A733" s="9" t="n"/>
      <c r="B733" s="9" t="n"/>
      <c r="C733" s="9" t="n"/>
      <c r="D733" s="9" t="n"/>
      <c r="E733" s="8" t="n"/>
      <c r="F733" s="10" t="n"/>
      <c r="G733" s="8" t="n"/>
      <c r="H733" s="11">
        <f>IF(D733="","",IF(G733="",Setup!$B$5,G733)-E733)</f>
        <v/>
      </c>
      <c r="I733" s="6">
        <f>IF(D733="","",AND(LOWER(B733)="y",H733&gt;Setup!$B$4))</f>
        <v/>
      </c>
      <c r="J733" s="12">
        <f>IF(D733="","",IF(AND(I733=TRUE,G733=""),F733,0))</f>
        <v/>
      </c>
      <c r="K733" s="12">
        <f>IF(OR(D733="",G733=""),0,F733)</f>
        <v/>
      </c>
      <c r="L733" s="12">
        <f>IF(OR(D733="",G733=""),0,H733*F733)</f>
        <v/>
      </c>
    </row>
    <row r="734">
      <c r="A734" s="9" t="n"/>
      <c r="B734" s="9" t="n"/>
      <c r="C734" s="9" t="n"/>
      <c r="D734" s="9" t="n"/>
      <c r="E734" s="8" t="n"/>
      <c r="F734" s="10" t="n"/>
      <c r="G734" s="8" t="n"/>
      <c r="H734" s="11">
        <f>IF(D734="","",IF(G734="",Setup!$B$5,G734)-E734)</f>
        <v/>
      </c>
      <c r="I734" s="6">
        <f>IF(D734="","",AND(LOWER(B734)="y",H734&gt;Setup!$B$4))</f>
        <v/>
      </c>
      <c r="J734" s="12">
        <f>IF(D734="","",IF(AND(I734=TRUE,G734=""),F734,0))</f>
        <v/>
      </c>
      <c r="K734" s="12">
        <f>IF(OR(D734="",G734=""),0,F734)</f>
        <v/>
      </c>
      <c r="L734" s="12">
        <f>IF(OR(D734="",G734=""),0,H734*F734)</f>
        <v/>
      </c>
    </row>
    <row r="735">
      <c r="A735" s="9" t="n"/>
      <c r="B735" s="9" t="n"/>
      <c r="C735" s="9" t="n"/>
      <c r="D735" s="9" t="n"/>
      <c r="E735" s="8" t="n"/>
      <c r="F735" s="10" t="n"/>
      <c r="G735" s="8" t="n"/>
      <c r="H735" s="11">
        <f>IF(D735="","",IF(G735="",Setup!$B$5,G735)-E735)</f>
        <v/>
      </c>
      <c r="I735" s="6">
        <f>IF(D735="","",AND(LOWER(B735)="y",H735&gt;Setup!$B$4))</f>
        <v/>
      </c>
      <c r="J735" s="12">
        <f>IF(D735="","",IF(AND(I735=TRUE,G735=""),F735,0))</f>
        <v/>
      </c>
      <c r="K735" s="12">
        <f>IF(OR(D735="",G735=""),0,F735)</f>
        <v/>
      </c>
      <c r="L735" s="12">
        <f>IF(OR(D735="",G735=""),0,H735*F735)</f>
        <v/>
      </c>
    </row>
    <row r="736">
      <c r="A736" s="9" t="n"/>
      <c r="B736" s="9" t="n"/>
      <c r="C736" s="9" t="n"/>
      <c r="D736" s="9" t="n"/>
      <c r="E736" s="8" t="n"/>
      <c r="F736" s="10" t="n"/>
      <c r="G736" s="8" t="n"/>
      <c r="H736" s="11">
        <f>IF(D736="","",IF(G736="",Setup!$B$5,G736)-E736)</f>
        <v/>
      </c>
      <c r="I736" s="6">
        <f>IF(D736="","",AND(LOWER(B736)="y",H736&gt;Setup!$B$4))</f>
        <v/>
      </c>
      <c r="J736" s="12">
        <f>IF(D736="","",IF(AND(I736=TRUE,G736=""),F736,0))</f>
        <v/>
      </c>
      <c r="K736" s="12">
        <f>IF(OR(D736="",G736=""),0,F736)</f>
        <v/>
      </c>
      <c r="L736" s="12">
        <f>IF(OR(D736="",G736=""),0,H736*F736)</f>
        <v/>
      </c>
    </row>
    <row r="737">
      <c r="A737" s="9" t="n"/>
      <c r="B737" s="9" t="n"/>
      <c r="C737" s="9" t="n"/>
      <c r="D737" s="9" t="n"/>
      <c r="E737" s="8" t="n"/>
      <c r="F737" s="10" t="n"/>
      <c r="G737" s="8" t="n"/>
      <c r="H737" s="11">
        <f>IF(D737="","",IF(G737="",Setup!$B$5,G737)-E737)</f>
        <v/>
      </c>
      <c r="I737" s="6">
        <f>IF(D737="","",AND(LOWER(B737)="y",H737&gt;Setup!$B$4))</f>
        <v/>
      </c>
      <c r="J737" s="12">
        <f>IF(D737="","",IF(AND(I737=TRUE,G737=""),F737,0))</f>
        <v/>
      </c>
      <c r="K737" s="12">
        <f>IF(OR(D737="",G737=""),0,F737)</f>
        <v/>
      </c>
      <c r="L737" s="12">
        <f>IF(OR(D737="",G737=""),0,H737*F737)</f>
        <v/>
      </c>
    </row>
    <row r="738">
      <c r="A738" s="9" t="n"/>
      <c r="B738" s="9" t="n"/>
      <c r="C738" s="9" t="n"/>
      <c r="D738" s="9" t="n"/>
      <c r="E738" s="8" t="n"/>
      <c r="F738" s="10" t="n"/>
      <c r="G738" s="8" t="n"/>
      <c r="H738" s="11">
        <f>IF(D738="","",IF(G738="",Setup!$B$5,G738)-E738)</f>
        <v/>
      </c>
      <c r="I738" s="6">
        <f>IF(D738="","",AND(LOWER(B738)="y",H738&gt;Setup!$B$4))</f>
        <v/>
      </c>
      <c r="J738" s="12">
        <f>IF(D738="","",IF(AND(I738=TRUE,G738=""),F738,0))</f>
        <v/>
      </c>
      <c r="K738" s="12">
        <f>IF(OR(D738="",G738=""),0,F738)</f>
        <v/>
      </c>
      <c r="L738" s="12">
        <f>IF(OR(D738="",G738=""),0,H738*F738)</f>
        <v/>
      </c>
    </row>
    <row r="739">
      <c r="A739" s="9" t="n"/>
      <c r="B739" s="9" t="n"/>
      <c r="C739" s="9" t="n"/>
      <c r="D739" s="9" t="n"/>
      <c r="E739" s="8" t="n"/>
      <c r="F739" s="10" t="n"/>
      <c r="G739" s="8" t="n"/>
      <c r="H739" s="11">
        <f>IF(D739="","",IF(G739="",Setup!$B$5,G739)-E739)</f>
        <v/>
      </c>
      <c r="I739" s="6">
        <f>IF(D739="","",AND(LOWER(B739)="y",H739&gt;Setup!$B$4))</f>
        <v/>
      </c>
      <c r="J739" s="12">
        <f>IF(D739="","",IF(AND(I739=TRUE,G739=""),F739,0))</f>
        <v/>
      </c>
      <c r="K739" s="12">
        <f>IF(OR(D739="",G739=""),0,F739)</f>
        <v/>
      </c>
      <c r="L739" s="12">
        <f>IF(OR(D739="",G739=""),0,H739*F739)</f>
        <v/>
      </c>
    </row>
    <row r="740">
      <c r="A740" s="9" t="n"/>
      <c r="B740" s="9" t="n"/>
      <c r="C740" s="9" t="n"/>
      <c r="D740" s="9" t="n"/>
      <c r="E740" s="8" t="n"/>
      <c r="F740" s="10" t="n"/>
      <c r="G740" s="8" t="n"/>
      <c r="H740" s="11">
        <f>IF(D740="","",IF(G740="",Setup!$B$5,G740)-E740)</f>
        <v/>
      </c>
      <c r="I740" s="6">
        <f>IF(D740="","",AND(LOWER(B740)="y",H740&gt;Setup!$B$4))</f>
        <v/>
      </c>
      <c r="J740" s="12">
        <f>IF(D740="","",IF(AND(I740=TRUE,G740=""),F740,0))</f>
        <v/>
      </c>
      <c r="K740" s="12">
        <f>IF(OR(D740="",G740=""),0,F740)</f>
        <v/>
      </c>
      <c r="L740" s="12">
        <f>IF(OR(D740="",G740=""),0,H740*F740)</f>
        <v/>
      </c>
    </row>
    <row r="741">
      <c r="A741" s="9" t="n"/>
      <c r="B741" s="9" t="n"/>
      <c r="C741" s="9" t="n"/>
      <c r="D741" s="9" t="n"/>
      <c r="E741" s="8" t="n"/>
      <c r="F741" s="10" t="n"/>
      <c r="G741" s="8" t="n"/>
      <c r="H741" s="11">
        <f>IF(D741="","",IF(G741="",Setup!$B$5,G741)-E741)</f>
        <v/>
      </c>
      <c r="I741" s="6">
        <f>IF(D741="","",AND(LOWER(B741)="y",H741&gt;Setup!$B$4))</f>
        <v/>
      </c>
      <c r="J741" s="12">
        <f>IF(D741="","",IF(AND(I741=TRUE,G741=""),F741,0))</f>
        <v/>
      </c>
      <c r="K741" s="12">
        <f>IF(OR(D741="",G741=""),0,F741)</f>
        <v/>
      </c>
      <c r="L741" s="12">
        <f>IF(OR(D741="",G741=""),0,H741*F741)</f>
        <v/>
      </c>
    </row>
    <row r="742">
      <c r="A742" s="9" t="n"/>
      <c r="B742" s="9" t="n"/>
      <c r="C742" s="9" t="n"/>
      <c r="D742" s="9" t="n"/>
      <c r="E742" s="8" t="n"/>
      <c r="F742" s="10" t="n"/>
      <c r="G742" s="8" t="n"/>
      <c r="H742" s="11">
        <f>IF(D742="","",IF(G742="",Setup!$B$5,G742)-E742)</f>
        <v/>
      </c>
      <c r="I742" s="6">
        <f>IF(D742="","",AND(LOWER(B742)="y",H742&gt;Setup!$B$4))</f>
        <v/>
      </c>
      <c r="J742" s="12">
        <f>IF(D742="","",IF(AND(I742=TRUE,G742=""),F742,0))</f>
        <v/>
      </c>
      <c r="K742" s="12">
        <f>IF(OR(D742="",G742=""),0,F742)</f>
        <v/>
      </c>
      <c r="L742" s="12">
        <f>IF(OR(D742="",G742=""),0,H742*F742)</f>
        <v/>
      </c>
    </row>
    <row r="743">
      <c r="A743" s="9" t="n"/>
      <c r="B743" s="9" t="n"/>
      <c r="C743" s="9" t="n"/>
      <c r="D743" s="9" t="n"/>
      <c r="E743" s="8" t="n"/>
      <c r="F743" s="10" t="n"/>
      <c r="G743" s="8" t="n"/>
      <c r="H743" s="11">
        <f>IF(D743="","",IF(G743="",Setup!$B$5,G743)-E743)</f>
        <v/>
      </c>
      <c r="I743" s="6">
        <f>IF(D743="","",AND(LOWER(B743)="y",H743&gt;Setup!$B$4))</f>
        <v/>
      </c>
      <c r="J743" s="12">
        <f>IF(D743="","",IF(AND(I743=TRUE,G743=""),F743,0))</f>
        <v/>
      </c>
      <c r="K743" s="12">
        <f>IF(OR(D743="",G743=""),0,F743)</f>
        <v/>
      </c>
      <c r="L743" s="12">
        <f>IF(OR(D743="",G743=""),0,H743*F743)</f>
        <v/>
      </c>
    </row>
    <row r="744">
      <c r="A744" s="9" t="n"/>
      <c r="B744" s="9" t="n"/>
      <c r="C744" s="9" t="n"/>
      <c r="D744" s="9" t="n"/>
      <c r="E744" s="8" t="n"/>
      <c r="F744" s="10" t="n"/>
      <c r="G744" s="8" t="n"/>
      <c r="H744" s="11">
        <f>IF(D744="","",IF(G744="",Setup!$B$5,G744)-E744)</f>
        <v/>
      </c>
      <c r="I744" s="6">
        <f>IF(D744="","",AND(LOWER(B744)="y",H744&gt;Setup!$B$4))</f>
        <v/>
      </c>
      <c r="J744" s="12">
        <f>IF(D744="","",IF(AND(I744=TRUE,G744=""),F744,0))</f>
        <v/>
      </c>
      <c r="K744" s="12">
        <f>IF(OR(D744="",G744=""),0,F744)</f>
        <v/>
      </c>
      <c r="L744" s="12">
        <f>IF(OR(D744="",G744=""),0,H744*F744)</f>
        <v/>
      </c>
    </row>
    <row r="745">
      <c r="A745" s="9" t="n"/>
      <c r="B745" s="9" t="n"/>
      <c r="C745" s="9" t="n"/>
      <c r="D745" s="9" t="n"/>
      <c r="E745" s="8" t="n"/>
      <c r="F745" s="10" t="n"/>
      <c r="G745" s="8" t="n"/>
      <c r="H745" s="11">
        <f>IF(D745="","",IF(G745="",Setup!$B$5,G745)-E745)</f>
        <v/>
      </c>
      <c r="I745" s="6">
        <f>IF(D745="","",AND(LOWER(B745)="y",H745&gt;Setup!$B$4))</f>
        <v/>
      </c>
      <c r="J745" s="12">
        <f>IF(D745="","",IF(AND(I745=TRUE,G745=""),F745,0))</f>
        <v/>
      </c>
      <c r="K745" s="12">
        <f>IF(OR(D745="",G745=""),0,F745)</f>
        <v/>
      </c>
      <c r="L745" s="12">
        <f>IF(OR(D745="",G745=""),0,H745*F745)</f>
        <v/>
      </c>
    </row>
    <row r="746">
      <c r="A746" s="9" t="n"/>
      <c r="B746" s="9" t="n"/>
      <c r="C746" s="9" t="n"/>
      <c r="D746" s="9" t="n"/>
      <c r="E746" s="8" t="n"/>
      <c r="F746" s="10" t="n"/>
      <c r="G746" s="8" t="n"/>
      <c r="H746" s="11">
        <f>IF(D746="","",IF(G746="",Setup!$B$5,G746)-E746)</f>
        <v/>
      </c>
      <c r="I746" s="6">
        <f>IF(D746="","",AND(LOWER(B746)="y",H746&gt;Setup!$B$4))</f>
        <v/>
      </c>
      <c r="J746" s="12">
        <f>IF(D746="","",IF(AND(I746=TRUE,G746=""),F746,0))</f>
        <v/>
      </c>
      <c r="K746" s="12">
        <f>IF(OR(D746="",G746=""),0,F746)</f>
        <v/>
      </c>
      <c r="L746" s="12">
        <f>IF(OR(D746="",G746=""),0,H746*F746)</f>
        <v/>
      </c>
    </row>
    <row r="747">
      <c r="A747" s="9" t="n"/>
      <c r="B747" s="9" t="n"/>
      <c r="C747" s="9" t="n"/>
      <c r="D747" s="9" t="n"/>
      <c r="E747" s="8" t="n"/>
      <c r="F747" s="10" t="n"/>
      <c r="G747" s="8" t="n"/>
      <c r="H747" s="11">
        <f>IF(D747="","",IF(G747="",Setup!$B$5,G747)-E747)</f>
        <v/>
      </c>
      <c r="I747" s="6">
        <f>IF(D747="","",AND(LOWER(B747)="y",H747&gt;Setup!$B$4))</f>
        <v/>
      </c>
      <c r="J747" s="12">
        <f>IF(D747="","",IF(AND(I747=TRUE,G747=""),F747,0))</f>
        <v/>
      </c>
      <c r="K747" s="12">
        <f>IF(OR(D747="",G747=""),0,F747)</f>
        <v/>
      </c>
      <c r="L747" s="12">
        <f>IF(OR(D747="",G747=""),0,H747*F747)</f>
        <v/>
      </c>
    </row>
    <row r="748">
      <c r="A748" s="9" t="n"/>
      <c r="B748" s="9" t="n"/>
      <c r="C748" s="9" t="n"/>
      <c r="D748" s="9" t="n"/>
      <c r="E748" s="8" t="n"/>
      <c r="F748" s="10" t="n"/>
      <c r="G748" s="8" t="n"/>
      <c r="H748" s="11">
        <f>IF(D748="","",IF(G748="",Setup!$B$5,G748)-E748)</f>
        <v/>
      </c>
      <c r="I748" s="6">
        <f>IF(D748="","",AND(LOWER(B748)="y",H748&gt;Setup!$B$4))</f>
        <v/>
      </c>
      <c r="J748" s="12">
        <f>IF(D748="","",IF(AND(I748=TRUE,G748=""),F748,0))</f>
        <v/>
      </c>
      <c r="K748" s="12">
        <f>IF(OR(D748="",G748=""),0,F748)</f>
        <v/>
      </c>
      <c r="L748" s="12">
        <f>IF(OR(D748="",G748=""),0,H748*F748)</f>
        <v/>
      </c>
    </row>
    <row r="749">
      <c r="A749" s="9" t="n"/>
      <c r="B749" s="9" t="n"/>
      <c r="C749" s="9" t="n"/>
      <c r="D749" s="9" t="n"/>
      <c r="E749" s="8" t="n"/>
      <c r="F749" s="10" t="n"/>
      <c r="G749" s="8" t="n"/>
      <c r="H749" s="11">
        <f>IF(D749="","",IF(G749="",Setup!$B$5,G749)-E749)</f>
        <v/>
      </c>
      <c r="I749" s="6">
        <f>IF(D749="","",AND(LOWER(B749)="y",H749&gt;Setup!$B$4))</f>
        <v/>
      </c>
      <c r="J749" s="12">
        <f>IF(D749="","",IF(AND(I749=TRUE,G749=""),F749,0))</f>
        <v/>
      </c>
      <c r="K749" s="12">
        <f>IF(OR(D749="",G749=""),0,F749)</f>
        <v/>
      </c>
      <c r="L749" s="12">
        <f>IF(OR(D749="",G749=""),0,H749*F749)</f>
        <v/>
      </c>
    </row>
    <row r="750">
      <c r="A750" s="9" t="n"/>
      <c r="B750" s="9" t="n"/>
      <c r="C750" s="9" t="n"/>
      <c r="D750" s="9" t="n"/>
      <c r="E750" s="8" t="n"/>
      <c r="F750" s="10" t="n"/>
      <c r="G750" s="8" t="n"/>
      <c r="H750" s="11">
        <f>IF(D750="","",IF(G750="",Setup!$B$5,G750)-E750)</f>
        <v/>
      </c>
      <c r="I750" s="6">
        <f>IF(D750="","",AND(LOWER(B750)="y",H750&gt;Setup!$B$4))</f>
        <v/>
      </c>
      <c r="J750" s="12">
        <f>IF(D750="","",IF(AND(I750=TRUE,G750=""),F750,0))</f>
        <v/>
      </c>
      <c r="K750" s="12">
        <f>IF(OR(D750="",G750=""),0,F750)</f>
        <v/>
      </c>
      <c r="L750" s="12">
        <f>IF(OR(D750="",G750=""),0,H750*F750)</f>
        <v/>
      </c>
    </row>
    <row r="751">
      <c r="A751" s="9" t="n"/>
      <c r="B751" s="9" t="n"/>
      <c r="C751" s="9" t="n"/>
      <c r="D751" s="9" t="n"/>
      <c r="E751" s="8" t="n"/>
      <c r="F751" s="10" t="n"/>
      <c r="G751" s="8" t="n"/>
      <c r="H751" s="11">
        <f>IF(D751="","",IF(G751="",Setup!$B$5,G751)-E751)</f>
        <v/>
      </c>
      <c r="I751" s="6">
        <f>IF(D751="","",AND(LOWER(B751)="y",H751&gt;Setup!$B$4))</f>
        <v/>
      </c>
      <c r="J751" s="12">
        <f>IF(D751="","",IF(AND(I751=TRUE,G751=""),F751,0))</f>
        <v/>
      </c>
      <c r="K751" s="12">
        <f>IF(OR(D751="",G751=""),0,F751)</f>
        <v/>
      </c>
      <c r="L751" s="12">
        <f>IF(OR(D751="",G751=""),0,H751*F751)</f>
        <v/>
      </c>
    </row>
    <row r="752">
      <c r="A752" s="9" t="n"/>
      <c r="B752" s="9" t="n"/>
      <c r="C752" s="9" t="n"/>
      <c r="D752" s="9" t="n"/>
      <c r="E752" s="8" t="n"/>
      <c r="F752" s="10" t="n"/>
      <c r="G752" s="8" t="n"/>
      <c r="H752" s="11">
        <f>IF(D752="","",IF(G752="",Setup!$B$5,G752)-E752)</f>
        <v/>
      </c>
      <c r="I752" s="6">
        <f>IF(D752="","",AND(LOWER(B752)="y",H752&gt;Setup!$B$4))</f>
        <v/>
      </c>
      <c r="J752" s="12">
        <f>IF(D752="","",IF(AND(I752=TRUE,G752=""),F752,0))</f>
        <v/>
      </c>
      <c r="K752" s="12">
        <f>IF(OR(D752="",G752=""),0,F752)</f>
        <v/>
      </c>
      <c r="L752" s="12">
        <f>IF(OR(D752="",G752=""),0,H752*F752)</f>
        <v/>
      </c>
    </row>
    <row r="753">
      <c r="A753" s="9" t="n"/>
      <c r="B753" s="9" t="n"/>
      <c r="C753" s="9" t="n"/>
      <c r="D753" s="9" t="n"/>
      <c r="E753" s="8" t="n"/>
      <c r="F753" s="10" t="n"/>
      <c r="G753" s="8" t="n"/>
      <c r="H753" s="11">
        <f>IF(D753="","",IF(G753="",Setup!$B$5,G753)-E753)</f>
        <v/>
      </c>
      <c r="I753" s="6">
        <f>IF(D753="","",AND(LOWER(B753)="y",H753&gt;Setup!$B$4))</f>
        <v/>
      </c>
      <c r="J753" s="12">
        <f>IF(D753="","",IF(AND(I753=TRUE,G753=""),F753,0))</f>
        <v/>
      </c>
      <c r="K753" s="12">
        <f>IF(OR(D753="",G753=""),0,F753)</f>
        <v/>
      </c>
      <c r="L753" s="12">
        <f>IF(OR(D753="",G753=""),0,H753*F753)</f>
        <v/>
      </c>
    </row>
    <row r="754">
      <c r="A754" s="9" t="n"/>
      <c r="B754" s="9" t="n"/>
      <c r="C754" s="9" t="n"/>
      <c r="D754" s="9" t="n"/>
      <c r="E754" s="8" t="n"/>
      <c r="F754" s="10" t="n"/>
      <c r="G754" s="8" t="n"/>
      <c r="H754" s="11">
        <f>IF(D754="","",IF(G754="",Setup!$B$5,G754)-E754)</f>
        <v/>
      </c>
      <c r="I754" s="6">
        <f>IF(D754="","",AND(LOWER(B754)="y",H754&gt;Setup!$B$4))</f>
        <v/>
      </c>
      <c r="J754" s="12">
        <f>IF(D754="","",IF(AND(I754=TRUE,G754=""),F754,0))</f>
        <v/>
      </c>
      <c r="K754" s="12">
        <f>IF(OR(D754="",G754=""),0,F754)</f>
        <v/>
      </c>
      <c r="L754" s="12">
        <f>IF(OR(D754="",G754=""),0,H754*F754)</f>
        <v/>
      </c>
    </row>
    <row r="755">
      <c r="A755" s="9" t="n"/>
      <c r="B755" s="9" t="n"/>
      <c r="C755" s="9" t="n"/>
      <c r="D755" s="9" t="n"/>
      <c r="E755" s="8" t="n"/>
      <c r="F755" s="10" t="n"/>
      <c r="G755" s="8" t="n"/>
      <c r="H755" s="11">
        <f>IF(D755="","",IF(G755="",Setup!$B$5,G755)-E755)</f>
        <v/>
      </c>
      <c r="I755" s="6">
        <f>IF(D755="","",AND(LOWER(B755)="y",H755&gt;Setup!$B$4))</f>
        <v/>
      </c>
      <c r="J755" s="12">
        <f>IF(D755="","",IF(AND(I755=TRUE,G755=""),F755,0))</f>
        <v/>
      </c>
      <c r="K755" s="12">
        <f>IF(OR(D755="",G755=""),0,F755)</f>
        <v/>
      </c>
      <c r="L755" s="12">
        <f>IF(OR(D755="",G755=""),0,H755*F755)</f>
        <v/>
      </c>
    </row>
    <row r="756">
      <c r="A756" s="9" t="n"/>
      <c r="B756" s="9" t="n"/>
      <c r="C756" s="9" t="n"/>
      <c r="D756" s="9" t="n"/>
      <c r="E756" s="8" t="n"/>
      <c r="F756" s="10" t="n"/>
      <c r="G756" s="8" t="n"/>
      <c r="H756" s="11">
        <f>IF(D756="","",IF(G756="",Setup!$B$5,G756)-E756)</f>
        <v/>
      </c>
      <c r="I756" s="6">
        <f>IF(D756="","",AND(LOWER(B756)="y",H756&gt;Setup!$B$4))</f>
        <v/>
      </c>
      <c r="J756" s="12">
        <f>IF(D756="","",IF(AND(I756=TRUE,G756=""),F756,0))</f>
        <v/>
      </c>
      <c r="K756" s="12">
        <f>IF(OR(D756="",G756=""),0,F756)</f>
        <v/>
      </c>
      <c r="L756" s="12">
        <f>IF(OR(D756="",G756=""),0,H756*F756)</f>
        <v/>
      </c>
    </row>
    <row r="757">
      <c r="A757" s="9" t="n"/>
      <c r="B757" s="9" t="n"/>
      <c r="C757" s="9" t="n"/>
      <c r="D757" s="9" t="n"/>
      <c r="E757" s="8" t="n"/>
      <c r="F757" s="10" t="n"/>
      <c r="G757" s="8" t="n"/>
      <c r="H757" s="11">
        <f>IF(D757="","",IF(G757="",Setup!$B$5,G757)-E757)</f>
        <v/>
      </c>
      <c r="I757" s="6">
        <f>IF(D757="","",AND(LOWER(B757)="y",H757&gt;Setup!$B$4))</f>
        <v/>
      </c>
      <c r="J757" s="12">
        <f>IF(D757="","",IF(AND(I757=TRUE,G757=""),F757,0))</f>
        <v/>
      </c>
      <c r="K757" s="12">
        <f>IF(OR(D757="",G757=""),0,F757)</f>
        <v/>
      </c>
      <c r="L757" s="12">
        <f>IF(OR(D757="",G757=""),0,H757*F757)</f>
        <v/>
      </c>
    </row>
    <row r="758">
      <c r="A758" s="9" t="n"/>
      <c r="B758" s="9" t="n"/>
      <c r="C758" s="9" t="n"/>
      <c r="D758" s="9" t="n"/>
      <c r="E758" s="8" t="n"/>
      <c r="F758" s="10" t="n"/>
      <c r="G758" s="8" t="n"/>
      <c r="H758" s="11">
        <f>IF(D758="","",IF(G758="",Setup!$B$5,G758)-E758)</f>
        <v/>
      </c>
      <c r="I758" s="6">
        <f>IF(D758="","",AND(LOWER(B758)="y",H758&gt;Setup!$B$4))</f>
        <v/>
      </c>
      <c r="J758" s="12">
        <f>IF(D758="","",IF(AND(I758=TRUE,G758=""),F758,0))</f>
        <v/>
      </c>
      <c r="K758" s="12">
        <f>IF(OR(D758="",G758=""),0,F758)</f>
        <v/>
      </c>
      <c r="L758" s="12">
        <f>IF(OR(D758="",G758=""),0,H758*F758)</f>
        <v/>
      </c>
    </row>
    <row r="759">
      <c r="A759" s="9" t="n"/>
      <c r="B759" s="9" t="n"/>
      <c r="C759" s="9" t="n"/>
      <c r="D759" s="9" t="n"/>
      <c r="E759" s="8" t="n"/>
      <c r="F759" s="10" t="n"/>
      <c r="G759" s="8" t="n"/>
      <c r="H759" s="11">
        <f>IF(D759="","",IF(G759="",Setup!$B$5,G759)-E759)</f>
        <v/>
      </c>
      <c r="I759" s="6">
        <f>IF(D759="","",AND(LOWER(B759)="y",H759&gt;Setup!$B$4))</f>
        <v/>
      </c>
      <c r="J759" s="12">
        <f>IF(D759="","",IF(AND(I759=TRUE,G759=""),F759,0))</f>
        <v/>
      </c>
      <c r="K759" s="12">
        <f>IF(OR(D759="",G759=""),0,F759)</f>
        <v/>
      </c>
      <c r="L759" s="12">
        <f>IF(OR(D759="",G759=""),0,H759*F759)</f>
        <v/>
      </c>
    </row>
    <row r="760">
      <c r="A760" s="9" t="n"/>
      <c r="B760" s="9" t="n"/>
      <c r="C760" s="9" t="n"/>
      <c r="D760" s="9" t="n"/>
      <c r="E760" s="8" t="n"/>
      <c r="F760" s="10" t="n"/>
      <c r="G760" s="8" t="n"/>
      <c r="H760" s="11">
        <f>IF(D760="","",IF(G760="",Setup!$B$5,G760)-E760)</f>
        <v/>
      </c>
      <c r="I760" s="6">
        <f>IF(D760="","",AND(LOWER(B760)="y",H760&gt;Setup!$B$4))</f>
        <v/>
      </c>
      <c r="J760" s="12">
        <f>IF(D760="","",IF(AND(I760=TRUE,G760=""),F760,0))</f>
        <v/>
      </c>
      <c r="K760" s="12">
        <f>IF(OR(D760="",G760=""),0,F760)</f>
        <v/>
      </c>
      <c r="L760" s="12">
        <f>IF(OR(D760="",G760=""),0,H760*F760)</f>
        <v/>
      </c>
    </row>
    <row r="761">
      <c r="A761" s="9" t="n"/>
      <c r="B761" s="9" t="n"/>
      <c r="C761" s="9" t="n"/>
      <c r="D761" s="9" t="n"/>
      <c r="E761" s="8" t="n"/>
      <c r="F761" s="10" t="n"/>
      <c r="G761" s="8" t="n"/>
      <c r="H761" s="11">
        <f>IF(D761="","",IF(G761="",Setup!$B$5,G761)-E761)</f>
        <v/>
      </c>
      <c r="I761" s="6">
        <f>IF(D761="","",AND(LOWER(B761)="y",H761&gt;Setup!$B$4))</f>
        <v/>
      </c>
      <c r="J761" s="12">
        <f>IF(D761="","",IF(AND(I761=TRUE,G761=""),F761,0))</f>
        <v/>
      </c>
      <c r="K761" s="12">
        <f>IF(OR(D761="",G761=""),0,F761)</f>
        <v/>
      </c>
      <c r="L761" s="12">
        <f>IF(OR(D761="",G761=""),0,H761*F761)</f>
        <v/>
      </c>
    </row>
    <row r="762">
      <c r="A762" s="9" t="n"/>
      <c r="B762" s="9" t="n"/>
      <c r="C762" s="9" t="n"/>
      <c r="D762" s="9" t="n"/>
      <c r="E762" s="8" t="n"/>
      <c r="F762" s="10" t="n"/>
      <c r="G762" s="8" t="n"/>
      <c r="H762" s="11">
        <f>IF(D762="","",IF(G762="",Setup!$B$5,G762)-E762)</f>
        <v/>
      </c>
      <c r="I762" s="6">
        <f>IF(D762="","",AND(LOWER(B762)="y",H762&gt;Setup!$B$4))</f>
        <v/>
      </c>
      <c r="J762" s="12">
        <f>IF(D762="","",IF(AND(I762=TRUE,G762=""),F762,0))</f>
        <v/>
      </c>
      <c r="K762" s="12">
        <f>IF(OR(D762="",G762=""),0,F762)</f>
        <v/>
      </c>
      <c r="L762" s="12">
        <f>IF(OR(D762="",G762=""),0,H762*F762)</f>
        <v/>
      </c>
    </row>
    <row r="763">
      <c r="A763" s="9" t="n"/>
      <c r="B763" s="9" t="n"/>
      <c r="C763" s="9" t="n"/>
      <c r="D763" s="9" t="n"/>
      <c r="E763" s="8" t="n"/>
      <c r="F763" s="10" t="n"/>
      <c r="G763" s="8" t="n"/>
      <c r="H763" s="11">
        <f>IF(D763="","",IF(G763="",Setup!$B$5,G763)-E763)</f>
        <v/>
      </c>
      <c r="I763" s="6">
        <f>IF(D763="","",AND(LOWER(B763)="y",H763&gt;Setup!$B$4))</f>
        <v/>
      </c>
      <c r="J763" s="12">
        <f>IF(D763="","",IF(AND(I763=TRUE,G763=""),F763,0))</f>
        <v/>
      </c>
      <c r="K763" s="12">
        <f>IF(OR(D763="",G763=""),0,F763)</f>
        <v/>
      </c>
      <c r="L763" s="12">
        <f>IF(OR(D763="",G763=""),0,H763*F763)</f>
        <v/>
      </c>
    </row>
    <row r="764">
      <c r="A764" s="9" t="n"/>
      <c r="B764" s="9" t="n"/>
      <c r="C764" s="9" t="n"/>
      <c r="D764" s="9" t="n"/>
      <c r="E764" s="8" t="n"/>
      <c r="F764" s="10" t="n"/>
      <c r="G764" s="8" t="n"/>
      <c r="H764" s="11">
        <f>IF(D764="","",IF(G764="",Setup!$B$5,G764)-E764)</f>
        <v/>
      </c>
      <c r="I764" s="6">
        <f>IF(D764="","",AND(LOWER(B764)="y",H764&gt;Setup!$B$4))</f>
        <v/>
      </c>
      <c r="J764" s="12">
        <f>IF(D764="","",IF(AND(I764=TRUE,G764=""),F764,0))</f>
        <v/>
      </c>
      <c r="K764" s="12">
        <f>IF(OR(D764="",G764=""),0,F764)</f>
        <v/>
      </c>
      <c r="L764" s="12">
        <f>IF(OR(D764="",G764=""),0,H764*F764)</f>
        <v/>
      </c>
    </row>
    <row r="765">
      <c r="A765" s="9" t="n"/>
      <c r="B765" s="9" t="n"/>
      <c r="C765" s="9" t="n"/>
      <c r="D765" s="9" t="n"/>
      <c r="E765" s="8" t="n"/>
      <c r="F765" s="10" t="n"/>
      <c r="G765" s="8" t="n"/>
      <c r="H765" s="11">
        <f>IF(D765="","",IF(G765="",Setup!$B$5,G765)-E765)</f>
        <v/>
      </c>
      <c r="I765" s="6">
        <f>IF(D765="","",AND(LOWER(B765)="y",H765&gt;Setup!$B$4))</f>
        <v/>
      </c>
      <c r="J765" s="12">
        <f>IF(D765="","",IF(AND(I765=TRUE,G765=""),F765,0))</f>
        <v/>
      </c>
      <c r="K765" s="12">
        <f>IF(OR(D765="",G765=""),0,F765)</f>
        <v/>
      </c>
      <c r="L765" s="12">
        <f>IF(OR(D765="",G765=""),0,H765*F765)</f>
        <v/>
      </c>
    </row>
    <row r="766">
      <c r="A766" s="9" t="n"/>
      <c r="B766" s="9" t="n"/>
      <c r="C766" s="9" t="n"/>
      <c r="D766" s="9" t="n"/>
      <c r="E766" s="8" t="n"/>
      <c r="F766" s="10" t="n"/>
      <c r="G766" s="8" t="n"/>
      <c r="H766" s="11">
        <f>IF(D766="","",IF(G766="",Setup!$B$5,G766)-E766)</f>
        <v/>
      </c>
      <c r="I766" s="6">
        <f>IF(D766="","",AND(LOWER(B766)="y",H766&gt;Setup!$B$4))</f>
        <v/>
      </c>
      <c r="J766" s="12">
        <f>IF(D766="","",IF(AND(I766=TRUE,G766=""),F766,0))</f>
        <v/>
      </c>
      <c r="K766" s="12">
        <f>IF(OR(D766="",G766=""),0,F766)</f>
        <v/>
      </c>
      <c r="L766" s="12">
        <f>IF(OR(D766="",G766=""),0,H766*F766)</f>
        <v/>
      </c>
    </row>
    <row r="767">
      <c r="A767" s="9" t="n"/>
      <c r="B767" s="9" t="n"/>
      <c r="C767" s="9" t="n"/>
      <c r="D767" s="9" t="n"/>
      <c r="E767" s="8" t="n"/>
      <c r="F767" s="10" t="n"/>
      <c r="G767" s="8" t="n"/>
      <c r="H767" s="11">
        <f>IF(D767="","",IF(G767="",Setup!$B$5,G767)-E767)</f>
        <v/>
      </c>
      <c r="I767" s="6">
        <f>IF(D767="","",AND(LOWER(B767)="y",H767&gt;Setup!$B$4))</f>
        <v/>
      </c>
      <c r="J767" s="12">
        <f>IF(D767="","",IF(AND(I767=TRUE,G767=""),F767,0))</f>
        <v/>
      </c>
      <c r="K767" s="12">
        <f>IF(OR(D767="",G767=""),0,F767)</f>
        <v/>
      </c>
      <c r="L767" s="12">
        <f>IF(OR(D767="",G767=""),0,H767*F767)</f>
        <v/>
      </c>
    </row>
    <row r="768">
      <c r="A768" s="9" t="n"/>
      <c r="B768" s="9" t="n"/>
      <c r="C768" s="9" t="n"/>
      <c r="D768" s="9" t="n"/>
      <c r="E768" s="8" t="n"/>
      <c r="F768" s="10" t="n"/>
      <c r="G768" s="8" t="n"/>
      <c r="H768" s="11">
        <f>IF(D768="","",IF(G768="",Setup!$B$5,G768)-E768)</f>
        <v/>
      </c>
      <c r="I768" s="6">
        <f>IF(D768="","",AND(LOWER(B768)="y",H768&gt;Setup!$B$4))</f>
        <v/>
      </c>
      <c r="J768" s="12">
        <f>IF(D768="","",IF(AND(I768=TRUE,G768=""),F768,0))</f>
        <v/>
      </c>
      <c r="K768" s="12">
        <f>IF(OR(D768="",G768=""),0,F768)</f>
        <v/>
      </c>
      <c r="L768" s="12">
        <f>IF(OR(D768="",G768=""),0,H768*F768)</f>
        <v/>
      </c>
    </row>
    <row r="769">
      <c r="A769" s="9" t="n"/>
      <c r="B769" s="9" t="n"/>
      <c r="C769" s="9" t="n"/>
      <c r="D769" s="9" t="n"/>
      <c r="E769" s="8" t="n"/>
      <c r="F769" s="10" t="n"/>
      <c r="G769" s="8" t="n"/>
      <c r="H769" s="11">
        <f>IF(D769="","",IF(G769="",Setup!$B$5,G769)-E769)</f>
        <v/>
      </c>
      <c r="I769" s="6">
        <f>IF(D769="","",AND(LOWER(B769)="y",H769&gt;Setup!$B$4))</f>
        <v/>
      </c>
      <c r="J769" s="12">
        <f>IF(D769="","",IF(AND(I769=TRUE,G769=""),F769,0))</f>
        <v/>
      </c>
      <c r="K769" s="12">
        <f>IF(OR(D769="",G769=""),0,F769)</f>
        <v/>
      </c>
      <c r="L769" s="12">
        <f>IF(OR(D769="",G769=""),0,H769*F769)</f>
        <v/>
      </c>
    </row>
    <row r="770">
      <c r="A770" s="9" t="n"/>
      <c r="B770" s="9" t="n"/>
      <c r="C770" s="9" t="n"/>
      <c r="D770" s="9" t="n"/>
      <c r="E770" s="8" t="n"/>
      <c r="F770" s="10" t="n"/>
      <c r="G770" s="8" t="n"/>
      <c r="H770" s="11">
        <f>IF(D770="","",IF(G770="",Setup!$B$5,G770)-E770)</f>
        <v/>
      </c>
      <c r="I770" s="6">
        <f>IF(D770="","",AND(LOWER(B770)="y",H770&gt;Setup!$B$4))</f>
        <v/>
      </c>
      <c r="J770" s="12">
        <f>IF(D770="","",IF(AND(I770=TRUE,G770=""),F770,0))</f>
        <v/>
      </c>
      <c r="K770" s="12">
        <f>IF(OR(D770="",G770=""),0,F770)</f>
        <v/>
      </c>
      <c r="L770" s="12">
        <f>IF(OR(D770="",G770=""),0,H770*F770)</f>
        <v/>
      </c>
    </row>
    <row r="771">
      <c r="A771" s="9" t="n"/>
      <c r="B771" s="9" t="n"/>
      <c r="C771" s="9" t="n"/>
      <c r="D771" s="9" t="n"/>
      <c r="E771" s="8" t="n"/>
      <c r="F771" s="10" t="n"/>
      <c r="G771" s="8" t="n"/>
      <c r="H771" s="11">
        <f>IF(D771="","",IF(G771="",Setup!$B$5,G771)-E771)</f>
        <v/>
      </c>
      <c r="I771" s="6">
        <f>IF(D771="","",AND(LOWER(B771)="y",H771&gt;Setup!$B$4))</f>
        <v/>
      </c>
      <c r="J771" s="12">
        <f>IF(D771="","",IF(AND(I771=TRUE,G771=""),F771,0))</f>
        <v/>
      </c>
      <c r="K771" s="12">
        <f>IF(OR(D771="",G771=""),0,F771)</f>
        <v/>
      </c>
      <c r="L771" s="12">
        <f>IF(OR(D771="",G771=""),0,H771*F771)</f>
        <v/>
      </c>
    </row>
    <row r="772">
      <c r="A772" s="9" t="n"/>
      <c r="B772" s="9" t="n"/>
      <c r="C772" s="9" t="n"/>
      <c r="D772" s="9" t="n"/>
      <c r="E772" s="8" t="n"/>
      <c r="F772" s="10" t="n"/>
      <c r="G772" s="8" t="n"/>
      <c r="H772" s="11">
        <f>IF(D772="","",IF(G772="",Setup!$B$5,G772)-E772)</f>
        <v/>
      </c>
      <c r="I772" s="6">
        <f>IF(D772="","",AND(LOWER(B772)="y",H772&gt;Setup!$B$4))</f>
        <v/>
      </c>
      <c r="J772" s="12">
        <f>IF(D772="","",IF(AND(I772=TRUE,G772=""),F772,0))</f>
        <v/>
      </c>
      <c r="K772" s="12">
        <f>IF(OR(D772="",G772=""),0,F772)</f>
        <v/>
      </c>
      <c r="L772" s="12">
        <f>IF(OR(D772="",G772=""),0,H772*F772)</f>
        <v/>
      </c>
    </row>
    <row r="773">
      <c r="A773" s="9" t="n"/>
      <c r="B773" s="9" t="n"/>
      <c r="C773" s="9" t="n"/>
      <c r="D773" s="9" t="n"/>
      <c r="E773" s="8" t="n"/>
      <c r="F773" s="10" t="n"/>
      <c r="G773" s="8" t="n"/>
      <c r="H773" s="11">
        <f>IF(D773="","",IF(G773="",Setup!$B$5,G773)-E773)</f>
        <v/>
      </c>
      <c r="I773" s="6">
        <f>IF(D773="","",AND(LOWER(B773)="y",H773&gt;Setup!$B$4))</f>
        <v/>
      </c>
      <c r="J773" s="12">
        <f>IF(D773="","",IF(AND(I773=TRUE,G773=""),F773,0))</f>
        <v/>
      </c>
      <c r="K773" s="12">
        <f>IF(OR(D773="",G773=""),0,F773)</f>
        <v/>
      </c>
      <c r="L773" s="12">
        <f>IF(OR(D773="",G773=""),0,H773*F773)</f>
        <v/>
      </c>
    </row>
    <row r="774">
      <c r="A774" s="9" t="n"/>
      <c r="B774" s="9" t="n"/>
      <c r="C774" s="9" t="n"/>
      <c r="D774" s="9" t="n"/>
      <c r="E774" s="8" t="n"/>
      <c r="F774" s="10" t="n"/>
      <c r="G774" s="8" t="n"/>
      <c r="H774" s="11">
        <f>IF(D774="","",IF(G774="",Setup!$B$5,G774)-E774)</f>
        <v/>
      </c>
      <c r="I774" s="6">
        <f>IF(D774="","",AND(LOWER(B774)="y",H774&gt;Setup!$B$4))</f>
        <v/>
      </c>
      <c r="J774" s="12">
        <f>IF(D774="","",IF(AND(I774=TRUE,G774=""),F774,0))</f>
        <v/>
      </c>
      <c r="K774" s="12">
        <f>IF(OR(D774="",G774=""),0,F774)</f>
        <v/>
      </c>
      <c r="L774" s="12">
        <f>IF(OR(D774="",G774=""),0,H774*F774)</f>
        <v/>
      </c>
    </row>
    <row r="775">
      <c r="A775" s="9" t="n"/>
      <c r="B775" s="9" t="n"/>
      <c r="C775" s="9" t="n"/>
      <c r="D775" s="9" t="n"/>
      <c r="E775" s="8" t="n"/>
      <c r="F775" s="10" t="n"/>
      <c r="G775" s="8" t="n"/>
      <c r="H775" s="11">
        <f>IF(D775="","",IF(G775="",Setup!$B$5,G775)-E775)</f>
        <v/>
      </c>
      <c r="I775" s="6">
        <f>IF(D775="","",AND(LOWER(B775)="y",H775&gt;Setup!$B$4))</f>
        <v/>
      </c>
      <c r="J775" s="12">
        <f>IF(D775="","",IF(AND(I775=TRUE,G775=""),F775,0))</f>
        <v/>
      </c>
      <c r="K775" s="12">
        <f>IF(OR(D775="",G775=""),0,F775)</f>
        <v/>
      </c>
      <c r="L775" s="12">
        <f>IF(OR(D775="",G775=""),0,H775*F775)</f>
        <v/>
      </c>
    </row>
    <row r="776">
      <c r="A776" s="9" t="n"/>
      <c r="B776" s="9" t="n"/>
      <c r="C776" s="9" t="n"/>
      <c r="D776" s="9" t="n"/>
      <c r="E776" s="8" t="n"/>
      <c r="F776" s="10" t="n"/>
      <c r="G776" s="8" t="n"/>
      <c r="H776" s="11">
        <f>IF(D776="","",IF(G776="",Setup!$B$5,G776)-E776)</f>
        <v/>
      </c>
      <c r="I776" s="6">
        <f>IF(D776="","",AND(LOWER(B776)="y",H776&gt;Setup!$B$4))</f>
        <v/>
      </c>
      <c r="J776" s="12">
        <f>IF(D776="","",IF(AND(I776=TRUE,G776=""),F776,0))</f>
        <v/>
      </c>
      <c r="K776" s="12">
        <f>IF(OR(D776="",G776=""),0,F776)</f>
        <v/>
      </c>
      <c r="L776" s="12">
        <f>IF(OR(D776="",G776=""),0,H776*F776)</f>
        <v/>
      </c>
    </row>
    <row r="777">
      <c r="A777" s="9" t="n"/>
      <c r="B777" s="9" t="n"/>
      <c r="C777" s="9" t="n"/>
      <c r="D777" s="9" t="n"/>
      <c r="E777" s="8" t="n"/>
      <c r="F777" s="10" t="n"/>
      <c r="G777" s="8" t="n"/>
      <c r="H777" s="11">
        <f>IF(D777="","",IF(G777="",Setup!$B$5,G777)-E777)</f>
        <v/>
      </c>
      <c r="I777" s="6">
        <f>IF(D777="","",AND(LOWER(B777)="y",H777&gt;Setup!$B$4))</f>
        <v/>
      </c>
      <c r="J777" s="12">
        <f>IF(D777="","",IF(AND(I777=TRUE,G777=""),F777,0))</f>
        <v/>
      </c>
      <c r="K777" s="12">
        <f>IF(OR(D777="",G777=""),0,F777)</f>
        <v/>
      </c>
      <c r="L777" s="12">
        <f>IF(OR(D777="",G777=""),0,H777*F777)</f>
        <v/>
      </c>
    </row>
    <row r="778">
      <c r="A778" s="9" t="n"/>
      <c r="B778" s="9" t="n"/>
      <c r="C778" s="9" t="n"/>
      <c r="D778" s="9" t="n"/>
      <c r="E778" s="8" t="n"/>
      <c r="F778" s="10" t="n"/>
      <c r="G778" s="8" t="n"/>
      <c r="H778" s="11">
        <f>IF(D778="","",IF(G778="",Setup!$B$5,G778)-E778)</f>
        <v/>
      </c>
      <c r="I778" s="6">
        <f>IF(D778="","",AND(LOWER(B778)="y",H778&gt;Setup!$B$4))</f>
        <v/>
      </c>
      <c r="J778" s="12">
        <f>IF(D778="","",IF(AND(I778=TRUE,G778=""),F778,0))</f>
        <v/>
      </c>
      <c r="K778" s="12">
        <f>IF(OR(D778="",G778=""),0,F778)</f>
        <v/>
      </c>
      <c r="L778" s="12">
        <f>IF(OR(D778="",G778=""),0,H778*F778)</f>
        <v/>
      </c>
    </row>
    <row r="779">
      <c r="A779" s="9" t="n"/>
      <c r="B779" s="9" t="n"/>
      <c r="C779" s="9" t="n"/>
      <c r="D779" s="9" t="n"/>
      <c r="E779" s="8" t="n"/>
      <c r="F779" s="10" t="n"/>
      <c r="G779" s="8" t="n"/>
      <c r="H779" s="11">
        <f>IF(D779="","",IF(G779="",Setup!$B$5,G779)-E779)</f>
        <v/>
      </c>
      <c r="I779" s="6">
        <f>IF(D779="","",AND(LOWER(B779)="y",H779&gt;Setup!$B$4))</f>
        <v/>
      </c>
      <c r="J779" s="12">
        <f>IF(D779="","",IF(AND(I779=TRUE,G779=""),F779,0))</f>
        <v/>
      </c>
      <c r="K779" s="12">
        <f>IF(OR(D779="",G779=""),0,F779)</f>
        <v/>
      </c>
      <c r="L779" s="12">
        <f>IF(OR(D779="",G779=""),0,H779*F779)</f>
        <v/>
      </c>
    </row>
    <row r="780">
      <c r="A780" s="9" t="n"/>
      <c r="B780" s="9" t="n"/>
      <c r="C780" s="9" t="n"/>
      <c r="D780" s="9" t="n"/>
      <c r="E780" s="8" t="n"/>
      <c r="F780" s="10" t="n"/>
      <c r="G780" s="8" t="n"/>
      <c r="H780" s="11">
        <f>IF(D780="","",IF(G780="",Setup!$B$5,G780)-E780)</f>
        <v/>
      </c>
      <c r="I780" s="6">
        <f>IF(D780="","",AND(LOWER(B780)="y",H780&gt;Setup!$B$4))</f>
        <v/>
      </c>
      <c r="J780" s="12">
        <f>IF(D780="","",IF(AND(I780=TRUE,G780=""),F780,0))</f>
        <v/>
      </c>
      <c r="K780" s="12">
        <f>IF(OR(D780="",G780=""),0,F780)</f>
        <v/>
      </c>
      <c r="L780" s="12">
        <f>IF(OR(D780="",G780=""),0,H780*F780)</f>
        <v/>
      </c>
    </row>
    <row r="781">
      <c r="A781" s="9" t="n"/>
      <c r="B781" s="9" t="n"/>
      <c r="C781" s="9" t="n"/>
      <c r="D781" s="9" t="n"/>
      <c r="E781" s="8" t="n"/>
      <c r="F781" s="10" t="n"/>
      <c r="G781" s="8" t="n"/>
      <c r="H781" s="11">
        <f>IF(D781="","",IF(G781="",Setup!$B$5,G781)-E781)</f>
        <v/>
      </c>
      <c r="I781" s="6">
        <f>IF(D781="","",AND(LOWER(B781)="y",H781&gt;Setup!$B$4))</f>
        <v/>
      </c>
      <c r="J781" s="12">
        <f>IF(D781="","",IF(AND(I781=TRUE,G781=""),F781,0))</f>
        <v/>
      </c>
      <c r="K781" s="12">
        <f>IF(OR(D781="",G781=""),0,F781)</f>
        <v/>
      </c>
      <c r="L781" s="12">
        <f>IF(OR(D781="",G781=""),0,H781*F781)</f>
        <v/>
      </c>
    </row>
    <row r="782">
      <c r="A782" s="9" t="n"/>
      <c r="B782" s="9" t="n"/>
      <c r="C782" s="9" t="n"/>
      <c r="D782" s="9" t="n"/>
      <c r="E782" s="8" t="n"/>
      <c r="F782" s="10" t="n"/>
      <c r="G782" s="8" t="n"/>
      <c r="H782" s="11">
        <f>IF(D782="","",IF(G782="",Setup!$B$5,G782)-E782)</f>
        <v/>
      </c>
      <c r="I782" s="6">
        <f>IF(D782="","",AND(LOWER(B782)="y",H782&gt;Setup!$B$4))</f>
        <v/>
      </c>
      <c r="J782" s="12">
        <f>IF(D782="","",IF(AND(I782=TRUE,G782=""),F782,0))</f>
        <v/>
      </c>
      <c r="K782" s="12">
        <f>IF(OR(D782="",G782=""),0,F782)</f>
        <v/>
      </c>
      <c r="L782" s="12">
        <f>IF(OR(D782="",G782=""),0,H782*F782)</f>
        <v/>
      </c>
    </row>
    <row r="783">
      <c r="A783" s="9" t="n"/>
      <c r="B783" s="9" t="n"/>
      <c r="C783" s="9" t="n"/>
      <c r="D783" s="9" t="n"/>
      <c r="E783" s="8" t="n"/>
      <c r="F783" s="10" t="n"/>
      <c r="G783" s="8" t="n"/>
      <c r="H783" s="11">
        <f>IF(D783="","",IF(G783="",Setup!$B$5,G783)-E783)</f>
        <v/>
      </c>
      <c r="I783" s="6">
        <f>IF(D783="","",AND(LOWER(B783)="y",H783&gt;Setup!$B$4))</f>
        <v/>
      </c>
      <c r="J783" s="12">
        <f>IF(D783="","",IF(AND(I783=TRUE,G783=""),F783,0))</f>
        <v/>
      </c>
      <c r="K783" s="12">
        <f>IF(OR(D783="",G783=""),0,F783)</f>
        <v/>
      </c>
      <c r="L783" s="12">
        <f>IF(OR(D783="",G783=""),0,H783*F783)</f>
        <v/>
      </c>
    </row>
    <row r="784">
      <c r="A784" s="9" t="n"/>
      <c r="B784" s="9" t="n"/>
      <c r="C784" s="9" t="n"/>
      <c r="D784" s="9" t="n"/>
      <c r="E784" s="8" t="n"/>
      <c r="F784" s="10" t="n"/>
      <c r="G784" s="8" t="n"/>
      <c r="H784" s="11">
        <f>IF(D784="","",IF(G784="",Setup!$B$5,G784)-E784)</f>
        <v/>
      </c>
      <c r="I784" s="6">
        <f>IF(D784="","",AND(LOWER(B784)="y",H784&gt;Setup!$B$4))</f>
        <v/>
      </c>
      <c r="J784" s="12">
        <f>IF(D784="","",IF(AND(I784=TRUE,G784=""),F784,0))</f>
        <v/>
      </c>
      <c r="K784" s="12">
        <f>IF(OR(D784="",G784=""),0,F784)</f>
        <v/>
      </c>
      <c r="L784" s="12">
        <f>IF(OR(D784="",G784=""),0,H784*F784)</f>
        <v/>
      </c>
    </row>
    <row r="785">
      <c r="A785" s="9" t="n"/>
      <c r="B785" s="9" t="n"/>
      <c r="C785" s="9" t="n"/>
      <c r="D785" s="9" t="n"/>
      <c r="E785" s="8" t="n"/>
      <c r="F785" s="10" t="n"/>
      <c r="G785" s="8" t="n"/>
      <c r="H785" s="11">
        <f>IF(D785="","",IF(G785="",Setup!$B$5,G785)-E785)</f>
        <v/>
      </c>
      <c r="I785" s="6">
        <f>IF(D785="","",AND(LOWER(B785)="y",H785&gt;Setup!$B$4))</f>
        <v/>
      </c>
      <c r="J785" s="12">
        <f>IF(D785="","",IF(AND(I785=TRUE,G785=""),F785,0))</f>
        <v/>
      </c>
      <c r="K785" s="12">
        <f>IF(OR(D785="",G785=""),0,F785)</f>
        <v/>
      </c>
      <c r="L785" s="12">
        <f>IF(OR(D785="",G785=""),0,H785*F785)</f>
        <v/>
      </c>
    </row>
    <row r="786">
      <c r="A786" s="9" t="n"/>
      <c r="B786" s="9" t="n"/>
      <c r="C786" s="9" t="n"/>
      <c r="D786" s="9" t="n"/>
      <c r="E786" s="8" t="n"/>
      <c r="F786" s="10" t="n"/>
      <c r="G786" s="8" t="n"/>
      <c r="H786" s="11">
        <f>IF(D786="","",IF(G786="",Setup!$B$5,G786)-E786)</f>
        <v/>
      </c>
      <c r="I786" s="6">
        <f>IF(D786="","",AND(LOWER(B786)="y",H786&gt;Setup!$B$4))</f>
        <v/>
      </c>
      <c r="J786" s="12">
        <f>IF(D786="","",IF(AND(I786=TRUE,G786=""),F786,0))</f>
        <v/>
      </c>
      <c r="K786" s="12">
        <f>IF(OR(D786="",G786=""),0,F786)</f>
        <v/>
      </c>
      <c r="L786" s="12">
        <f>IF(OR(D786="",G786=""),0,H786*F786)</f>
        <v/>
      </c>
    </row>
    <row r="787">
      <c r="A787" s="9" t="n"/>
      <c r="B787" s="9" t="n"/>
      <c r="C787" s="9" t="n"/>
      <c r="D787" s="9" t="n"/>
      <c r="E787" s="8" t="n"/>
      <c r="F787" s="10" t="n"/>
      <c r="G787" s="8" t="n"/>
      <c r="H787" s="11">
        <f>IF(D787="","",IF(G787="",Setup!$B$5,G787)-E787)</f>
        <v/>
      </c>
      <c r="I787" s="6">
        <f>IF(D787="","",AND(LOWER(B787)="y",H787&gt;Setup!$B$4))</f>
        <v/>
      </c>
      <c r="J787" s="12">
        <f>IF(D787="","",IF(AND(I787=TRUE,G787=""),F787,0))</f>
        <v/>
      </c>
      <c r="K787" s="12">
        <f>IF(OR(D787="",G787=""),0,F787)</f>
        <v/>
      </c>
      <c r="L787" s="12">
        <f>IF(OR(D787="",G787=""),0,H787*F787)</f>
        <v/>
      </c>
    </row>
    <row r="788">
      <c r="A788" s="9" t="n"/>
      <c r="B788" s="9" t="n"/>
      <c r="C788" s="9" t="n"/>
      <c r="D788" s="9" t="n"/>
      <c r="E788" s="8" t="n"/>
      <c r="F788" s="10" t="n"/>
      <c r="G788" s="8" t="n"/>
      <c r="H788" s="11">
        <f>IF(D788="","",IF(G788="",Setup!$B$5,G788)-E788)</f>
        <v/>
      </c>
      <c r="I788" s="6">
        <f>IF(D788="","",AND(LOWER(B788)="y",H788&gt;Setup!$B$4))</f>
        <v/>
      </c>
      <c r="J788" s="12">
        <f>IF(D788="","",IF(AND(I788=TRUE,G788=""),F788,0))</f>
        <v/>
      </c>
      <c r="K788" s="12">
        <f>IF(OR(D788="",G788=""),0,F788)</f>
        <v/>
      </c>
      <c r="L788" s="12">
        <f>IF(OR(D788="",G788=""),0,H788*F788)</f>
        <v/>
      </c>
    </row>
    <row r="789">
      <c r="A789" s="9" t="n"/>
      <c r="B789" s="9" t="n"/>
      <c r="C789" s="9" t="n"/>
      <c r="D789" s="9" t="n"/>
      <c r="E789" s="8" t="n"/>
      <c r="F789" s="10" t="n"/>
      <c r="G789" s="8" t="n"/>
      <c r="H789" s="11">
        <f>IF(D789="","",IF(G789="",Setup!$B$5,G789)-E789)</f>
        <v/>
      </c>
      <c r="I789" s="6">
        <f>IF(D789="","",AND(LOWER(B789)="y",H789&gt;Setup!$B$4))</f>
        <v/>
      </c>
      <c r="J789" s="12">
        <f>IF(D789="","",IF(AND(I789=TRUE,G789=""),F789,0))</f>
        <v/>
      </c>
      <c r="K789" s="12">
        <f>IF(OR(D789="",G789=""),0,F789)</f>
        <v/>
      </c>
      <c r="L789" s="12">
        <f>IF(OR(D789="",G789=""),0,H789*F789)</f>
        <v/>
      </c>
    </row>
    <row r="790">
      <c r="A790" s="9" t="n"/>
      <c r="B790" s="9" t="n"/>
      <c r="C790" s="9" t="n"/>
      <c r="D790" s="9" t="n"/>
      <c r="E790" s="8" t="n"/>
      <c r="F790" s="10" t="n"/>
      <c r="G790" s="8" t="n"/>
      <c r="H790" s="11">
        <f>IF(D790="","",IF(G790="",Setup!$B$5,G790)-E790)</f>
        <v/>
      </c>
      <c r="I790" s="6">
        <f>IF(D790="","",AND(LOWER(B790)="y",H790&gt;Setup!$B$4))</f>
        <v/>
      </c>
      <c r="J790" s="12">
        <f>IF(D790="","",IF(AND(I790=TRUE,G790=""),F790,0))</f>
        <v/>
      </c>
      <c r="K790" s="12">
        <f>IF(OR(D790="",G790=""),0,F790)</f>
        <v/>
      </c>
      <c r="L790" s="12">
        <f>IF(OR(D790="",G790=""),0,H790*F790)</f>
        <v/>
      </c>
    </row>
    <row r="791">
      <c r="A791" s="9" t="n"/>
      <c r="B791" s="9" t="n"/>
      <c r="C791" s="9" t="n"/>
      <c r="D791" s="9" t="n"/>
      <c r="E791" s="8" t="n"/>
      <c r="F791" s="10" t="n"/>
      <c r="G791" s="8" t="n"/>
      <c r="H791" s="11">
        <f>IF(D791="","",IF(G791="",Setup!$B$5,G791)-E791)</f>
        <v/>
      </c>
      <c r="I791" s="6">
        <f>IF(D791="","",AND(LOWER(B791)="y",H791&gt;Setup!$B$4))</f>
        <v/>
      </c>
      <c r="J791" s="12">
        <f>IF(D791="","",IF(AND(I791=TRUE,G791=""),F791,0))</f>
        <v/>
      </c>
      <c r="K791" s="12">
        <f>IF(OR(D791="",G791=""),0,F791)</f>
        <v/>
      </c>
      <c r="L791" s="12">
        <f>IF(OR(D791="",G791=""),0,H791*F791)</f>
        <v/>
      </c>
    </row>
    <row r="792">
      <c r="A792" s="9" t="n"/>
      <c r="B792" s="9" t="n"/>
      <c r="C792" s="9" t="n"/>
      <c r="D792" s="9" t="n"/>
      <c r="E792" s="8" t="n"/>
      <c r="F792" s="10" t="n"/>
      <c r="G792" s="8" t="n"/>
      <c r="H792" s="11">
        <f>IF(D792="","",IF(G792="",Setup!$B$5,G792)-E792)</f>
        <v/>
      </c>
      <c r="I792" s="6">
        <f>IF(D792="","",AND(LOWER(B792)="y",H792&gt;Setup!$B$4))</f>
        <v/>
      </c>
      <c r="J792" s="12">
        <f>IF(D792="","",IF(AND(I792=TRUE,G792=""),F792,0))</f>
        <v/>
      </c>
      <c r="K792" s="12">
        <f>IF(OR(D792="",G792=""),0,F792)</f>
        <v/>
      </c>
      <c r="L792" s="12">
        <f>IF(OR(D792="",G792=""),0,H792*F792)</f>
        <v/>
      </c>
    </row>
    <row r="793">
      <c r="A793" s="9" t="n"/>
      <c r="B793" s="9" t="n"/>
      <c r="C793" s="9" t="n"/>
      <c r="D793" s="9" t="n"/>
      <c r="E793" s="8" t="n"/>
      <c r="F793" s="10" t="n"/>
      <c r="G793" s="8" t="n"/>
      <c r="H793" s="11">
        <f>IF(D793="","",IF(G793="",Setup!$B$5,G793)-E793)</f>
        <v/>
      </c>
      <c r="I793" s="6">
        <f>IF(D793="","",AND(LOWER(B793)="y",H793&gt;Setup!$B$4))</f>
        <v/>
      </c>
      <c r="J793" s="12">
        <f>IF(D793="","",IF(AND(I793=TRUE,G793=""),F793,0))</f>
        <v/>
      </c>
      <c r="K793" s="12">
        <f>IF(OR(D793="",G793=""),0,F793)</f>
        <v/>
      </c>
      <c r="L793" s="12">
        <f>IF(OR(D793="",G793=""),0,H793*F793)</f>
        <v/>
      </c>
    </row>
    <row r="794">
      <c r="A794" s="9" t="n"/>
      <c r="B794" s="9" t="n"/>
      <c r="C794" s="9" t="n"/>
      <c r="D794" s="9" t="n"/>
      <c r="E794" s="8" t="n"/>
      <c r="F794" s="10" t="n"/>
      <c r="G794" s="8" t="n"/>
      <c r="H794" s="11">
        <f>IF(D794="","",IF(G794="",Setup!$B$5,G794)-E794)</f>
        <v/>
      </c>
      <c r="I794" s="6">
        <f>IF(D794="","",AND(LOWER(B794)="y",H794&gt;Setup!$B$4))</f>
        <v/>
      </c>
      <c r="J794" s="12">
        <f>IF(D794="","",IF(AND(I794=TRUE,G794=""),F794,0))</f>
        <v/>
      </c>
      <c r="K794" s="12">
        <f>IF(OR(D794="",G794=""),0,F794)</f>
        <v/>
      </c>
      <c r="L794" s="12">
        <f>IF(OR(D794="",G794=""),0,H794*F794)</f>
        <v/>
      </c>
    </row>
    <row r="795">
      <c r="A795" s="9" t="n"/>
      <c r="B795" s="9" t="n"/>
      <c r="C795" s="9" t="n"/>
      <c r="D795" s="9" t="n"/>
      <c r="E795" s="8" t="n"/>
      <c r="F795" s="10" t="n"/>
      <c r="G795" s="8" t="n"/>
      <c r="H795" s="11">
        <f>IF(D795="","",IF(G795="",Setup!$B$5,G795)-E795)</f>
        <v/>
      </c>
      <c r="I795" s="6">
        <f>IF(D795="","",AND(LOWER(B795)="y",H795&gt;Setup!$B$4))</f>
        <v/>
      </c>
      <c r="J795" s="12">
        <f>IF(D795="","",IF(AND(I795=TRUE,G795=""),F795,0))</f>
        <v/>
      </c>
      <c r="K795" s="12">
        <f>IF(OR(D795="",G795=""),0,F795)</f>
        <v/>
      </c>
      <c r="L795" s="12">
        <f>IF(OR(D795="",G795=""),0,H795*F795)</f>
        <v/>
      </c>
    </row>
    <row r="796">
      <c r="A796" s="9" t="n"/>
      <c r="B796" s="9" t="n"/>
      <c r="C796" s="9" t="n"/>
      <c r="D796" s="9" t="n"/>
      <c r="E796" s="8" t="n"/>
      <c r="F796" s="10" t="n"/>
      <c r="G796" s="8" t="n"/>
      <c r="H796" s="11">
        <f>IF(D796="","",IF(G796="",Setup!$B$5,G796)-E796)</f>
        <v/>
      </c>
      <c r="I796" s="6">
        <f>IF(D796="","",AND(LOWER(B796)="y",H796&gt;Setup!$B$4))</f>
        <v/>
      </c>
      <c r="J796" s="12">
        <f>IF(D796="","",IF(AND(I796=TRUE,G796=""),F796,0))</f>
        <v/>
      </c>
      <c r="K796" s="12">
        <f>IF(OR(D796="",G796=""),0,F796)</f>
        <v/>
      </c>
      <c r="L796" s="12">
        <f>IF(OR(D796="",G796=""),0,H796*F796)</f>
        <v/>
      </c>
    </row>
    <row r="797">
      <c r="A797" s="9" t="n"/>
      <c r="B797" s="9" t="n"/>
      <c r="C797" s="9" t="n"/>
      <c r="D797" s="9" t="n"/>
      <c r="E797" s="8" t="n"/>
      <c r="F797" s="10" t="n"/>
      <c r="G797" s="8" t="n"/>
      <c r="H797" s="11">
        <f>IF(D797="","",IF(G797="",Setup!$B$5,G797)-E797)</f>
        <v/>
      </c>
      <c r="I797" s="6">
        <f>IF(D797="","",AND(LOWER(B797)="y",H797&gt;Setup!$B$4))</f>
        <v/>
      </c>
      <c r="J797" s="12">
        <f>IF(D797="","",IF(AND(I797=TRUE,G797=""),F797,0))</f>
        <v/>
      </c>
      <c r="K797" s="12">
        <f>IF(OR(D797="",G797=""),0,F797)</f>
        <v/>
      </c>
      <c r="L797" s="12">
        <f>IF(OR(D797="",G797=""),0,H797*F797)</f>
        <v/>
      </c>
    </row>
    <row r="798">
      <c r="A798" s="9" t="n"/>
      <c r="B798" s="9" t="n"/>
      <c r="C798" s="9" t="n"/>
      <c r="D798" s="9" t="n"/>
      <c r="E798" s="8" t="n"/>
      <c r="F798" s="10" t="n"/>
      <c r="G798" s="8" t="n"/>
      <c r="H798" s="11">
        <f>IF(D798="","",IF(G798="",Setup!$B$5,G798)-E798)</f>
        <v/>
      </c>
      <c r="I798" s="6">
        <f>IF(D798="","",AND(LOWER(B798)="y",H798&gt;Setup!$B$4))</f>
        <v/>
      </c>
      <c r="J798" s="12">
        <f>IF(D798="","",IF(AND(I798=TRUE,G798=""),F798,0))</f>
        <v/>
      </c>
      <c r="K798" s="12">
        <f>IF(OR(D798="",G798=""),0,F798)</f>
        <v/>
      </c>
      <c r="L798" s="12">
        <f>IF(OR(D798="",G798=""),0,H798*F798)</f>
        <v/>
      </c>
    </row>
    <row r="799">
      <c r="A799" s="9" t="n"/>
      <c r="B799" s="9" t="n"/>
      <c r="C799" s="9" t="n"/>
      <c r="D799" s="9" t="n"/>
      <c r="E799" s="8" t="n"/>
      <c r="F799" s="10" t="n"/>
      <c r="G799" s="8" t="n"/>
      <c r="H799" s="11">
        <f>IF(D799="","",IF(G799="",Setup!$B$5,G799)-E799)</f>
        <v/>
      </c>
      <c r="I799" s="6">
        <f>IF(D799="","",AND(LOWER(B799)="y",H799&gt;Setup!$B$4))</f>
        <v/>
      </c>
      <c r="J799" s="12">
        <f>IF(D799="","",IF(AND(I799=TRUE,G799=""),F799,0))</f>
        <v/>
      </c>
      <c r="K799" s="12">
        <f>IF(OR(D799="",G799=""),0,F799)</f>
        <v/>
      </c>
      <c r="L799" s="12">
        <f>IF(OR(D799="",G799=""),0,H799*F799)</f>
        <v/>
      </c>
    </row>
    <row r="800">
      <c r="A800" s="9" t="n"/>
      <c r="B800" s="9" t="n"/>
      <c r="C800" s="9" t="n"/>
      <c r="D800" s="9" t="n"/>
      <c r="E800" s="8" t="n"/>
      <c r="F800" s="10" t="n"/>
      <c r="G800" s="8" t="n"/>
      <c r="H800" s="11">
        <f>IF(D800="","",IF(G800="",Setup!$B$5,G800)-E800)</f>
        <v/>
      </c>
      <c r="I800" s="6">
        <f>IF(D800="","",AND(LOWER(B800)="y",H800&gt;Setup!$B$4))</f>
        <v/>
      </c>
      <c r="J800" s="12">
        <f>IF(D800="","",IF(AND(I800=TRUE,G800=""),F800,0))</f>
        <v/>
      </c>
      <c r="K800" s="12">
        <f>IF(OR(D800="",G800=""),0,F800)</f>
        <v/>
      </c>
      <c r="L800" s="12">
        <f>IF(OR(D800="",G800=""),0,H800*F800)</f>
        <v/>
      </c>
    </row>
    <row r="801">
      <c r="A801" s="9" t="n"/>
      <c r="B801" s="9" t="n"/>
      <c r="C801" s="9" t="n"/>
      <c r="D801" s="9" t="n"/>
      <c r="E801" s="8" t="n"/>
      <c r="F801" s="10" t="n"/>
      <c r="G801" s="8" t="n"/>
      <c r="H801" s="11">
        <f>IF(D801="","",IF(G801="",Setup!$B$5,G801)-E801)</f>
        <v/>
      </c>
      <c r="I801" s="6">
        <f>IF(D801="","",AND(LOWER(B801)="y",H801&gt;Setup!$B$4))</f>
        <v/>
      </c>
      <c r="J801" s="12">
        <f>IF(D801="","",IF(AND(I801=TRUE,G801=""),F801,0))</f>
        <v/>
      </c>
      <c r="K801" s="12">
        <f>IF(OR(D801="",G801=""),0,F801)</f>
        <v/>
      </c>
      <c r="L801" s="12">
        <f>IF(OR(D801="",G801=""),0,H801*F801)</f>
        <v/>
      </c>
    </row>
    <row r="802">
      <c r="A802" s="9" t="n"/>
      <c r="B802" s="9" t="n"/>
      <c r="C802" s="9" t="n"/>
      <c r="D802" s="9" t="n"/>
      <c r="E802" s="8" t="n"/>
      <c r="F802" s="10" t="n"/>
      <c r="G802" s="8" t="n"/>
      <c r="H802" s="11">
        <f>IF(D802="","",IF(G802="",Setup!$B$5,G802)-E802)</f>
        <v/>
      </c>
      <c r="I802" s="6">
        <f>IF(D802="","",AND(LOWER(B802)="y",H802&gt;Setup!$B$4))</f>
        <v/>
      </c>
      <c r="J802" s="12">
        <f>IF(D802="","",IF(AND(I802=TRUE,G802=""),F802,0))</f>
        <v/>
      </c>
      <c r="K802" s="12">
        <f>IF(OR(D802="",G802=""),0,F802)</f>
        <v/>
      </c>
      <c r="L802" s="12">
        <f>IF(OR(D802="",G802=""),0,H802*F802)</f>
        <v/>
      </c>
    </row>
    <row r="803">
      <c r="A803" s="9" t="n"/>
      <c r="B803" s="9" t="n"/>
      <c r="C803" s="9" t="n"/>
      <c r="D803" s="9" t="n"/>
      <c r="E803" s="8" t="n"/>
      <c r="F803" s="10" t="n"/>
      <c r="G803" s="8" t="n"/>
      <c r="H803" s="11">
        <f>IF(D803="","",IF(G803="",Setup!$B$5,G803)-E803)</f>
        <v/>
      </c>
      <c r="I803" s="6">
        <f>IF(D803="","",AND(LOWER(B803)="y",H803&gt;Setup!$B$4))</f>
        <v/>
      </c>
      <c r="J803" s="12">
        <f>IF(D803="","",IF(AND(I803=TRUE,G803=""),F803,0))</f>
        <v/>
      </c>
      <c r="K803" s="12">
        <f>IF(OR(D803="",G803=""),0,F803)</f>
        <v/>
      </c>
      <c r="L803" s="12">
        <f>IF(OR(D803="",G803=""),0,H803*F803)</f>
        <v/>
      </c>
    </row>
    <row r="804">
      <c r="A804" s="9" t="n"/>
      <c r="B804" s="9" t="n"/>
      <c r="C804" s="9" t="n"/>
      <c r="D804" s="9" t="n"/>
      <c r="E804" s="8" t="n"/>
      <c r="F804" s="10" t="n"/>
      <c r="G804" s="8" t="n"/>
      <c r="H804" s="11">
        <f>IF(D804="","",IF(G804="",Setup!$B$5,G804)-E804)</f>
        <v/>
      </c>
      <c r="I804" s="6">
        <f>IF(D804="","",AND(LOWER(B804)="y",H804&gt;Setup!$B$4))</f>
        <v/>
      </c>
      <c r="J804" s="12">
        <f>IF(D804="","",IF(AND(I804=TRUE,G804=""),F804,0))</f>
        <v/>
      </c>
      <c r="K804" s="12">
        <f>IF(OR(D804="",G804=""),0,F804)</f>
        <v/>
      </c>
      <c r="L804" s="12">
        <f>IF(OR(D804="",G804=""),0,H804*F804)</f>
        <v/>
      </c>
    </row>
    <row r="805">
      <c r="A805" s="9" t="n"/>
      <c r="B805" s="9" t="n"/>
      <c r="C805" s="9" t="n"/>
      <c r="D805" s="9" t="n"/>
      <c r="E805" s="8" t="n"/>
      <c r="F805" s="10" t="n"/>
      <c r="G805" s="8" t="n"/>
      <c r="H805" s="11">
        <f>IF(D805="","",IF(G805="",Setup!$B$5,G805)-E805)</f>
        <v/>
      </c>
      <c r="I805" s="6">
        <f>IF(D805="","",AND(LOWER(B805)="y",H805&gt;Setup!$B$4))</f>
        <v/>
      </c>
      <c r="J805" s="12">
        <f>IF(D805="","",IF(AND(I805=TRUE,G805=""),F805,0))</f>
        <v/>
      </c>
      <c r="K805" s="12">
        <f>IF(OR(D805="",G805=""),0,F805)</f>
        <v/>
      </c>
      <c r="L805" s="12">
        <f>IF(OR(D805="",G805=""),0,H805*F805)</f>
        <v/>
      </c>
    </row>
    <row r="806">
      <c r="A806" s="9" t="n"/>
      <c r="B806" s="9" t="n"/>
      <c r="C806" s="9" t="n"/>
      <c r="D806" s="9" t="n"/>
      <c r="E806" s="8" t="n"/>
      <c r="F806" s="10" t="n"/>
      <c r="G806" s="8" t="n"/>
      <c r="H806" s="11">
        <f>IF(D806="","",IF(G806="",Setup!$B$5,G806)-E806)</f>
        <v/>
      </c>
      <c r="I806" s="6">
        <f>IF(D806="","",AND(LOWER(B806)="y",H806&gt;Setup!$B$4))</f>
        <v/>
      </c>
      <c r="J806" s="12">
        <f>IF(D806="","",IF(AND(I806=TRUE,G806=""),F806,0))</f>
        <v/>
      </c>
      <c r="K806" s="12">
        <f>IF(OR(D806="",G806=""),0,F806)</f>
        <v/>
      </c>
      <c r="L806" s="12">
        <f>IF(OR(D806="",G806=""),0,H806*F806)</f>
        <v/>
      </c>
    </row>
    <row r="807">
      <c r="A807" s="9" t="n"/>
      <c r="B807" s="9" t="n"/>
      <c r="C807" s="9" t="n"/>
      <c r="D807" s="9" t="n"/>
      <c r="E807" s="8" t="n"/>
      <c r="F807" s="10" t="n"/>
      <c r="G807" s="8" t="n"/>
      <c r="H807" s="11">
        <f>IF(D807="","",IF(G807="",Setup!$B$5,G807)-E807)</f>
        <v/>
      </c>
      <c r="I807" s="6">
        <f>IF(D807="","",AND(LOWER(B807)="y",H807&gt;Setup!$B$4))</f>
        <v/>
      </c>
      <c r="J807" s="12">
        <f>IF(D807="","",IF(AND(I807=TRUE,G807=""),F807,0))</f>
        <v/>
      </c>
      <c r="K807" s="12">
        <f>IF(OR(D807="",G807=""),0,F807)</f>
        <v/>
      </c>
      <c r="L807" s="12">
        <f>IF(OR(D807="",G807=""),0,H807*F807)</f>
        <v/>
      </c>
    </row>
    <row r="808">
      <c r="A808" s="9" t="n"/>
      <c r="B808" s="9" t="n"/>
      <c r="C808" s="9" t="n"/>
      <c r="D808" s="9" t="n"/>
      <c r="E808" s="8" t="n"/>
      <c r="F808" s="10" t="n"/>
      <c r="G808" s="8" t="n"/>
      <c r="H808" s="11">
        <f>IF(D808="","",IF(G808="",Setup!$B$5,G808)-E808)</f>
        <v/>
      </c>
      <c r="I808" s="6">
        <f>IF(D808="","",AND(LOWER(B808)="y",H808&gt;Setup!$B$4))</f>
        <v/>
      </c>
      <c r="J808" s="12">
        <f>IF(D808="","",IF(AND(I808=TRUE,G808=""),F808,0))</f>
        <v/>
      </c>
      <c r="K808" s="12">
        <f>IF(OR(D808="",G808=""),0,F808)</f>
        <v/>
      </c>
      <c r="L808" s="12">
        <f>IF(OR(D808="",G808=""),0,H808*F808)</f>
        <v/>
      </c>
    </row>
    <row r="809">
      <c r="A809" s="9" t="n"/>
      <c r="B809" s="9" t="n"/>
      <c r="C809" s="9" t="n"/>
      <c r="D809" s="9" t="n"/>
      <c r="E809" s="8" t="n"/>
      <c r="F809" s="10" t="n"/>
      <c r="G809" s="8" t="n"/>
      <c r="H809" s="11">
        <f>IF(D809="","",IF(G809="",Setup!$B$5,G809)-E809)</f>
        <v/>
      </c>
      <c r="I809" s="6">
        <f>IF(D809="","",AND(LOWER(B809)="y",H809&gt;Setup!$B$4))</f>
        <v/>
      </c>
      <c r="J809" s="12">
        <f>IF(D809="","",IF(AND(I809=TRUE,G809=""),F809,0))</f>
        <v/>
      </c>
      <c r="K809" s="12">
        <f>IF(OR(D809="",G809=""),0,F809)</f>
        <v/>
      </c>
      <c r="L809" s="12">
        <f>IF(OR(D809="",G809=""),0,H809*F809)</f>
        <v/>
      </c>
    </row>
    <row r="810">
      <c r="A810" s="9" t="n"/>
      <c r="B810" s="9" t="n"/>
      <c r="C810" s="9" t="n"/>
      <c r="D810" s="9" t="n"/>
      <c r="E810" s="8" t="n"/>
      <c r="F810" s="10" t="n"/>
      <c r="G810" s="8" t="n"/>
      <c r="H810" s="11">
        <f>IF(D810="","",IF(G810="",Setup!$B$5,G810)-E810)</f>
        <v/>
      </c>
      <c r="I810" s="6">
        <f>IF(D810="","",AND(LOWER(B810)="y",H810&gt;Setup!$B$4))</f>
        <v/>
      </c>
      <c r="J810" s="12">
        <f>IF(D810="","",IF(AND(I810=TRUE,G810=""),F810,0))</f>
        <v/>
      </c>
      <c r="K810" s="12">
        <f>IF(OR(D810="",G810=""),0,F810)</f>
        <v/>
      </c>
      <c r="L810" s="12">
        <f>IF(OR(D810="",G810=""),0,H810*F810)</f>
        <v/>
      </c>
    </row>
    <row r="811">
      <c r="A811" s="9" t="n"/>
      <c r="B811" s="9" t="n"/>
      <c r="C811" s="9" t="n"/>
      <c r="D811" s="9" t="n"/>
      <c r="E811" s="8" t="n"/>
      <c r="F811" s="10" t="n"/>
      <c r="G811" s="8" t="n"/>
      <c r="H811" s="11">
        <f>IF(D811="","",IF(G811="",Setup!$B$5,G811)-E811)</f>
        <v/>
      </c>
      <c r="I811" s="6">
        <f>IF(D811="","",AND(LOWER(B811)="y",H811&gt;Setup!$B$4))</f>
        <v/>
      </c>
      <c r="J811" s="12">
        <f>IF(D811="","",IF(AND(I811=TRUE,G811=""),F811,0))</f>
        <v/>
      </c>
      <c r="K811" s="12">
        <f>IF(OR(D811="",G811=""),0,F811)</f>
        <v/>
      </c>
      <c r="L811" s="12">
        <f>IF(OR(D811="",G811=""),0,H811*F811)</f>
        <v/>
      </c>
    </row>
    <row r="812">
      <c r="A812" s="9" t="n"/>
      <c r="B812" s="9" t="n"/>
      <c r="C812" s="9" t="n"/>
      <c r="D812" s="9" t="n"/>
      <c r="E812" s="8" t="n"/>
      <c r="F812" s="10" t="n"/>
      <c r="G812" s="8" t="n"/>
      <c r="H812" s="11">
        <f>IF(D812="","",IF(G812="",Setup!$B$5,G812)-E812)</f>
        <v/>
      </c>
      <c r="I812" s="6">
        <f>IF(D812="","",AND(LOWER(B812)="y",H812&gt;Setup!$B$4))</f>
        <v/>
      </c>
      <c r="J812" s="12">
        <f>IF(D812="","",IF(AND(I812=TRUE,G812=""),F812,0))</f>
        <v/>
      </c>
      <c r="K812" s="12">
        <f>IF(OR(D812="",G812=""),0,F812)</f>
        <v/>
      </c>
      <c r="L812" s="12">
        <f>IF(OR(D812="",G812=""),0,H812*F812)</f>
        <v/>
      </c>
    </row>
    <row r="813">
      <c r="A813" s="9" t="n"/>
      <c r="B813" s="9" t="n"/>
      <c r="C813" s="9" t="n"/>
      <c r="D813" s="9" t="n"/>
      <c r="E813" s="8" t="n"/>
      <c r="F813" s="10" t="n"/>
      <c r="G813" s="8" t="n"/>
      <c r="H813" s="11">
        <f>IF(D813="","",IF(G813="",Setup!$B$5,G813)-E813)</f>
        <v/>
      </c>
      <c r="I813" s="6">
        <f>IF(D813="","",AND(LOWER(B813)="y",H813&gt;Setup!$B$4))</f>
        <v/>
      </c>
      <c r="J813" s="12">
        <f>IF(D813="","",IF(AND(I813=TRUE,G813=""),F813,0))</f>
        <v/>
      </c>
      <c r="K813" s="12">
        <f>IF(OR(D813="",G813=""),0,F813)</f>
        <v/>
      </c>
      <c r="L813" s="12">
        <f>IF(OR(D813="",G813=""),0,H813*F813)</f>
        <v/>
      </c>
    </row>
    <row r="814">
      <c r="A814" s="9" t="n"/>
      <c r="B814" s="9" t="n"/>
      <c r="C814" s="9" t="n"/>
      <c r="D814" s="9" t="n"/>
      <c r="E814" s="8" t="n"/>
      <c r="F814" s="10" t="n"/>
      <c r="G814" s="8" t="n"/>
      <c r="H814" s="11">
        <f>IF(D814="","",IF(G814="",Setup!$B$5,G814)-E814)</f>
        <v/>
      </c>
      <c r="I814" s="6">
        <f>IF(D814="","",AND(LOWER(B814)="y",H814&gt;Setup!$B$4))</f>
        <v/>
      </c>
      <c r="J814" s="12">
        <f>IF(D814="","",IF(AND(I814=TRUE,G814=""),F814,0))</f>
        <v/>
      </c>
      <c r="K814" s="12">
        <f>IF(OR(D814="",G814=""),0,F814)</f>
        <v/>
      </c>
      <c r="L814" s="12">
        <f>IF(OR(D814="",G814=""),0,H814*F814)</f>
        <v/>
      </c>
    </row>
    <row r="815">
      <c r="A815" s="9" t="n"/>
      <c r="B815" s="9" t="n"/>
      <c r="C815" s="9" t="n"/>
      <c r="D815" s="9" t="n"/>
      <c r="E815" s="8" t="n"/>
      <c r="F815" s="10" t="n"/>
      <c r="G815" s="8" t="n"/>
      <c r="H815" s="11">
        <f>IF(D815="","",IF(G815="",Setup!$B$5,G815)-E815)</f>
        <v/>
      </c>
      <c r="I815" s="6">
        <f>IF(D815="","",AND(LOWER(B815)="y",H815&gt;Setup!$B$4))</f>
        <v/>
      </c>
      <c r="J815" s="12">
        <f>IF(D815="","",IF(AND(I815=TRUE,G815=""),F815,0))</f>
        <v/>
      </c>
      <c r="K815" s="12">
        <f>IF(OR(D815="",G815=""),0,F815)</f>
        <v/>
      </c>
      <c r="L815" s="12">
        <f>IF(OR(D815="",G815=""),0,H815*F815)</f>
        <v/>
      </c>
    </row>
    <row r="816">
      <c r="A816" s="9" t="n"/>
      <c r="B816" s="9" t="n"/>
      <c r="C816" s="9" t="n"/>
      <c r="D816" s="9" t="n"/>
      <c r="E816" s="8" t="n"/>
      <c r="F816" s="10" t="n"/>
      <c r="G816" s="8" t="n"/>
      <c r="H816" s="11">
        <f>IF(D816="","",IF(G816="",Setup!$B$5,G816)-E816)</f>
        <v/>
      </c>
      <c r="I816" s="6">
        <f>IF(D816="","",AND(LOWER(B816)="y",H816&gt;Setup!$B$4))</f>
        <v/>
      </c>
      <c r="J816" s="12">
        <f>IF(D816="","",IF(AND(I816=TRUE,G816=""),F816,0))</f>
        <v/>
      </c>
      <c r="K816" s="12">
        <f>IF(OR(D816="",G816=""),0,F816)</f>
        <v/>
      </c>
      <c r="L816" s="12">
        <f>IF(OR(D816="",G816=""),0,H816*F816)</f>
        <v/>
      </c>
    </row>
    <row r="817">
      <c r="A817" s="9" t="n"/>
      <c r="B817" s="9" t="n"/>
      <c r="C817" s="9" t="n"/>
      <c r="D817" s="9" t="n"/>
      <c r="E817" s="8" t="n"/>
      <c r="F817" s="10" t="n"/>
      <c r="G817" s="8" t="n"/>
      <c r="H817" s="11">
        <f>IF(D817="","",IF(G817="",Setup!$B$5,G817)-E817)</f>
        <v/>
      </c>
      <c r="I817" s="6">
        <f>IF(D817="","",AND(LOWER(B817)="y",H817&gt;Setup!$B$4))</f>
        <v/>
      </c>
      <c r="J817" s="12">
        <f>IF(D817="","",IF(AND(I817=TRUE,G817=""),F817,0))</f>
        <v/>
      </c>
      <c r="K817" s="12">
        <f>IF(OR(D817="",G817=""),0,F817)</f>
        <v/>
      </c>
      <c r="L817" s="12">
        <f>IF(OR(D817="",G817=""),0,H817*F817)</f>
        <v/>
      </c>
    </row>
    <row r="818">
      <c r="A818" s="9" t="n"/>
      <c r="B818" s="9" t="n"/>
      <c r="C818" s="9" t="n"/>
      <c r="D818" s="9" t="n"/>
      <c r="E818" s="8" t="n"/>
      <c r="F818" s="10" t="n"/>
      <c r="G818" s="8" t="n"/>
      <c r="H818" s="11">
        <f>IF(D818="","",IF(G818="",Setup!$B$5,G818)-E818)</f>
        <v/>
      </c>
      <c r="I818" s="6">
        <f>IF(D818="","",AND(LOWER(B818)="y",H818&gt;Setup!$B$4))</f>
        <v/>
      </c>
      <c r="J818" s="12">
        <f>IF(D818="","",IF(AND(I818=TRUE,G818=""),F818,0))</f>
        <v/>
      </c>
      <c r="K818" s="12">
        <f>IF(OR(D818="",G818=""),0,F818)</f>
        <v/>
      </c>
      <c r="L818" s="12">
        <f>IF(OR(D818="",G818=""),0,H818*F818)</f>
        <v/>
      </c>
    </row>
    <row r="819">
      <c r="A819" s="9" t="n"/>
      <c r="B819" s="9" t="n"/>
      <c r="C819" s="9" t="n"/>
      <c r="D819" s="9" t="n"/>
      <c r="E819" s="8" t="n"/>
      <c r="F819" s="10" t="n"/>
      <c r="G819" s="8" t="n"/>
      <c r="H819" s="11">
        <f>IF(D819="","",IF(G819="",Setup!$B$5,G819)-E819)</f>
        <v/>
      </c>
      <c r="I819" s="6">
        <f>IF(D819="","",AND(LOWER(B819)="y",H819&gt;Setup!$B$4))</f>
        <v/>
      </c>
      <c r="J819" s="12">
        <f>IF(D819="","",IF(AND(I819=TRUE,G819=""),F819,0))</f>
        <v/>
      </c>
      <c r="K819" s="12">
        <f>IF(OR(D819="",G819=""),0,F819)</f>
        <v/>
      </c>
      <c r="L819" s="12">
        <f>IF(OR(D819="",G819=""),0,H819*F819)</f>
        <v/>
      </c>
    </row>
    <row r="820">
      <c r="A820" s="9" t="n"/>
      <c r="B820" s="9" t="n"/>
      <c r="C820" s="9" t="n"/>
      <c r="D820" s="9" t="n"/>
      <c r="E820" s="8" t="n"/>
      <c r="F820" s="10" t="n"/>
      <c r="G820" s="8" t="n"/>
      <c r="H820" s="11">
        <f>IF(D820="","",IF(G820="",Setup!$B$5,G820)-E820)</f>
        <v/>
      </c>
      <c r="I820" s="6">
        <f>IF(D820="","",AND(LOWER(B820)="y",H820&gt;Setup!$B$4))</f>
        <v/>
      </c>
      <c r="J820" s="12">
        <f>IF(D820="","",IF(AND(I820=TRUE,G820=""),F820,0))</f>
        <v/>
      </c>
      <c r="K820" s="12">
        <f>IF(OR(D820="",G820=""),0,F820)</f>
        <v/>
      </c>
      <c r="L820" s="12">
        <f>IF(OR(D820="",G820=""),0,H820*F820)</f>
        <v/>
      </c>
    </row>
    <row r="821">
      <c r="A821" s="9" t="n"/>
      <c r="B821" s="9" t="n"/>
      <c r="C821" s="9" t="n"/>
      <c r="D821" s="9" t="n"/>
      <c r="E821" s="8" t="n"/>
      <c r="F821" s="10" t="n"/>
      <c r="G821" s="8" t="n"/>
      <c r="H821" s="11">
        <f>IF(D821="","",IF(G821="",Setup!$B$5,G821)-E821)</f>
        <v/>
      </c>
      <c r="I821" s="6">
        <f>IF(D821="","",AND(LOWER(B821)="y",H821&gt;Setup!$B$4))</f>
        <v/>
      </c>
      <c r="J821" s="12">
        <f>IF(D821="","",IF(AND(I821=TRUE,G821=""),F821,0))</f>
        <v/>
      </c>
      <c r="K821" s="12">
        <f>IF(OR(D821="",G821=""),0,F821)</f>
        <v/>
      </c>
      <c r="L821" s="12">
        <f>IF(OR(D821="",G821=""),0,H821*F821)</f>
        <v/>
      </c>
    </row>
    <row r="822">
      <c r="A822" s="9" t="n"/>
      <c r="B822" s="9" t="n"/>
      <c r="C822" s="9" t="n"/>
      <c r="D822" s="9" t="n"/>
      <c r="E822" s="8" t="n"/>
      <c r="F822" s="10" t="n"/>
      <c r="G822" s="8" t="n"/>
      <c r="H822" s="11">
        <f>IF(D822="","",IF(G822="",Setup!$B$5,G822)-E822)</f>
        <v/>
      </c>
      <c r="I822" s="6">
        <f>IF(D822="","",AND(LOWER(B822)="y",H822&gt;Setup!$B$4))</f>
        <v/>
      </c>
      <c r="J822" s="12">
        <f>IF(D822="","",IF(AND(I822=TRUE,G822=""),F822,0))</f>
        <v/>
      </c>
      <c r="K822" s="12">
        <f>IF(OR(D822="",G822=""),0,F822)</f>
        <v/>
      </c>
      <c r="L822" s="12">
        <f>IF(OR(D822="",G822=""),0,H822*F822)</f>
        <v/>
      </c>
    </row>
    <row r="823">
      <c r="A823" s="9" t="n"/>
      <c r="B823" s="9" t="n"/>
      <c r="C823" s="9" t="n"/>
      <c r="D823" s="9" t="n"/>
      <c r="E823" s="8" t="n"/>
      <c r="F823" s="10" t="n"/>
      <c r="G823" s="8" t="n"/>
      <c r="H823" s="11">
        <f>IF(D823="","",IF(G823="",Setup!$B$5,G823)-E823)</f>
        <v/>
      </c>
      <c r="I823" s="6">
        <f>IF(D823="","",AND(LOWER(B823)="y",H823&gt;Setup!$B$4))</f>
        <v/>
      </c>
      <c r="J823" s="12">
        <f>IF(D823="","",IF(AND(I823=TRUE,G823=""),F823,0))</f>
        <v/>
      </c>
      <c r="K823" s="12">
        <f>IF(OR(D823="",G823=""),0,F823)</f>
        <v/>
      </c>
      <c r="L823" s="12">
        <f>IF(OR(D823="",G823=""),0,H823*F823)</f>
        <v/>
      </c>
    </row>
    <row r="824">
      <c r="A824" s="9" t="n"/>
      <c r="B824" s="9" t="n"/>
      <c r="C824" s="9" t="n"/>
      <c r="D824" s="9" t="n"/>
      <c r="E824" s="8" t="n"/>
      <c r="F824" s="10" t="n"/>
      <c r="G824" s="8" t="n"/>
      <c r="H824" s="11">
        <f>IF(D824="","",IF(G824="",Setup!$B$5,G824)-E824)</f>
        <v/>
      </c>
      <c r="I824" s="6">
        <f>IF(D824="","",AND(LOWER(B824)="y",H824&gt;Setup!$B$4))</f>
        <v/>
      </c>
      <c r="J824" s="12">
        <f>IF(D824="","",IF(AND(I824=TRUE,G824=""),F824,0))</f>
        <v/>
      </c>
      <c r="K824" s="12">
        <f>IF(OR(D824="",G824=""),0,F824)</f>
        <v/>
      </c>
      <c r="L824" s="12">
        <f>IF(OR(D824="",G824=""),0,H824*F824)</f>
        <v/>
      </c>
    </row>
    <row r="825">
      <c r="A825" s="9" t="n"/>
      <c r="B825" s="9" t="n"/>
      <c r="C825" s="9" t="n"/>
      <c r="D825" s="9" t="n"/>
      <c r="E825" s="8" t="n"/>
      <c r="F825" s="10" t="n"/>
      <c r="G825" s="8" t="n"/>
      <c r="H825" s="11">
        <f>IF(D825="","",IF(G825="",Setup!$B$5,G825)-E825)</f>
        <v/>
      </c>
      <c r="I825" s="6">
        <f>IF(D825="","",AND(LOWER(B825)="y",H825&gt;Setup!$B$4))</f>
        <v/>
      </c>
      <c r="J825" s="12">
        <f>IF(D825="","",IF(AND(I825=TRUE,G825=""),F825,0))</f>
        <v/>
      </c>
      <c r="K825" s="12">
        <f>IF(OR(D825="",G825=""),0,F825)</f>
        <v/>
      </c>
      <c r="L825" s="12">
        <f>IF(OR(D825="",G825=""),0,H825*F825)</f>
        <v/>
      </c>
    </row>
    <row r="826">
      <c r="A826" s="9" t="n"/>
      <c r="B826" s="9" t="n"/>
      <c r="C826" s="9" t="n"/>
      <c r="D826" s="9" t="n"/>
      <c r="E826" s="8" t="n"/>
      <c r="F826" s="10" t="n"/>
      <c r="G826" s="8" t="n"/>
      <c r="H826" s="11">
        <f>IF(D826="","",IF(G826="",Setup!$B$5,G826)-E826)</f>
        <v/>
      </c>
      <c r="I826" s="6">
        <f>IF(D826="","",AND(LOWER(B826)="y",H826&gt;Setup!$B$4))</f>
        <v/>
      </c>
      <c r="J826" s="12">
        <f>IF(D826="","",IF(AND(I826=TRUE,G826=""),F826,0))</f>
        <v/>
      </c>
      <c r="K826" s="12">
        <f>IF(OR(D826="",G826=""),0,F826)</f>
        <v/>
      </c>
      <c r="L826" s="12">
        <f>IF(OR(D826="",G826=""),0,H826*F826)</f>
        <v/>
      </c>
    </row>
    <row r="827">
      <c r="A827" s="9" t="n"/>
      <c r="B827" s="9" t="n"/>
      <c r="C827" s="9" t="n"/>
      <c r="D827" s="9" t="n"/>
      <c r="E827" s="8" t="n"/>
      <c r="F827" s="10" t="n"/>
      <c r="G827" s="8" t="n"/>
      <c r="H827" s="11">
        <f>IF(D827="","",IF(G827="",Setup!$B$5,G827)-E827)</f>
        <v/>
      </c>
      <c r="I827" s="6">
        <f>IF(D827="","",AND(LOWER(B827)="y",H827&gt;Setup!$B$4))</f>
        <v/>
      </c>
      <c r="J827" s="12">
        <f>IF(D827="","",IF(AND(I827=TRUE,G827=""),F827,0))</f>
        <v/>
      </c>
      <c r="K827" s="12">
        <f>IF(OR(D827="",G827=""),0,F827)</f>
        <v/>
      </c>
      <c r="L827" s="12">
        <f>IF(OR(D827="",G827=""),0,H827*F827)</f>
        <v/>
      </c>
    </row>
    <row r="828">
      <c r="A828" s="9" t="n"/>
      <c r="B828" s="9" t="n"/>
      <c r="C828" s="9" t="n"/>
      <c r="D828" s="9" t="n"/>
      <c r="E828" s="8" t="n"/>
      <c r="F828" s="10" t="n"/>
      <c r="G828" s="8" t="n"/>
      <c r="H828" s="11">
        <f>IF(D828="","",IF(G828="",Setup!$B$5,G828)-E828)</f>
        <v/>
      </c>
      <c r="I828" s="6">
        <f>IF(D828="","",AND(LOWER(B828)="y",H828&gt;Setup!$B$4))</f>
        <v/>
      </c>
      <c r="J828" s="12">
        <f>IF(D828="","",IF(AND(I828=TRUE,G828=""),F828,0))</f>
        <v/>
      </c>
      <c r="K828" s="12">
        <f>IF(OR(D828="",G828=""),0,F828)</f>
        <v/>
      </c>
      <c r="L828" s="12">
        <f>IF(OR(D828="",G828=""),0,H828*F828)</f>
        <v/>
      </c>
    </row>
    <row r="829">
      <c r="A829" s="9" t="n"/>
      <c r="B829" s="9" t="n"/>
      <c r="C829" s="9" t="n"/>
      <c r="D829" s="9" t="n"/>
      <c r="E829" s="8" t="n"/>
      <c r="F829" s="10" t="n"/>
      <c r="G829" s="8" t="n"/>
      <c r="H829" s="11">
        <f>IF(D829="","",IF(G829="",Setup!$B$5,G829)-E829)</f>
        <v/>
      </c>
      <c r="I829" s="6">
        <f>IF(D829="","",AND(LOWER(B829)="y",H829&gt;Setup!$B$4))</f>
        <v/>
      </c>
      <c r="J829" s="12">
        <f>IF(D829="","",IF(AND(I829=TRUE,G829=""),F829,0))</f>
        <v/>
      </c>
      <c r="K829" s="12">
        <f>IF(OR(D829="",G829=""),0,F829)</f>
        <v/>
      </c>
      <c r="L829" s="12">
        <f>IF(OR(D829="",G829=""),0,H829*F829)</f>
        <v/>
      </c>
    </row>
    <row r="830">
      <c r="A830" s="9" t="n"/>
      <c r="B830" s="9" t="n"/>
      <c r="C830" s="9" t="n"/>
      <c r="D830" s="9" t="n"/>
      <c r="E830" s="8" t="n"/>
      <c r="F830" s="10" t="n"/>
      <c r="G830" s="8" t="n"/>
      <c r="H830" s="11">
        <f>IF(D830="","",IF(G830="",Setup!$B$5,G830)-E830)</f>
        <v/>
      </c>
      <c r="I830" s="6">
        <f>IF(D830="","",AND(LOWER(B830)="y",H830&gt;Setup!$B$4))</f>
        <v/>
      </c>
      <c r="J830" s="12">
        <f>IF(D830="","",IF(AND(I830=TRUE,G830=""),F830,0))</f>
        <v/>
      </c>
      <c r="K830" s="12">
        <f>IF(OR(D830="",G830=""),0,F830)</f>
        <v/>
      </c>
      <c r="L830" s="12">
        <f>IF(OR(D830="",G830=""),0,H830*F830)</f>
        <v/>
      </c>
    </row>
    <row r="831">
      <c r="A831" s="9" t="n"/>
      <c r="B831" s="9" t="n"/>
      <c r="C831" s="9" t="n"/>
      <c r="D831" s="9" t="n"/>
      <c r="E831" s="8" t="n"/>
      <c r="F831" s="10" t="n"/>
      <c r="G831" s="8" t="n"/>
      <c r="H831" s="11">
        <f>IF(D831="","",IF(G831="",Setup!$B$5,G831)-E831)</f>
        <v/>
      </c>
      <c r="I831" s="6">
        <f>IF(D831="","",AND(LOWER(B831)="y",H831&gt;Setup!$B$4))</f>
        <v/>
      </c>
      <c r="J831" s="12">
        <f>IF(D831="","",IF(AND(I831=TRUE,G831=""),F831,0))</f>
        <v/>
      </c>
      <c r="K831" s="12">
        <f>IF(OR(D831="",G831=""),0,F831)</f>
        <v/>
      </c>
      <c r="L831" s="12">
        <f>IF(OR(D831="",G831=""),0,H831*F831)</f>
        <v/>
      </c>
    </row>
    <row r="832">
      <c r="A832" s="9" t="n"/>
      <c r="B832" s="9" t="n"/>
      <c r="C832" s="9" t="n"/>
      <c r="D832" s="9" t="n"/>
      <c r="E832" s="8" t="n"/>
      <c r="F832" s="10" t="n"/>
      <c r="G832" s="8" t="n"/>
      <c r="H832" s="11">
        <f>IF(D832="","",IF(G832="",Setup!$B$5,G832)-E832)</f>
        <v/>
      </c>
      <c r="I832" s="6">
        <f>IF(D832="","",AND(LOWER(B832)="y",H832&gt;Setup!$B$4))</f>
        <v/>
      </c>
      <c r="J832" s="12">
        <f>IF(D832="","",IF(AND(I832=TRUE,G832=""),F832,0))</f>
        <v/>
      </c>
      <c r="K832" s="12">
        <f>IF(OR(D832="",G832=""),0,F832)</f>
        <v/>
      </c>
      <c r="L832" s="12">
        <f>IF(OR(D832="",G832=""),0,H832*F832)</f>
        <v/>
      </c>
    </row>
    <row r="833">
      <c r="A833" s="9" t="n"/>
      <c r="B833" s="9" t="n"/>
      <c r="C833" s="9" t="n"/>
      <c r="D833" s="9" t="n"/>
      <c r="E833" s="8" t="n"/>
      <c r="F833" s="10" t="n"/>
      <c r="G833" s="8" t="n"/>
      <c r="H833" s="11">
        <f>IF(D833="","",IF(G833="",Setup!$B$5,G833)-E833)</f>
        <v/>
      </c>
      <c r="I833" s="6">
        <f>IF(D833="","",AND(LOWER(B833)="y",H833&gt;Setup!$B$4))</f>
        <v/>
      </c>
      <c r="J833" s="12">
        <f>IF(D833="","",IF(AND(I833=TRUE,G833=""),F833,0))</f>
        <v/>
      </c>
      <c r="K833" s="12">
        <f>IF(OR(D833="",G833=""),0,F833)</f>
        <v/>
      </c>
      <c r="L833" s="12">
        <f>IF(OR(D833="",G833=""),0,H833*F833)</f>
        <v/>
      </c>
    </row>
    <row r="834">
      <c r="A834" s="9" t="n"/>
      <c r="B834" s="9" t="n"/>
      <c r="C834" s="9" t="n"/>
      <c r="D834" s="9" t="n"/>
      <c r="E834" s="8" t="n"/>
      <c r="F834" s="10" t="n"/>
      <c r="G834" s="8" t="n"/>
      <c r="H834" s="11">
        <f>IF(D834="","",IF(G834="",Setup!$B$5,G834)-E834)</f>
        <v/>
      </c>
      <c r="I834" s="6">
        <f>IF(D834="","",AND(LOWER(B834)="y",H834&gt;Setup!$B$4))</f>
        <v/>
      </c>
      <c r="J834" s="12">
        <f>IF(D834="","",IF(AND(I834=TRUE,G834=""),F834,0))</f>
        <v/>
      </c>
      <c r="K834" s="12">
        <f>IF(OR(D834="",G834=""),0,F834)</f>
        <v/>
      </c>
      <c r="L834" s="12">
        <f>IF(OR(D834="",G834=""),0,H834*F834)</f>
        <v/>
      </c>
    </row>
    <row r="835">
      <c r="A835" s="9" t="n"/>
      <c r="B835" s="9" t="n"/>
      <c r="C835" s="9" t="n"/>
      <c r="D835" s="9" t="n"/>
      <c r="E835" s="8" t="n"/>
      <c r="F835" s="10" t="n"/>
      <c r="G835" s="8" t="n"/>
      <c r="H835" s="11">
        <f>IF(D835="","",IF(G835="",Setup!$B$5,G835)-E835)</f>
        <v/>
      </c>
      <c r="I835" s="6">
        <f>IF(D835="","",AND(LOWER(B835)="y",H835&gt;Setup!$B$4))</f>
        <v/>
      </c>
      <c r="J835" s="12">
        <f>IF(D835="","",IF(AND(I835=TRUE,G835=""),F835,0))</f>
        <v/>
      </c>
      <c r="K835" s="12">
        <f>IF(OR(D835="",G835=""),0,F835)</f>
        <v/>
      </c>
      <c r="L835" s="12">
        <f>IF(OR(D835="",G835=""),0,H835*F835)</f>
        <v/>
      </c>
    </row>
    <row r="836">
      <c r="A836" s="9" t="n"/>
      <c r="B836" s="9" t="n"/>
      <c r="C836" s="9" t="n"/>
      <c r="D836" s="9" t="n"/>
      <c r="E836" s="8" t="n"/>
      <c r="F836" s="10" t="n"/>
      <c r="G836" s="8" t="n"/>
      <c r="H836" s="11">
        <f>IF(D836="","",IF(G836="",Setup!$B$5,G836)-E836)</f>
        <v/>
      </c>
      <c r="I836" s="6">
        <f>IF(D836="","",AND(LOWER(B836)="y",H836&gt;Setup!$B$4))</f>
        <v/>
      </c>
      <c r="J836" s="12">
        <f>IF(D836="","",IF(AND(I836=TRUE,G836=""),F836,0))</f>
        <v/>
      </c>
      <c r="K836" s="12">
        <f>IF(OR(D836="",G836=""),0,F836)</f>
        <v/>
      </c>
      <c r="L836" s="12">
        <f>IF(OR(D836="",G836=""),0,H836*F836)</f>
        <v/>
      </c>
    </row>
    <row r="837">
      <c r="A837" s="9" t="n"/>
      <c r="B837" s="9" t="n"/>
      <c r="C837" s="9" t="n"/>
      <c r="D837" s="9" t="n"/>
      <c r="E837" s="8" t="n"/>
      <c r="F837" s="10" t="n"/>
      <c r="G837" s="8" t="n"/>
      <c r="H837" s="11">
        <f>IF(D837="","",IF(G837="",Setup!$B$5,G837)-E837)</f>
        <v/>
      </c>
      <c r="I837" s="6">
        <f>IF(D837="","",AND(LOWER(B837)="y",H837&gt;Setup!$B$4))</f>
        <v/>
      </c>
      <c r="J837" s="12">
        <f>IF(D837="","",IF(AND(I837=TRUE,G837=""),F837,0))</f>
        <v/>
      </c>
      <c r="K837" s="12">
        <f>IF(OR(D837="",G837=""),0,F837)</f>
        <v/>
      </c>
      <c r="L837" s="12">
        <f>IF(OR(D837="",G837=""),0,H837*F837)</f>
        <v/>
      </c>
    </row>
    <row r="838">
      <c r="A838" s="9" t="n"/>
      <c r="B838" s="9" t="n"/>
      <c r="C838" s="9" t="n"/>
      <c r="D838" s="9" t="n"/>
      <c r="E838" s="8" t="n"/>
      <c r="F838" s="10" t="n"/>
      <c r="G838" s="8" t="n"/>
      <c r="H838" s="11">
        <f>IF(D838="","",IF(G838="",Setup!$B$5,G838)-E838)</f>
        <v/>
      </c>
      <c r="I838" s="6">
        <f>IF(D838="","",AND(LOWER(B838)="y",H838&gt;Setup!$B$4))</f>
        <v/>
      </c>
      <c r="J838" s="12">
        <f>IF(D838="","",IF(AND(I838=TRUE,G838=""),F838,0))</f>
        <v/>
      </c>
      <c r="K838" s="12">
        <f>IF(OR(D838="",G838=""),0,F838)</f>
        <v/>
      </c>
      <c r="L838" s="12">
        <f>IF(OR(D838="",G838=""),0,H838*F838)</f>
        <v/>
      </c>
    </row>
    <row r="839">
      <c r="A839" s="9" t="n"/>
      <c r="B839" s="9" t="n"/>
      <c r="C839" s="9" t="n"/>
      <c r="D839" s="9" t="n"/>
      <c r="E839" s="8" t="n"/>
      <c r="F839" s="10" t="n"/>
      <c r="G839" s="8" t="n"/>
      <c r="H839" s="11">
        <f>IF(D839="","",IF(G839="",Setup!$B$5,G839)-E839)</f>
        <v/>
      </c>
      <c r="I839" s="6">
        <f>IF(D839="","",AND(LOWER(B839)="y",H839&gt;Setup!$B$4))</f>
        <v/>
      </c>
      <c r="J839" s="12">
        <f>IF(D839="","",IF(AND(I839=TRUE,G839=""),F839,0))</f>
        <v/>
      </c>
      <c r="K839" s="12">
        <f>IF(OR(D839="",G839=""),0,F839)</f>
        <v/>
      </c>
      <c r="L839" s="12">
        <f>IF(OR(D839="",G839=""),0,H839*F839)</f>
        <v/>
      </c>
    </row>
    <row r="840">
      <c r="A840" s="9" t="n"/>
      <c r="B840" s="9" t="n"/>
      <c r="C840" s="9" t="n"/>
      <c r="D840" s="9" t="n"/>
      <c r="E840" s="8" t="n"/>
      <c r="F840" s="10" t="n"/>
      <c r="G840" s="8" t="n"/>
      <c r="H840" s="11">
        <f>IF(D840="","",IF(G840="",Setup!$B$5,G840)-E840)</f>
        <v/>
      </c>
      <c r="I840" s="6">
        <f>IF(D840="","",AND(LOWER(B840)="y",H840&gt;Setup!$B$4))</f>
        <v/>
      </c>
      <c r="J840" s="12">
        <f>IF(D840="","",IF(AND(I840=TRUE,G840=""),F840,0))</f>
        <v/>
      </c>
      <c r="K840" s="12">
        <f>IF(OR(D840="",G840=""),0,F840)</f>
        <v/>
      </c>
      <c r="L840" s="12">
        <f>IF(OR(D840="",G840=""),0,H840*F840)</f>
        <v/>
      </c>
    </row>
    <row r="841">
      <c r="A841" s="9" t="n"/>
      <c r="B841" s="9" t="n"/>
      <c r="C841" s="9" t="n"/>
      <c r="D841" s="9" t="n"/>
      <c r="E841" s="8" t="n"/>
      <c r="F841" s="10" t="n"/>
      <c r="G841" s="8" t="n"/>
      <c r="H841" s="11">
        <f>IF(D841="","",IF(G841="",Setup!$B$5,G841)-E841)</f>
        <v/>
      </c>
      <c r="I841" s="6">
        <f>IF(D841="","",AND(LOWER(B841)="y",H841&gt;Setup!$B$4))</f>
        <v/>
      </c>
      <c r="J841" s="12">
        <f>IF(D841="","",IF(AND(I841=TRUE,G841=""),F841,0))</f>
        <v/>
      </c>
      <c r="K841" s="12">
        <f>IF(OR(D841="",G841=""),0,F841)</f>
        <v/>
      </c>
      <c r="L841" s="12">
        <f>IF(OR(D841="",G841=""),0,H841*F841)</f>
        <v/>
      </c>
    </row>
    <row r="842">
      <c r="A842" s="9" t="n"/>
      <c r="B842" s="9" t="n"/>
      <c r="C842" s="9" t="n"/>
      <c r="D842" s="9" t="n"/>
      <c r="E842" s="8" t="n"/>
      <c r="F842" s="10" t="n"/>
      <c r="G842" s="8" t="n"/>
      <c r="H842" s="11">
        <f>IF(D842="","",IF(G842="",Setup!$B$5,G842)-E842)</f>
        <v/>
      </c>
      <c r="I842" s="6">
        <f>IF(D842="","",AND(LOWER(B842)="y",H842&gt;Setup!$B$4))</f>
        <v/>
      </c>
      <c r="J842" s="12">
        <f>IF(D842="","",IF(AND(I842=TRUE,G842=""),F842,0))</f>
        <v/>
      </c>
      <c r="K842" s="12">
        <f>IF(OR(D842="",G842=""),0,F842)</f>
        <v/>
      </c>
      <c r="L842" s="12">
        <f>IF(OR(D842="",G842=""),0,H842*F842)</f>
        <v/>
      </c>
    </row>
    <row r="843">
      <c r="A843" s="9" t="n"/>
      <c r="B843" s="9" t="n"/>
      <c r="C843" s="9" t="n"/>
      <c r="D843" s="9" t="n"/>
      <c r="E843" s="8" t="n"/>
      <c r="F843" s="10" t="n"/>
      <c r="G843" s="8" t="n"/>
      <c r="H843" s="11">
        <f>IF(D843="","",IF(G843="",Setup!$B$5,G843)-E843)</f>
        <v/>
      </c>
      <c r="I843" s="6">
        <f>IF(D843="","",AND(LOWER(B843)="y",H843&gt;Setup!$B$4))</f>
        <v/>
      </c>
      <c r="J843" s="12">
        <f>IF(D843="","",IF(AND(I843=TRUE,G843=""),F843,0))</f>
        <v/>
      </c>
      <c r="K843" s="12">
        <f>IF(OR(D843="",G843=""),0,F843)</f>
        <v/>
      </c>
      <c r="L843" s="12">
        <f>IF(OR(D843="",G843=""),0,H843*F843)</f>
        <v/>
      </c>
    </row>
    <row r="844">
      <c r="A844" s="9" t="n"/>
      <c r="B844" s="9" t="n"/>
      <c r="C844" s="9" t="n"/>
      <c r="D844" s="9" t="n"/>
      <c r="E844" s="8" t="n"/>
      <c r="F844" s="10" t="n"/>
      <c r="G844" s="8" t="n"/>
      <c r="H844" s="11">
        <f>IF(D844="","",IF(G844="",Setup!$B$5,G844)-E844)</f>
        <v/>
      </c>
      <c r="I844" s="6">
        <f>IF(D844="","",AND(LOWER(B844)="y",H844&gt;Setup!$B$4))</f>
        <v/>
      </c>
      <c r="J844" s="12">
        <f>IF(D844="","",IF(AND(I844=TRUE,G844=""),F844,0))</f>
        <v/>
      </c>
      <c r="K844" s="12">
        <f>IF(OR(D844="",G844=""),0,F844)</f>
        <v/>
      </c>
      <c r="L844" s="12">
        <f>IF(OR(D844="",G844=""),0,H844*F844)</f>
        <v/>
      </c>
    </row>
    <row r="845">
      <c r="A845" s="9" t="n"/>
      <c r="B845" s="9" t="n"/>
      <c r="C845" s="9" t="n"/>
      <c r="D845" s="9" t="n"/>
      <c r="E845" s="8" t="n"/>
      <c r="F845" s="10" t="n"/>
      <c r="G845" s="8" t="n"/>
      <c r="H845" s="11">
        <f>IF(D845="","",IF(G845="",Setup!$B$5,G845)-E845)</f>
        <v/>
      </c>
      <c r="I845" s="6">
        <f>IF(D845="","",AND(LOWER(B845)="y",H845&gt;Setup!$B$4))</f>
        <v/>
      </c>
      <c r="J845" s="12">
        <f>IF(D845="","",IF(AND(I845=TRUE,G845=""),F845,0))</f>
        <v/>
      </c>
      <c r="K845" s="12">
        <f>IF(OR(D845="",G845=""),0,F845)</f>
        <v/>
      </c>
      <c r="L845" s="12">
        <f>IF(OR(D845="",G845=""),0,H845*F845)</f>
        <v/>
      </c>
    </row>
    <row r="846">
      <c r="A846" s="9" t="n"/>
      <c r="B846" s="9" t="n"/>
      <c r="C846" s="9" t="n"/>
      <c r="D846" s="9" t="n"/>
      <c r="E846" s="8" t="n"/>
      <c r="F846" s="10" t="n"/>
      <c r="G846" s="8" t="n"/>
      <c r="H846" s="11">
        <f>IF(D846="","",IF(G846="",Setup!$B$5,G846)-E846)</f>
        <v/>
      </c>
      <c r="I846" s="6">
        <f>IF(D846="","",AND(LOWER(B846)="y",H846&gt;Setup!$B$4))</f>
        <v/>
      </c>
      <c r="J846" s="12">
        <f>IF(D846="","",IF(AND(I846=TRUE,G846=""),F846,0))</f>
        <v/>
      </c>
      <c r="K846" s="12">
        <f>IF(OR(D846="",G846=""),0,F846)</f>
        <v/>
      </c>
      <c r="L846" s="12">
        <f>IF(OR(D846="",G846=""),0,H846*F846)</f>
        <v/>
      </c>
    </row>
    <row r="847">
      <c r="A847" s="9" t="n"/>
      <c r="B847" s="9" t="n"/>
      <c r="C847" s="9" t="n"/>
      <c r="D847" s="9" t="n"/>
      <c r="E847" s="8" t="n"/>
      <c r="F847" s="10" t="n"/>
      <c r="G847" s="8" t="n"/>
      <c r="H847" s="11">
        <f>IF(D847="","",IF(G847="",Setup!$B$5,G847)-E847)</f>
        <v/>
      </c>
      <c r="I847" s="6">
        <f>IF(D847="","",AND(LOWER(B847)="y",H847&gt;Setup!$B$4))</f>
        <v/>
      </c>
      <c r="J847" s="12">
        <f>IF(D847="","",IF(AND(I847=TRUE,G847=""),F847,0))</f>
        <v/>
      </c>
      <c r="K847" s="12">
        <f>IF(OR(D847="",G847=""),0,F847)</f>
        <v/>
      </c>
      <c r="L847" s="12">
        <f>IF(OR(D847="",G847=""),0,H847*F847)</f>
        <v/>
      </c>
    </row>
    <row r="848">
      <c r="A848" s="9" t="n"/>
      <c r="B848" s="9" t="n"/>
      <c r="C848" s="9" t="n"/>
      <c r="D848" s="9" t="n"/>
      <c r="E848" s="8" t="n"/>
      <c r="F848" s="10" t="n"/>
      <c r="G848" s="8" t="n"/>
      <c r="H848" s="11">
        <f>IF(D848="","",IF(G848="",Setup!$B$5,G848)-E848)</f>
        <v/>
      </c>
      <c r="I848" s="6">
        <f>IF(D848="","",AND(LOWER(B848)="y",H848&gt;Setup!$B$4))</f>
        <v/>
      </c>
      <c r="J848" s="12">
        <f>IF(D848="","",IF(AND(I848=TRUE,G848=""),F848,0))</f>
        <v/>
      </c>
      <c r="K848" s="12">
        <f>IF(OR(D848="",G848=""),0,F848)</f>
        <v/>
      </c>
      <c r="L848" s="12">
        <f>IF(OR(D848="",G848=""),0,H848*F848)</f>
        <v/>
      </c>
    </row>
    <row r="849">
      <c r="A849" s="9" t="n"/>
      <c r="B849" s="9" t="n"/>
      <c r="C849" s="9" t="n"/>
      <c r="D849" s="9" t="n"/>
      <c r="E849" s="8" t="n"/>
      <c r="F849" s="10" t="n"/>
      <c r="G849" s="8" t="n"/>
      <c r="H849" s="11">
        <f>IF(D849="","",IF(G849="",Setup!$B$5,G849)-E849)</f>
        <v/>
      </c>
      <c r="I849" s="6">
        <f>IF(D849="","",AND(LOWER(B849)="y",H849&gt;Setup!$B$4))</f>
        <v/>
      </c>
      <c r="J849" s="12">
        <f>IF(D849="","",IF(AND(I849=TRUE,G849=""),F849,0))</f>
        <v/>
      </c>
      <c r="K849" s="12">
        <f>IF(OR(D849="",G849=""),0,F849)</f>
        <v/>
      </c>
      <c r="L849" s="12">
        <f>IF(OR(D849="",G849=""),0,H849*F849)</f>
        <v/>
      </c>
    </row>
    <row r="850">
      <c r="A850" s="9" t="n"/>
      <c r="B850" s="9" t="n"/>
      <c r="C850" s="9" t="n"/>
      <c r="D850" s="9" t="n"/>
      <c r="E850" s="8" t="n"/>
      <c r="F850" s="10" t="n"/>
      <c r="G850" s="8" t="n"/>
      <c r="H850" s="11">
        <f>IF(D850="","",IF(G850="",Setup!$B$5,G850)-E850)</f>
        <v/>
      </c>
      <c r="I850" s="6">
        <f>IF(D850="","",AND(LOWER(B850)="y",H850&gt;Setup!$B$4))</f>
        <v/>
      </c>
      <c r="J850" s="12">
        <f>IF(D850="","",IF(AND(I850=TRUE,G850=""),F850,0))</f>
        <v/>
      </c>
      <c r="K850" s="12">
        <f>IF(OR(D850="",G850=""),0,F850)</f>
        <v/>
      </c>
      <c r="L850" s="12">
        <f>IF(OR(D850="",G850=""),0,H850*F850)</f>
        <v/>
      </c>
    </row>
    <row r="851">
      <c r="A851" s="9" t="n"/>
      <c r="B851" s="9" t="n"/>
      <c r="C851" s="9" t="n"/>
      <c r="D851" s="9" t="n"/>
      <c r="E851" s="8" t="n"/>
      <c r="F851" s="10" t="n"/>
      <c r="G851" s="8" t="n"/>
      <c r="H851" s="11">
        <f>IF(D851="","",IF(G851="",Setup!$B$5,G851)-E851)</f>
        <v/>
      </c>
      <c r="I851" s="6">
        <f>IF(D851="","",AND(LOWER(B851)="y",H851&gt;Setup!$B$4))</f>
        <v/>
      </c>
      <c r="J851" s="12">
        <f>IF(D851="","",IF(AND(I851=TRUE,G851=""),F851,0))</f>
        <v/>
      </c>
      <c r="K851" s="12">
        <f>IF(OR(D851="",G851=""),0,F851)</f>
        <v/>
      </c>
      <c r="L851" s="12">
        <f>IF(OR(D851="",G851=""),0,H851*F851)</f>
        <v/>
      </c>
    </row>
    <row r="852">
      <c r="A852" s="9" t="n"/>
      <c r="B852" s="9" t="n"/>
      <c r="C852" s="9" t="n"/>
      <c r="D852" s="9" t="n"/>
      <c r="E852" s="8" t="n"/>
      <c r="F852" s="10" t="n"/>
      <c r="G852" s="8" t="n"/>
      <c r="H852" s="11">
        <f>IF(D852="","",IF(G852="",Setup!$B$5,G852)-E852)</f>
        <v/>
      </c>
      <c r="I852" s="6">
        <f>IF(D852="","",AND(LOWER(B852)="y",H852&gt;Setup!$B$4))</f>
        <v/>
      </c>
      <c r="J852" s="12">
        <f>IF(D852="","",IF(AND(I852=TRUE,G852=""),F852,0))</f>
        <v/>
      </c>
      <c r="K852" s="12">
        <f>IF(OR(D852="",G852=""),0,F852)</f>
        <v/>
      </c>
      <c r="L852" s="12">
        <f>IF(OR(D852="",G852=""),0,H852*F852)</f>
        <v/>
      </c>
    </row>
    <row r="853">
      <c r="A853" s="9" t="n"/>
      <c r="B853" s="9" t="n"/>
      <c r="C853" s="9" t="n"/>
      <c r="D853" s="9" t="n"/>
      <c r="E853" s="8" t="n"/>
      <c r="F853" s="10" t="n"/>
      <c r="G853" s="8" t="n"/>
      <c r="H853" s="11">
        <f>IF(D853="","",IF(G853="",Setup!$B$5,G853)-E853)</f>
        <v/>
      </c>
      <c r="I853" s="6">
        <f>IF(D853="","",AND(LOWER(B853)="y",H853&gt;Setup!$B$4))</f>
        <v/>
      </c>
      <c r="J853" s="12">
        <f>IF(D853="","",IF(AND(I853=TRUE,G853=""),F853,0))</f>
        <v/>
      </c>
      <c r="K853" s="12">
        <f>IF(OR(D853="",G853=""),0,F853)</f>
        <v/>
      </c>
      <c r="L853" s="12">
        <f>IF(OR(D853="",G853=""),0,H853*F853)</f>
        <v/>
      </c>
    </row>
    <row r="854">
      <c r="A854" s="9" t="n"/>
      <c r="B854" s="9" t="n"/>
      <c r="C854" s="9" t="n"/>
      <c r="D854" s="9" t="n"/>
      <c r="E854" s="8" t="n"/>
      <c r="F854" s="10" t="n"/>
      <c r="G854" s="8" t="n"/>
      <c r="H854" s="11">
        <f>IF(D854="","",IF(G854="",Setup!$B$5,G854)-E854)</f>
        <v/>
      </c>
      <c r="I854" s="6">
        <f>IF(D854="","",AND(LOWER(B854)="y",H854&gt;Setup!$B$4))</f>
        <v/>
      </c>
      <c r="J854" s="12">
        <f>IF(D854="","",IF(AND(I854=TRUE,G854=""),F854,0))</f>
        <v/>
      </c>
      <c r="K854" s="12">
        <f>IF(OR(D854="",G854=""),0,F854)</f>
        <v/>
      </c>
      <c r="L854" s="12">
        <f>IF(OR(D854="",G854=""),0,H854*F854)</f>
        <v/>
      </c>
    </row>
    <row r="855">
      <c r="A855" s="9" t="n"/>
      <c r="B855" s="9" t="n"/>
      <c r="C855" s="9" t="n"/>
      <c r="D855" s="9" t="n"/>
      <c r="E855" s="8" t="n"/>
      <c r="F855" s="10" t="n"/>
      <c r="G855" s="8" t="n"/>
      <c r="H855" s="11">
        <f>IF(D855="","",IF(G855="",Setup!$B$5,G855)-E855)</f>
        <v/>
      </c>
      <c r="I855" s="6">
        <f>IF(D855="","",AND(LOWER(B855)="y",H855&gt;Setup!$B$4))</f>
        <v/>
      </c>
      <c r="J855" s="12">
        <f>IF(D855="","",IF(AND(I855=TRUE,G855=""),F855,0))</f>
        <v/>
      </c>
      <c r="K855" s="12">
        <f>IF(OR(D855="",G855=""),0,F855)</f>
        <v/>
      </c>
      <c r="L855" s="12">
        <f>IF(OR(D855="",G855=""),0,H855*F855)</f>
        <v/>
      </c>
    </row>
    <row r="856">
      <c r="A856" s="9" t="n"/>
      <c r="B856" s="9" t="n"/>
      <c r="C856" s="9" t="n"/>
      <c r="D856" s="9" t="n"/>
      <c r="E856" s="8" t="n"/>
      <c r="F856" s="10" t="n"/>
      <c r="G856" s="8" t="n"/>
      <c r="H856" s="11">
        <f>IF(D856="","",IF(G856="",Setup!$B$5,G856)-E856)</f>
        <v/>
      </c>
      <c r="I856" s="6">
        <f>IF(D856="","",AND(LOWER(B856)="y",H856&gt;Setup!$B$4))</f>
        <v/>
      </c>
      <c r="J856" s="12">
        <f>IF(D856="","",IF(AND(I856=TRUE,G856=""),F856,0))</f>
        <v/>
      </c>
      <c r="K856" s="12">
        <f>IF(OR(D856="",G856=""),0,F856)</f>
        <v/>
      </c>
      <c r="L856" s="12">
        <f>IF(OR(D856="",G856=""),0,H856*F856)</f>
        <v/>
      </c>
    </row>
    <row r="857">
      <c r="A857" s="9" t="n"/>
      <c r="B857" s="9" t="n"/>
      <c r="C857" s="9" t="n"/>
      <c r="D857" s="9" t="n"/>
      <c r="E857" s="8" t="n"/>
      <c r="F857" s="10" t="n"/>
      <c r="G857" s="8" t="n"/>
      <c r="H857" s="11">
        <f>IF(D857="","",IF(G857="",Setup!$B$5,G857)-E857)</f>
        <v/>
      </c>
      <c r="I857" s="6">
        <f>IF(D857="","",AND(LOWER(B857)="y",H857&gt;Setup!$B$4))</f>
        <v/>
      </c>
      <c r="J857" s="12">
        <f>IF(D857="","",IF(AND(I857=TRUE,G857=""),F857,0))</f>
        <v/>
      </c>
      <c r="K857" s="12">
        <f>IF(OR(D857="",G857=""),0,F857)</f>
        <v/>
      </c>
      <c r="L857" s="12">
        <f>IF(OR(D857="",G857=""),0,H857*F857)</f>
        <v/>
      </c>
    </row>
    <row r="858">
      <c r="A858" s="9" t="n"/>
      <c r="B858" s="9" t="n"/>
      <c r="C858" s="9" t="n"/>
      <c r="D858" s="9" t="n"/>
      <c r="E858" s="8" t="n"/>
      <c r="F858" s="10" t="n"/>
      <c r="G858" s="8" t="n"/>
      <c r="H858" s="11">
        <f>IF(D858="","",IF(G858="",Setup!$B$5,G858)-E858)</f>
        <v/>
      </c>
      <c r="I858" s="6">
        <f>IF(D858="","",AND(LOWER(B858)="y",H858&gt;Setup!$B$4))</f>
        <v/>
      </c>
      <c r="J858" s="12">
        <f>IF(D858="","",IF(AND(I858=TRUE,G858=""),F858,0))</f>
        <v/>
      </c>
      <c r="K858" s="12">
        <f>IF(OR(D858="",G858=""),0,F858)</f>
        <v/>
      </c>
      <c r="L858" s="12">
        <f>IF(OR(D858="",G858=""),0,H858*F858)</f>
        <v/>
      </c>
    </row>
    <row r="859">
      <c r="A859" s="9" t="n"/>
      <c r="B859" s="9" t="n"/>
      <c r="C859" s="9" t="n"/>
      <c r="D859" s="9" t="n"/>
      <c r="E859" s="8" t="n"/>
      <c r="F859" s="10" t="n"/>
      <c r="G859" s="8" t="n"/>
      <c r="H859" s="11">
        <f>IF(D859="","",IF(G859="",Setup!$B$5,G859)-E859)</f>
        <v/>
      </c>
      <c r="I859" s="6">
        <f>IF(D859="","",AND(LOWER(B859)="y",H859&gt;Setup!$B$4))</f>
        <v/>
      </c>
      <c r="J859" s="12">
        <f>IF(D859="","",IF(AND(I859=TRUE,G859=""),F859,0))</f>
        <v/>
      </c>
      <c r="K859" s="12">
        <f>IF(OR(D859="",G859=""),0,F859)</f>
        <v/>
      </c>
      <c r="L859" s="12">
        <f>IF(OR(D859="",G859=""),0,H859*F859)</f>
        <v/>
      </c>
    </row>
    <row r="860">
      <c r="A860" s="9" t="n"/>
      <c r="B860" s="9" t="n"/>
      <c r="C860" s="9" t="n"/>
      <c r="D860" s="9" t="n"/>
      <c r="E860" s="8" t="n"/>
      <c r="F860" s="10" t="n"/>
      <c r="G860" s="8" t="n"/>
      <c r="H860" s="11">
        <f>IF(D860="","",IF(G860="",Setup!$B$5,G860)-E860)</f>
        <v/>
      </c>
      <c r="I860" s="6">
        <f>IF(D860="","",AND(LOWER(B860)="y",H860&gt;Setup!$B$4))</f>
        <v/>
      </c>
      <c r="J860" s="12">
        <f>IF(D860="","",IF(AND(I860=TRUE,G860=""),F860,0))</f>
        <v/>
      </c>
      <c r="K860" s="12">
        <f>IF(OR(D860="",G860=""),0,F860)</f>
        <v/>
      </c>
      <c r="L860" s="12">
        <f>IF(OR(D860="",G860=""),0,H860*F860)</f>
        <v/>
      </c>
    </row>
    <row r="861">
      <c r="A861" s="9" t="n"/>
      <c r="B861" s="9" t="n"/>
      <c r="C861" s="9" t="n"/>
      <c r="D861" s="9" t="n"/>
      <c r="E861" s="8" t="n"/>
      <c r="F861" s="10" t="n"/>
      <c r="G861" s="8" t="n"/>
      <c r="H861" s="11">
        <f>IF(D861="","",IF(G861="",Setup!$B$5,G861)-E861)</f>
        <v/>
      </c>
      <c r="I861" s="6">
        <f>IF(D861="","",AND(LOWER(B861)="y",H861&gt;Setup!$B$4))</f>
        <v/>
      </c>
      <c r="J861" s="12">
        <f>IF(D861="","",IF(AND(I861=TRUE,G861=""),F861,0))</f>
        <v/>
      </c>
      <c r="K861" s="12">
        <f>IF(OR(D861="",G861=""),0,F861)</f>
        <v/>
      </c>
      <c r="L861" s="12">
        <f>IF(OR(D861="",G861=""),0,H861*F861)</f>
        <v/>
      </c>
    </row>
    <row r="862">
      <c r="A862" s="9" t="n"/>
      <c r="B862" s="9" t="n"/>
      <c r="C862" s="9" t="n"/>
      <c r="D862" s="9" t="n"/>
      <c r="E862" s="8" t="n"/>
      <c r="F862" s="10" t="n"/>
      <c r="G862" s="8" t="n"/>
      <c r="H862" s="11">
        <f>IF(D862="","",IF(G862="",Setup!$B$5,G862)-E862)</f>
        <v/>
      </c>
      <c r="I862" s="6">
        <f>IF(D862="","",AND(LOWER(B862)="y",H862&gt;Setup!$B$4))</f>
        <v/>
      </c>
      <c r="J862" s="12">
        <f>IF(D862="","",IF(AND(I862=TRUE,G862=""),F862,0))</f>
        <v/>
      </c>
      <c r="K862" s="12">
        <f>IF(OR(D862="",G862=""),0,F862)</f>
        <v/>
      </c>
      <c r="L862" s="12">
        <f>IF(OR(D862="",G862=""),0,H862*F862)</f>
        <v/>
      </c>
    </row>
    <row r="863">
      <c r="A863" s="9" t="n"/>
      <c r="B863" s="9" t="n"/>
      <c r="C863" s="9" t="n"/>
      <c r="D863" s="9" t="n"/>
      <c r="E863" s="8" t="n"/>
      <c r="F863" s="10" t="n"/>
      <c r="G863" s="8" t="n"/>
      <c r="H863" s="11">
        <f>IF(D863="","",IF(G863="",Setup!$B$5,G863)-E863)</f>
        <v/>
      </c>
      <c r="I863" s="6">
        <f>IF(D863="","",AND(LOWER(B863)="y",H863&gt;Setup!$B$4))</f>
        <v/>
      </c>
      <c r="J863" s="12">
        <f>IF(D863="","",IF(AND(I863=TRUE,G863=""),F863,0))</f>
        <v/>
      </c>
      <c r="K863" s="12">
        <f>IF(OR(D863="",G863=""),0,F863)</f>
        <v/>
      </c>
      <c r="L863" s="12">
        <f>IF(OR(D863="",G863=""),0,H863*F863)</f>
        <v/>
      </c>
    </row>
    <row r="864">
      <c r="A864" s="9" t="n"/>
      <c r="B864" s="9" t="n"/>
      <c r="C864" s="9" t="n"/>
      <c r="D864" s="9" t="n"/>
      <c r="E864" s="8" t="n"/>
      <c r="F864" s="10" t="n"/>
      <c r="G864" s="8" t="n"/>
      <c r="H864" s="11">
        <f>IF(D864="","",IF(G864="",Setup!$B$5,G864)-E864)</f>
        <v/>
      </c>
      <c r="I864" s="6">
        <f>IF(D864="","",AND(LOWER(B864)="y",H864&gt;Setup!$B$4))</f>
        <v/>
      </c>
      <c r="J864" s="12">
        <f>IF(D864="","",IF(AND(I864=TRUE,G864=""),F864,0))</f>
        <v/>
      </c>
      <c r="K864" s="12">
        <f>IF(OR(D864="",G864=""),0,F864)</f>
        <v/>
      </c>
      <c r="L864" s="12">
        <f>IF(OR(D864="",G864=""),0,H864*F864)</f>
        <v/>
      </c>
    </row>
    <row r="865">
      <c r="A865" s="9" t="n"/>
      <c r="B865" s="9" t="n"/>
      <c r="C865" s="9" t="n"/>
      <c r="D865" s="9" t="n"/>
      <c r="E865" s="8" t="n"/>
      <c r="F865" s="10" t="n"/>
      <c r="G865" s="8" t="n"/>
      <c r="H865" s="11">
        <f>IF(D865="","",IF(G865="",Setup!$B$5,G865)-E865)</f>
        <v/>
      </c>
      <c r="I865" s="6">
        <f>IF(D865="","",AND(LOWER(B865)="y",H865&gt;Setup!$B$4))</f>
        <v/>
      </c>
      <c r="J865" s="12">
        <f>IF(D865="","",IF(AND(I865=TRUE,G865=""),F865,0))</f>
        <v/>
      </c>
      <c r="K865" s="12">
        <f>IF(OR(D865="",G865=""),0,F865)</f>
        <v/>
      </c>
      <c r="L865" s="12">
        <f>IF(OR(D865="",G865=""),0,H865*F865)</f>
        <v/>
      </c>
    </row>
    <row r="866">
      <c r="A866" s="9" t="n"/>
      <c r="B866" s="9" t="n"/>
      <c r="C866" s="9" t="n"/>
      <c r="D866" s="9" t="n"/>
      <c r="E866" s="8" t="n"/>
      <c r="F866" s="10" t="n"/>
      <c r="G866" s="8" t="n"/>
      <c r="H866" s="11">
        <f>IF(D866="","",IF(G866="",Setup!$B$5,G866)-E866)</f>
        <v/>
      </c>
      <c r="I866" s="6">
        <f>IF(D866="","",AND(LOWER(B866)="y",H866&gt;Setup!$B$4))</f>
        <v/>
      </c>
      <c r="J866" s="12">
        <f>IF(D866="","",IF(AND(I866=TRUE,G866=""),F866,0))</f>
        <v/>
      </c>
      <c r="K866" s="12">
        <f>IF(OR(D866="",G866=""),0,F866)</f>
        <v/>
      </c>
      <c r="L866" s="12">
        <f>IF(OR(D866="",G866=""),0,H866*F866)</f>
        <v/>
      </c>
    </row>
    <row r="867">
      <c r="A867" s="9" t="n"/>
      <c r="B867" s="9" t="n"/>
      <c r="C867" s="9" t="n"/>
      <c r="D867" s="9" t="n"/>
      <c r="E867" s="8" t="n"/>
      <c r="F867" s="10" t="n"/>
      <c r="G867" s="8" t="n"/>
      <c r="H867" s="11">
        <f>IF(D867="","",IF(G867="",Setup!$B$5,G867)-E867)</f>
        <v/>
      </c>
      <c r="I867" s="6">
        <f>IF(D867="","",AND(LOWER(B867)="y",H867&gt;Setup!$B$4))</f>
        <v/>
      </c>
      <c r="J867" s="12">
        <f>IF(D867="","",IF(AND(I867=TRUE,G867=""),F867,0))</f>
        <v/>
      </c>
      <c r="K867" s="12">
        <f>IF(OR(D867="",G867=""),0,F867)</f>
        <v/>
      </c>
      <c r="L867" s="12">
        <f>IF(OR(D867="",G867=""),0,H867*F867)</f>
        <v/>
      </c>
    </row>
    <row r="868">
      <c r="A868" s="9" t="n"/>
      <c r="B868" s="9" t="n"/>
      <c r="C868" s="9" t="n"/>
      <c r="D868" s="9" t="n"/>
      <c r="E868" s="8" t="n"/>
      <c r="F868" s="10" t="n"/>
      <c r="G868" s="8" t="n"/>
      <c r="H868" s="11">
        <f>IF(D868="","",IF(G868="",Setup!$B$5,G868)-E868)</f>
        <v/>
      </c>
      <c r="I868" s="6">
        <f>IF(D868="","",AND(LOWER(B868)="y",H868&gt;Setup!$B$4))</f>
        <v/>
      </c>
      <c r="J868" s="12">
        <f>IF(D868="","",IF(AND(I868=TRUE,G868=""),F868,0))</f>
        <v/>
      </c>
      <c r="K868" s="12">
        <f>IF(OR(D868="",G868=""),0,F868)</f>
        <v/>
      </c>
      <c r="L868" s="12">
        <f>IF(OR(D868="",G868=""),0,H868*F868)</f>
        <v/>
      </c>
    </row>
    <row r="869">
      <c r="A869" s="9" t="n"/>
      <c r="B869" s="9" t="n"/>
      <c r="C869" s="9" t="n"/>
      <c r="D869" s="9" t="n"/>
      <c r="E869" s="8" t="n"/>
      <c r="F869" s="10" t="n"/>
      <c r="G869" s="8" t="n"/>
      <c r="H869" s="11">
        <f>IF(D869="","",IF(G869="",Setup!$B$5,G869)-E869)</f>
        <v/>
      </c>
      <c r="I869" s="6">
        <f>IF(D869="","",AND(LOWER(B869)="y",H869&gt;Setup!$B$4))</f>
        <v/>
      </c>
      <c r="J869" s="12">
        <f>IF(D869="","",IF(AND(I869=TRUE,G869=""),F869,0))</f>
        <v/>
      </c>
      <c r="K869" s="12">
        <f>IF(OR(D869="",G869=""),0,F869)</f>
        <v/>
      </c>
      <c r="L869" s="12">
        <f>IF(OR(D869="",G869=""),0,H869*F869)</f>
        <v/>
      </c>
    </row>
    <row r="870">
      <c r="A870" s="9" t="n"/>
      <c r="B870" s="9" t="n"/>
      <c r="C870" s="9" t="n"/>
      <c r="D870" s="9" t="n"/>
      <c r="E870" s="8" t="n"/>
      <c r="F870" s="10" t="n"/>
      <c r="G870" s="8" t="n"/>
      <c r="H870" s="11">
        <f>IF(D870="","",IF(G870="",Setup!$B$5,G870)-E870)</f>
        <v/>
      </c>
      <c r="I870" s="6">
        <f>IF(D870="","",AND(LOWER(B870)="y",H870&gt;Setup!$B$4))</f>
        <v/>
      </c>
      <c r="J870" s="12">
        <f>IF(D870="","",IF(AND(I870=TRUE,G870=""),F870,0))</f>
        <v/>
      </c>
      <c r="K870" s="12">
        <f>IF(OR(D870="",G870=""),0,F870)</f>
        <v/>
      </c>
      <c r="L870" s="12">
        <f>IF(OR(D870="",G870=""),0,H870*F870)</f>
        <v/>
      </c>
    </row>
    <row r="871">
      <c r="A871" s="9" t="n"/>
      <c r="B871" s="9" t="n"/>
      <c r="C871" s="9" t="n"/>
      <c r="D871" s="9" t="n"/>
      <c r="E871" s="8" t="n"/>
      <c r="F871" s="10" t="n"/>
      <c r="G871" s="8" t="n"/>
      <c r="H871" s="11">
        <f>IF(D871="","",IF(G871="",Setup!$B$5,G871)-E871)</f>
        <v/>
      </c>
      <c r="I871" s="6">
        <f>IF(D871="","",AND(LOWER(B871)="y",H871&gt;Setup!$B$4))</f>
        <v/>
      </c>
      <c r="J871" s="12">
        <f>IF(D871="","",IF(AND(I871=TRUE,G871=""),F871,0))</f>
        <v/>
      </c>
      <c r="K871" s="12">
        <f>IF(OR(D871="",G871=""),0,F871)</f>
        <v/>
      </c>
      <c r="L871" s="12">
        <f>IF(OR(D871="",G871=""),0,H871*F871)</f>
        <v/>
      </c>
    </row>
    <row r="872">
      <c r="A872" s="9" t="n"/>
      <c r="B872" s="9" t="n"/>
      <c r="C872" s="9" t="n"/>
      <c r="D872" s="9" t="n"/>
      <c r="E872" s="8" t="n"/>
      <c r="F872" s="10" t="n"/>
      <c r="G872" s="8" t="n"/>
      <c r="H872" s="11">
        <f>IF(D872="","",IF(G872="",Setup!$B$5,G872)-E872)</f>
        <v/>
      </c>
      <c r="I872" s="6">
        <f>IF(D872="","",AND(LOWER(B872)="y",H872&gt;Setup!$B$4))</f>
        <v/>
      </c>
      <c r="J872" s="12">
        <f>IF(D872="","",IF(AND(I872=TRUE,G872=""),F872,0))</f>
        <v/>
      </c>
      <c r="K872" s="12">
        <f>IF(OR(D872="",G872=""),0,F872)</f>
        <v/>
      </c>
      <c r="L872" s="12">
        <f>IF(OR(D872="",G872=""),0,H872*F872)</f>
        <v/>
      </c>
    </row>
    <row r="873">
      <c r="A873" s="9" t="n"/>
      <c r="B873" s="9" t="n"/>
      <c r="C873" s="9" t="n"/>
      <c r="D873" s="9" t="n"/>
      <c r="E873" s="8" t="n"/>
      <c r="F873" s="10" t="n"/>
      <c r="G873" s="8" t="n"/>
      <c r="H873" s="11">
        <f>IF(D873="","",IF(G873="",Setup!$B$5,G873)-E873)</f>
        <v/>
      </c>
      <c r="I873" s="6">
        <f>IF(D873="","",AND(LOWER(B873)="y",H873&gt;Setup!$B$4))</f>
        <v/>
      </c>
      <c r="J873" s="12">
        <f>IF(D873="","",IF(AND(I873=TRUE,G873=""),F873,0))</f>
        <v/>
      </c>
      <c r="K873" s="12">
        <f>IF(OR(D873="",G873=""),0,F873)</f>
        <v/>
      </c>
      <c r="L873" s="12">
        <f>IF(OR(D873="",G873=""),0,H873*F873)</f>
        <v/>
      </c>
    </row>
    <row r="874">
      <c r="A874" s="9" t="n"/>
      <c r="B874" s="9" t="n"/>
      <c r="C874" s="9" t="n"/>
      <c r="D874" s="9" t="n"/>
      <c r="E874" s="8" t="n"/>
      <c r="F874" s="10" t="n"/>
      <c r="G874" s="8" t="n"/>
      <c r="H874" s="11">
        <f>IF(D874="","",IF(G874="",Setup!$B$5,G874)-E874)</f>
        <v/>
      </c>
      <c r="I874" s="6">
        <f>IF(D874="","",AND(LOWER(B874)="y",H874&gt;Setup!$B$4))</f>
        <v/>
      </c>
      <c r="J874" s="12">
        <f>IF(D874="","",IF(AND(I874=TRUE,G874=""),F874,0))</f>
        <v/>
      </c>
      <c r="K874" s="12">
        <f>IF(OR(D874="",G874=""),0,F874)</f>
        <v/>
      </c>
      <c r="L874" s="12">
        <f>IF(OR(D874="",G874=""),0,H874*F874)</f>
        <v/>
      </c>
    </row>
    <row r="875">
      <c r="A875" s="9" t="n"/>
      <c r="B875" s="9" t="n"/>
      <c r="C875" s="9" t="n"/>
      <c r="D875" s="9" t="n"/>
      <c r="E875" s="8" t="n"/>
      <c r="F875" s="10" t="n"/>
      <c r="G875" s="8" t="n"/>
      <c r="H875" s="11">
        <f>IF(D875="","",IF(G875="",Setup!$B$5,G875)-E875)</f>
        <v/>
      </c>
      <c r="I875" s="6">
        <f>IF(D875="","",AND(LOWER(B875)="y",H875&gt;Setup!$B$4))</f>
        <v/>
      </c>
      <c r="J875" s="12">
        <f>IF(D875="","",IF(AND(I875=TRUE,G875=""),F875,0))</f>
        <v/>
      </c>
      <c r="K875" s="12">
        <f>IF(OR(D875="",G875=""),0,F875)</f>
        <v/>
      </c>
      <c r="L875" s="12">
        <f>IF(OR(D875="",G875=""),0,H875*F875)</f>
        <v/>
      </c>
    </row>
    <row r="876">
      <c r="A876" s="9" t="n"/>
      <c r="B876" s="9" t="n"/>
      <c r="C876" s="9" t="n"/>
      <c r="D876" s="9" t="n"/>
      <c r="E876" s="8" t="n"/>
      <c r="F876" s="10" t="n"/>
      <c r="G876" s="8" t="n"/>
      <c r="H876" s="11">
        <f>IF(D876="","",IF(G876="",Setup!$B$5,G876)-E876)</f>
        <v/>
      </c>
      <c r="I876" s="6">
        <f>IF(D876="","",AND(LOWER(B876)="y",H876&gt;Setup!$B$4))</f>
        <v/>
      </c>
      <c r="J876" s="12">
        <f>IF(D876="","",IF(AND(I876=TRUE,G876=""),F876,0))</f>
        <v/>
      </c>
      <c r="K876" s="12">
        <f>IF(OR(D876="",G876=""),0,F876)</f>
        <v/>
      </c>
      <c r="L876" s="12">
        <f>IF(OR(D876="",G876=""),0,H876*F876)</f>
        <v/>
      </c>
    </row>
    <row r="877">
      <c r="A877" s="9" t="n"/>
      <c r="B877" s="9" t="n"/>
      <c r="C877" s="9" t="n"/>
      <c r="D877" s="9" t="n"/>
      <c r="E877" s="8" t="n"/>
      <c r="F877" s="10" t="n"/>
      <c r="G877" s="8" t="n"/>
      <c r="H877" s="11">
        <f>IF(D877="","",IF(G877="",Setup!$B$5,G877)-E877)</f>
        <v/>
      </c>
      <c r="I877" s="6">
        <f>IF(D877="","",AND(LOWER(B877)="y",H877&gt;Setup!$B$4))</f>
        <v/>
      </c>
      <c r="J877" s="12">
        <f>IF(D877="","",IF(AND(I877=TRUE,G877=""),F877,0))</f>
        <v/>
      </c>
      <c r="K877" s="12">
        <f>IF(OR(D877="",G877=""),0,F877)</f>
        <v/>
      </c>
      <c r="L877" s="12">
        <f>IF(OR(D877="",G877=""),0,H877*F877)</f>
        <v/>
      </c>
    </row>
    <row r="878">
      <c r="A878" s="9" t="n"/>
      <c r="B878" s="9" t="n"/>
      <c r="C878" s="9" t="n"/>
      <c r="D878" s="9" t="n"/>
      <c r="E878" s="8" t="n"/>
      <c r="F878" s="10" t="n"/>
      <c r="G878" s="8" t="n"/>
      <c r="H878" s="11">
        <f>IF(D878="","",IF(G878="",Setup!$B$5,G878)-E878)</f>
        <v/>
      </c>
      <c r="I878" s="6">
        <f>IF(D878="","",AND(LOWER(B878)="y",H878&gt;Setup!$B$4))</f>
        <v/>
      </c>
      <c r="J878" s="12">
        <f>IF(D878="","",IF(AND(I878=TRUE,G878=""),F878,0))</f>
        <v/>
      </c>
      <c r="K878" s="12">
        <f>IF(OR(D878="",G878=""),0,F878)</f>
        <v/>
      </c>
      <c r="L878" s="12">
        <f>IF(OR(D878="",G878=""),0,H878*F878)</f>
        <v/>
      </c>
    </row>
    <row r="879">
      <c r="A879" s="9" t="n"/>
      <c r="B879" s="9" t="n"/>
      <c r="C879" s="9" t="n"/>
      <c r="D879" s="9" t="n"/>
      <c r="E879" s="8" t="n"/>
      <c r="F879" s="10" t="n"/>
      <c r="G879" s="8" t="n"/>
      <c r="H879" s="11">
        <f>IF(D879="","",IF(G879="",Setup!$B$5,G879)-E879)</f>
        <v/>
      </c>
      <c r="I879" s="6">
        <f>IF(D879="","",AND(LOWER(B879)="y",H879&gt;Setup!$B$4))</f>
        <v/>
      </c>
      <c r="J879" s="12">
        <f>IF(D879="","",IF(AND(I879=TRUE,G879=""),F879,0))</f>
        <v/>
      </c>
      <c r="K879" s="12">
        <f>IF(OR(D879="",G879=""),0,F879)</f>
        <v/>
      </c>
      <c r="L879" s="12">
        <f>IF(OR(D879="",G879=""),0,H879*F879)</f>
        <v/>
      </c>
    </row>
    <row r="880">
      <c r="A880" s="9" t="n"/>
      <c r="B880" s="9" t="n"/>
      <c r="C880" s="9" t="n"/>
      <c r="D880" s="9" t="n"/>
      <c r="E880" s="8" t="n"/>
      <c r="F880" s="10" t="n"/>
      <c r="G880" s="8" t="n"/>
      <c r="H880" s="11">
        <f>IF(D880="","",IF(G880="",Setup!$B$5,G880)-E880)</f>
        <v/>
      </c>
      <c r="I880" s="6">
        <f>IF(D880="","",AND(LOWER(B880)="y",H880&gt;Setup!$B$4))</f>
        <v/>
      </c>
      <c r="J880" s="12">
        <f>IF(D880="","",IF(AND(I880=TRUE,G880=""),F880,0))</f>
        <v/>
      </c>
      <c r="K880" s="12">
        <f>IF(OR(D880="",G880=""),0,F880)</f>
        <v/>
      </c>
      <c r="L880" s="12">
        <f>IF(OR(D880="",G880=""),0,H880*F880)</f>
        <v/>
      </c>
    </row>
    <row r="881">
      <c r="A881" s="9" t="n"/>
      <c r="B881" s="9" t="n"/>
      <c r="C881" s="9" t="n"/>
      <c r="D881" s="9" t="n"/>
      <c r="E881" s="8" t="n"/>
      <c r="F881" s="10" t="n"/>
      <c r="G881" s="8" t="n"/>
      <c r="H881" s="11">
        <f>IF(D881="","",IF(G881="",Setup!$B$5,G881)-E881)</f>
        <v/>
      </c>
      <c r="I881" s="6">
        <f>IF(D881="","",AND(LOWER(B881)="y",H881&gt;Setup!$B$4))</f>
        <v/>
      </c>
      <c r="J881" s="12">
        <f>IF(D881="","",IF(AND(I881=TRUE,G881=""),F881,0))</f>
        <v/>
      </c>
      <c r="K881" s="12">
        <f>IF(OR(D881="",G881=""),0,F881)</f>
        <v/>
      </c>
      <c r="L881" s="12">
        <f>IF(OR(D881="",G881=""),0,H881*F881)</f>
        <v/>
      </c>
    </row>
    <row r="882">
      <c r="A882" s="9" t="n"/>
      <c r="B882" s="9" t="n"/>
      <c r="C882" s="9" t="n"/>
      <c r="D882" s="9" t="n"/>
      <c r="E882" s="8" t="n"/>
      <c r="F882" s="10" t="n"/>
      <c r="G882" s="8" t="n"/>
      <c r="H882" s="11">
        <f>IF(D882="","",IF(G882="",Setup!$B$5,G882)-E882)</f>
        <v/>
      </c>
      <c r="I882" s="6">
        <f>IF(D882="","",AND(LOWER(B882)="y",H882&gt;Setup!$B$4))</f>
        <v/>
      </c>
      <c r="J882" s="12">
        <f>IF(D882="","",IF(AND(I882=TRUE,G882=""),F882,0))</f>
        <v/>
      </c>
      <c r="K882" s="12">
        <f>IF(OR(D882="",G882=""),0,F882)</f>
        <v/>
      </c>
      <c r="L882" s="12">
        <f>IF(OR(D882="",G882=""),0,H882*F882)</f>
        <v/>
      </c>
    </row>
    <row r="883">
      <c r="A883" s="9" t="n"/>
      <c r="B883" s="9" t="n"/>
      <c r="C883" s="9" t="n"/>
      <c r="D883" s="9" t="n"/>
      <c r="E883" s="8" t="n"/>
      <c r="F883" s="10" t="n"/>
      <c r="G883" s="8" t="n"/>
      <c r="H883" s="11">
        <f>IF(D883="","",IF(G883="",Setup!$B$5,G883)-E883)</f>
        <v/>
      </c>
      <c r="I883" s="6">
        <f>IF(D883="","",AND(LOWER(B883)="y",H883&gt;Setup!$B$4))</f>
        <v/>
      </c>
      <c r="J883" s="12">
        <f>IF(D883="","",IF(AND(I883=TRUE,G883=""),F883,0))</f>
        <v/>
      </c>
      <c r="K883" s="12">
        <f>IF(OR(D883="",G883=""),0,F883)</f>
        <v/>
      </c>
      <c r="L883" s="12">
        <f>IF(OR(D883="",G883=""),0,H883*F883)</f>
        <v/>
      </c>
    </row>
    <row r="884">
      <c r="A884" s="9" t="n"/>
      <c r="B884" s="9" t="n"/>
      <c r="C884" s="9" t="n"/>
      <c r="D884" s="9" t="n"/>
      <c r="E884" s="8" t="n"/>
      <c r="F884" s="10" t="n"/>
      <c r="G884" s="8" t="n"/>
      <c r="H884" s="11">
        <f>IF(D884="","",IF(G884="",Setup!$B$5,G884)-E884)</f>
        <v/>
      </c>
      <c r="I884" s="6">
        <f>IF(D884="","",AND(LOWER(B884)="y",H884&gt;Setup!$B$4))</f>
        <v/>
      </c>
      <c r="J884" s="12">
        <f>IF(D884="","",IF(AND(I884=TRUE,G884=""),F884,0))</f>
        <v/>
      </c>
      <c r="K884" s="12">
        <f>IF(OR(D884="",G884=""),0,F884)</f>
        <v/>
      </c>
      <c r="L884" s="12">
        <f>IF(OR(D884="",G884=""),0,H884*F884)</f>
        <v/>
      </c>
    </row>
    <row r="885">
      <c r="A885" s="9" t="n"/>
      <c r="B885" s="9" t="n"/>
      <c r="C885" s="9" t="n"/>
      <c r="D885" s="9" t="n"/>
      <c r="E885" s="8" t="n"/>
      <c r="F885" s="10" t="n"/>
      <c r="G885" s="8" t="n"/>
      <c r="H885" s="11">
        <f>IF(D885="","",IF(G885="",Setup!$B$5,G885)-E885)</f>
        <v/>
      </c>
      <c r="I885" s="6">
        <f>IF(D885="","",AND(LOWER(B885)="y",H885&gt;Setup!$B$4))</f>
        <v/>
      </c>
      <c r="J885" s="12">
        <f>IF(D885="","",IF(AND(I885=TRUE,G885=""),F885,0))</f>
        <v/>
      </c>
      <c r="K885" s="12">
        <f>IF(OR(D885="",G885=""),0,F885)</f>
        <v/>
      </c>
      <c r="L885" s="12">
        <f>IF(OR(D885="",G885=""),0,H885*F885)</f>
        <v/>
      </c>
    </row>
    <row r="886">
      <c r="A886" s="9" t="n"/>
      <c r="B886" s="9" t="n"/>
      <c r="C886" s="9" t="n"/>
      <c r="D886" s="9" t="n"/>
      <c r="E886" s="8" t="n"/>
      <c r="F886" s="10" t="n"/>
      <c r="G886" s="8" t="n"/>
      <c r="H886" s="11">
        <f>IF(D886="","",IF(G886="",Setup!$B$5,G886)-E886)</f>
        <v/>
      </c>
      <c r="I886" s="6">
        <f>IF(D886="","",AND(LOWER(B886)="y",H886&gt;Setup!$B$4))</f>
        <v/>
      </c>
      <c r="J886" s="12">
        <f>IF(D886="","",IF(AND(I886=TRUE,G886=""),F886,0))</f>
        <v/>
      </c>
      <c r="K886" s="12">
        <f>IF(OR(D886="",G886=""),0,F886)</f>
        <v/>
      </c>
      <c r="L886" s="12">
        <f>IF(OR(D886="",G886=""),0,H886*F886)</f>
        <v/>
      </c>
    </row>
    <row r="887">
      <c r="A887" s="9" t="n"/>
      <c r="B887" s="9" t="n"/>
      <c r="C887" s="9" t="n"/>
      <c r="D887" s="9" t="n"/>
      <c r="E887" s="8" t="n"/>
      <c r="F887" s="10" t="n"/>
      <c r="G887" s="8" t="n"/>
      <c r="H887" s="11">
        <f>IF(D887="","",IF(G887="",Setup!$B$5,G887)-E887)</f>
        <v/>
      </c>
      <c r="I887" s="6">
        <f>IF(D887="","",AND(LOWER(B887)="y",H887&gt;Setup!$B$4))</f>
        <v/>
      </c>
      <c r="J887" s="12">
        <f>IF(D887="","",IF(AND(I887=TRUE,G887=""),F887,0))</f>
        <v/>
      </c>
      <c r="K887" s="12">
        <f>IF(OR(D887="",G887=""),0,F887)</f>
        <v/>
      </c>
      <c r="L887" s="12">
        <f>IF(OR(D887="",G887=""),0,H887*F887)</f>
        <v/>
      </c>
    </row>
    <row r="888">
      <c r="A888" s="9" t="n"/>
      <c r="B888" s="9" t="n"/>
      <c r="C888" s="9" t="n"/>
      <c r="D888" s="9" t="n"/>
      <c r="E888" s="8" t="n"/>
      <c r="F888" s="10" t="n"/>
      <c r="G888" s="8" t="n"/>
      <c r="H888" s="11">
        <f>IF(D888="","",IF(G888="",Setup!$B$5,G888)-E888)</f>
        <v/>
      </c>
      <c r="I888" s="6">
        <f>IF(D888="","",AND(LOWER(B888)="y",H888&gt;Setup!$B$4))</f>
        <v/>
      </c>
      <c r="J888" s="12">
        <f>IF(D888="","",IF(AND(I888=TRUE,G888=""),F888,0))</f>
        <v/>
      </c>
      <c r="K888" s="12">
        <f>IF(OR(D888="",G888=""),0,F888)</f>
        <v/>
      </c>
      <c r="L888" s="12">
        <f>IF(OR(D888="",G888=""),0,H888*F888)</f>
        <v/>
      </c>
    </row>
    <row r="889">
      <c r="A889" s="9" t="n"/>
      <c r="B889" s="9" t="n"/>
      <c r="C889" s="9" t="n"/>
      <c r="D889" s="9" t="n"/>
      <c r="E889" s="8" t="n"/>
      <c r="F889" s="10" t="n"/>
      <c r="G889" s="8" t="n"/>
      <c r="H889" s="11">
        <f>IF(D889="","",IF(G889="",Setup!$B$5,G889)-E889)</f>
        <v/>
      </c>
      <c r="I889" s="6">
        <f>IF(D889="","",AND(LOWER(B889)="y",H889&gt;Setup!$B$4))</f>
        <v/>
      </c>
      <c r="J889" s="12">
        <f>IF(D889="","",IF(AND(I889=TRUE,G889=""),F889,0))</f>
        <v/>
      </c>
      <c r="K889" s="12">
        <f>IF(OR(D889="",G889=""),0,F889)</f>
        <v/>
      </c>
      <c r="L889" s="12">
        <f>IF(OR(D889="",G889=""),0,H889*F889)</f>
        <v/>
      </c>
    </row>
    <row r="890">
      <c r="A890" s="9" t="n"/>
      <c r="B890" s="9" t="n"/>
      <c r="C890" s="9" t="n"/>
      <c r="D890" s="9" t="n"/>
      <c r="E890" s="8" t="n"/>
      <c r="F890" s="10" t="n"/>
      <c r="G890" s="8" t="n"/>
      <c r="H890" s="11">
        <f>IF(D890="","",IF(G890="",Setup!$B$5,G890)-E890)</f>
        <v/>
      </c>
      <c r="I890" s="6">
        <f>IF(D890="","",AND(LOWER(B890)="y",H890&gt;Setup!$B$4))</f>
        <v/>
      </c>
      <c r="J890" s="12">
        <f>IF(D890="","",IF(AND(I890=TRUE,G890=""),F890,0))</f>
        <v/>
      </c>
      <c r="K890" s="12">
        <f>IF(OR(D890="",G890=""),0,F890)</f>
        <v/>
      </c>
      <c r="L890" s="12">
        <f>IF(OR(D890="",G890=""),0,H890*F890)</f>
        <v/>
      </c>
    </row>
    <row r="891">
      <c r="A891" s="9" t="n"/>
      <c r="B891" s="9" t="n"/>
      <c r="C891" s="9" t="n"/>
      <c r="D891" s="9" t="n"/>
      <c r="E891" s="8" t="n"/>
      <c r="F891" s="10" t="n"/>
      <c r="G891" s="8" t="n"/>
      <c r="H891" s="11">
        <f>IF(D891="","",IF(G891="",Setup!$B$5,G891)-E891)</f>
        <v/>
      </c>
      <c r="I891" s="6">
        <f>IF(D891="","",AND(LOWER(B891)="y",H891&gt;Setup!$B$4))</f>
        <v/>
      </c>
      <c r="J891" s="12">
        <f>IF(D891="","",IF(AND(I891=TRUE,G891=""),F891,0))</f>
        <v/>
      </c>
      <c r="K891" s="12">
        <f>IF(OR(D891="",G891=""),0,F891)</f>
        <v/>
      </c>
      <c r="L891" s="12">
        <f>IF(OR(D891="",G891=""),0,H891*F891)</f>
        <v/>
      </c>
    </row>
    <row r="892">
      <c r="A892" s="9" t="n"/>
      <c r="B892" s="9" t="n"/>
      <c r="C892" s="9" t="n"/>
      <c r="D892" s="9" t="n"/>
      <c r="E892" s="8" t="n"/>
      <c r="F892" s="10" t="n"/>
      <c r="G892" s="8" t="n"/>
      <c r="H892" s="11">
        <f>IF(D892="","",IF(G892="",Setup!$B$5,G892)-E892)</f>
        <v/>
      </c>
      <c r="I892" s="6">
        <f>IF(D892="","",AND(LOWER(B892)="y",H892&gt;Setup!$B$4))</f>
        <v/>
      </c>
      <c r="J892" s="12">
        <f>IF(D892="","",IF(AND(I892=TRUE,G892=""),F892,0))</f>
        <v/>
      </c>
      <c r="K892" s="12">
        <f>IF(OR(D892="",G892=""),0,F892)</f>
        <v/>
      </c>
      <c r="L892" s="12">
        <f>IF(OR(D892="",G892=""),0,H892*F892)</f>
        <v/>
      </c>
    </row>
    <row r="893">
      <c r="A893" s="9" t="n"/>
      <c r="B893" s="9" t="n"/>
      <c r="C893" s="9" t="n"/>
      <c r="D893" s="9" t="n"/>
      <c r="E893" s="8" t="n"/>
      <c r="F893" s="10" t="n"/>
      <c r="G893" s="8" t="n"/>
      <c r="H893" s="11">
        <f>IF(D893="","",IF(G893="",Setup!$B$5,G893)-E893)</f>
        <v/>
      </c>
      <c r="I893" s="6">
        <f>IF(D893="","",AND(LOWER(B893)="y",H893&gt;Setup!$B$4))</f>
        <v/>
      </c>
      <c r="J893" s="12">
        <f>IF(D893="","",IF(AND(I893=TRUE,G893=""),F893,0))</f>
        <v/>
      </c>
      <c r="K893" s="12">
        <f>IF(OR(D893="",G893=""),0,F893)</f>
        <v/>
      </c>
      <c r="L893" s="12">
        <f>IF(OR(D893="",G893=""),0,H893*F893)</f>
        <v/>
      </c>
    </row>
    <row r="894">
      <c r="A894" s="9" t="n"/>
      <c r="B894" s="9" t="n"/>
      <c r="C894" s="9" t="n"/>
      <c r="D894" s="9" t="n"/>
      <c r="E894" s="8" t="n"/>
      <c r="F894" s="10" t="n"/>
      <c r="G894" s="8" t="n"/>
      <c r="H894" s="11">
        <f>IF(D894="","",IF(G894="",Setup!$B$5,G894)-E894)</f>
        <v/>
      </c>
      <c r="I894" s="6">
        <f>IF(D894="","",AND(LOWER(B894)="y",H894&gt;Setup!$B$4))</f>
        <v/>
      </c>
      <c r="J894" s="12">
        <f>IF(D894="","",IF(AND(I894=TRUE,G894=""),F894,0))</f>
        <v/>
      </c>
      <c r="K894" s="12">
        <f>IF(OR(D894="",G894=""),0,F894)</f>
        <v/>
      </c>
      <c r="L894" s="12">
        <f>IF(OR(D894="",G894=""),0,H894*F894)</f>
        <v/>
      </c>
    </row>
    <row r="895">
      <c r="A895" s="9" t="n"/>
      <c r="B895" s="9" t="n"/>
      <c r="C895" s="9" t="n"/>
      <c r="D895" s="9" t="n"/>
      <c r="E895" s="8" t="n"/>
      <c r="F895" s="10" t="n"/>
      <c r="G895" s="8" t="n"/>
      <c r="H895" s="11">
        <f>IF(D895="","",IF(G895="",Setup!$B$5,G895)-E895)</f>
        <v/>
      </c>
      <c r="I895" s="6">
        <f>IF(D895="","",AND(LOWER(B895)="y",H895&gt;Setup!$B$4))</f>
        <v/>
      </c>
      <c r="J895" s="12">
        <f>IF(D895="","",IF(AND(I895=TRUE,G895=""),F895,0))</f>
        <v/>
      </c>
      <c r="K895" s="12">
        <f>IF(OR(D895="",G895=""),0,F895)</f>
        <v/>
      </c>
      <c r="L895" s="12">
        <f>IF(OR(D895="",G895=""),0,H895*F895)</f>
        <v/>
      </c>
    </row>
    <row r="896">
      <c r="A896" s="9" t="n"/>
      <c r="B896" s="9" t="n"/>
      <c r="C896" s="9" t="n"/>
      <c r="D896" s="9" t="n"/>
      <c r="E896" s="8" t="n"/>
      <c r="F896" s="10" t="n"/>
      <c r="G896" s="8" t="n"/>
      <c r="H896" s="11">
        <f>IF(D896="","",IF(G896="",Setup!$B$5,G896)-E896)</f>
        <v/>
      </c>
      <c r="I896" s="6">
        <f>IF(D896="","",AND(LOWER(B896)="y",H896&gt;Setup!$B$4))</f>
        <v/>
      </c>
      <c r="J896" s="12">
        <f>IF(D896="","",IF(AND(I896=TRUE,G896=""),F896,0))</f>
        <v/>
      </c>
      <c r="K896" s="12">
        <f>IF(OR(D896="",G896=""),0,F896)</f>
        <v/>
      </c>
      <c r="L896" s="12">
        <f>IF(OR(D896="",G896=""),0,H896*F896)</f>
        <v/>
      </c>
    </row>
    <row r="897">
      <c r="A897" s="9" t="n"/>
      <c r="B897" s="9" t="n"/>
      <c r="C897" s="9" t="n"/>
      <c r="D897" s="9" t="n"/>
      <c r="E897" s="8" t="n"/>
      <c r="F897" s="10" t="n"/>
      <c r="G897" s="8" t="n"/>
      <c r="H897" s="11">
        <f>IF(D897="","",IF(G897="",Setup!$B$5,G897)-E897)</f>
        <v/>
      </c>
      <c r="I897" s="6">
        <f>IF(D897="","",AND(LOWER(B897)="y",H897&gt;Setup!$B$4))</f>
        <v/>
      </c>
      <c r="J897" s="12">
        <f>IF(D897="","",IF(AND(I897=TRUE,G897=""),F897,0))</f>
        <v/>
      </c>
      <c r="K897" s="12">
        <f>IF(OR(D897="",G897=""),0,F897)</f>
        <v/>
      </c>
      <c r="L897" s="12">
        <f>IF(OR(D897="",G897=""),0,H897*F897)</f>
        <v/>
      </c>
    </row>
    <row r="898">
      <c r="A898" s="9" t="n"/>
      <c r="B898" s="9" t="n"/>
      <c r="C898" s="9" t="n"/>
      <c r="D898" s="9" t="n"/>
      <c r="E898" s="8" t="n"/>
      <c r="F898" s="10" t="n"/>
      <c r="G898" s="8" t="n"/>
      <c r="H898" s="11">
        <f>IF(D898="","",IF(G898="",Setup!$B$5,G898)-E898)</f>
        <v/>
      </c>
      <c r="I898" s="6">
        <f>IF(D898="","",AND(LOWER(B898)="y",H898&gt;Setup!$B$4))</f>
        <v/>
      </c>
      <c r="J898" s="12">
        <f>IF(D898="","",IF(AND(I898=TRUE,G898=""),F898,0))</f>
        <v/>
      </c>
      <c r="K898" s="12">
        <f>IF(OR(D898="",G898=""),0,F898)</f>
        <v/>
      </c>
      <c r="L898" s="12">
        <f>IF(OR(D898="",G898=""),0,H898*F898)</f>
        <v/>
      </c>
    </row>
    <row r="899">
      <c r="A899" s="9" t="n"/>
      <c r="B899" s="9" t="n"/>
      <c r="C899" s="9" t="n"/>
      <c r="D899" s="9" t="n"/>
      <c r="E899" s="8" t="n"/>
      <c r="F899" s="10" t="n"/>
      <c r="G899" s="8" t="n"/>
      <c r="H899" s="11">
        <f>IF(D899="","",IF(G899="",Setup!$B$5,G899)-E899)</f>
        <v/>
      </c>
      <c r="I899" s="6">
        <f>IF(D899="","",AND(LOWER(B899)="y",H899&gt;Setup!$B$4))</f>
        <v/>
      </c>
      <c r="J899" s="12">
        <f>IF(D899="","",IF(AND(I899=TRUE,G899=""),F899,0))</f>
        <v/>
      </c>
      <c r="K899" s="12">
        <f>IF(OR(D899="",G899=""),0,F899)</f>
        <v/>
      </c>
      <c r="L899" s="12">
        <f>IF(OR(D899="",G899=""),0,H899*F899)</f>
        <v/>
      </c>
    </row>
    <row r="900">
      <c r="A900" s="9" t="n"/>
      <c r="B900" s="9" t="n"/>
      <c r="C900" s="9" t="n"/>
      <c r="D900" s="9" t="n"/>
      <c r="E900" s="8" t="n"/>
      <c r="F900" s="10" t="n"/>
      <c r="G900" s="8" t="n"/>
      <c r="H900" s="11">
        <f>IF(D900="","",IF(G900="",Setup!$B$5,G900)-E900)</f>
        <v/>
      </c>
      <c r="I900" s="6">
        <f>IF(D900="","",AND(LOWER(B900)="y",H900&gt;Setup!$B$4))</f>
        <v/>
      </c>
      <c r="J900" s="12">
        <f>IF(D900="","",IF(AND(I900=TRUE,G900=""),F900,0))</f>
        <v/>
      </c>
      <c r="K900" s="12">
        <f>IF(OR(D900="",G900=""),0,F900)</f>
        <v/>
      </c>
      <c r="L900" s="12">
        <f>IF(OR(D900="",G900=""),0,H900*F900)</f>
        <v/>
      </c>
    </row>
    <row r="901">
      <c r="A901" s="9" t="n"/>
      <c r="B901" s="9" t="n"/>
      <c r="C901" s="9" t="n"/>
      <c r="D901" s="9" t="n"/>
      <c r="E901" s="8" t="n"/>
      <c r="F901" s="10" t="n"/>
      <c r="G901" s="8" t="n"/>
      <c r="H901" s="11">
        <f>IF(D901="","",IF(G901="",Setup!$B$5,G901)-E901)</f>
        <v/>
      </c>
      <c r="I901" s="6">
        <f>IF(D901="","",AND(LOWER(B901)="y",H901&gt;Setup!$B$4))</f>
        <v/>
      </c>
      <c r="J901" s="12">
        <f>IF(D901="","",IF(AND(I901=TRUE,G901=""),F901,0))</f>
        <v/>
      </c>
      <c r="K901" s="12">
        <f>IF(OR(D901="",G901=""),0,F901)</f>
        <v/>
      </c>
      <c r="L901" s="12">
        <f>IF(OR(D901="",G901=""),0,H901*F901)</f>
        <v/>
      </c>
    </row>
    <row r="902">
      <c r="A902" s="9" t="n"/>
      <c r="B902" s="9" t="n"/>
      <c r="C902" s="9" t="n"/>
      <c r="D902" s="9" t="n"/>
      <c r="E902" s="8" t="n"/>
      <c r="F902" s="10" t="n"/>
      <c r="G902" s="8" t="n"/>
      <c r="H902" s="11">
        <f>IF(D902="","",IF(G902="",Setup!$B$5,G902)-E902)</f>
        <v/>
      </c>
      <c r="I902" s="6">
        <f>IF(D902="","",AND(LOWER(B902)="y",H902&gt;Setup!$B$4))</f>
        <v/>
      </c>
      <c r="J902" s="12">
        <f>IF(D902="","",IF(AND(I902=TRUE,G902=""),F902,0))</f>
        <v/>
      </c>
      <c r="K902" s="12">
        <f>IF(OR(D902="",G902=""),0,F902)</f>
        <v/>
      </c>
      <c r="L902" s="12">
        <f>IF(OR(D902="",G902=""),0,H902*F902)</f>
        <v/>
      </c>
    </row>
    <row r="903">
      <c r="A903" s="9" t="n"/>
      <c r="B903" s="9" t="n"/>
      <c r="C903" s="9" t="n"/>
      <c r="D903" s="9" t="n"/>
      <c r="E903" s="8" t="n"/>
      <c r="F903" s="10" t="n"/>
      <c r="G903" s="8" t="n"/>
      <c r="H903" s="11">
        <f>IF(D903="","",IF(G903="",Setup!$B$5,G903)-E903)</f>
        <v/>
      </c>
      <c r="I903" s="6">
        <f>IF(D903="","",AND(LOWER(B903)="y",H903&gt;Setup!$B$4))</f>
        <v/>
      </c>
      <c r="J903" s="12">
        <f>IF(D903="","",IF(AND(I903=TRUE,G903=""),F903,0))</f>
        <v/>
      </c>
      <c r="K903" s="12">
        <f>IF(OR(D903="",G903=""),0,F903)</f>
        <v/>
      </c>
      <c r="L903" s="12">
        <f>IF(OR(D903="",G903=""),0,H903*F903)</f>
        <v/>
      </c>
    </row>
    <row r="904">
      <c r="A904" s="9" t="n"/>
      <c r="B904" s="9" t="n"/>
      <c r="C904" s="9" t="n"/>
      <c r="D904" s="9" t="n"/>
      <c r="E904" s="8" t="n"/>
      <c r="F904" s="10" t="n"/>
      <c r="G904" s="8" t="n"/>
      <c r="H904" s="11">
        <f>IF(D904="","",IF(G904="",Setup!$B$5,G904)-E904)</f>
        <v/>
      </c>
      <c r="I904" s="6">
        <f>IF(D904="","",AND(LOWER(B904)="y",H904&gt;Setup!$B$4))</f>
        <v/>
      </c>
      <c r="J904" s="12">
        <f>IF(D904="","",IF(AND(I904=TRUE,G904=""),F904,0))</f>
        <v/>
      </c>
      <c r="K904" s="12">
        <f>IF(OR(D904="",G904=""),0,F904)</f>
        <v/>
      </c>
      <c r="L904" s="12">
        <f>IF(OR(D904="",G904=""),0,H904*F904)</f>
        <v/>
      </c>
    </row>
    <row r="905">
      <c r="A905" s="9" t="n"/>
      <c r="B905" s="9" t="n"/>
      <c r="C905" s="9" t="n"/>
      <c r="D905" s="9" t="n"/>
      <c r="E905" s="8" t="n"/>
      <c r="F905" s="10" t="n"/>
      <c r="G905" s="8" t="n"/>
      <c r="H905" s="11">
        <f>IF(D905="","",IF(G905="",Setup!$B$5,G905)-E905)</f>
        <v/>
      </c>
      <c r="I905" s="6">
        <f>IF(D905="","",AND(LOWER(B905)="y",H905&gt;Setup!$B$4))</f>
        <v/>
      </c>
      <c r="J905" s="12">
        <f>IF(D905="","",IF(AND(I905=TRUE,G905=""),F905,0))</f>
        <v/>
      </c>
      <c r="K905" s="12">
        <f>IF(OR(D905="",G905=""),0,F905)</f>
        <v/>
      </c>
      <c r="L905" s="12">
        <f>IF(OR(D905="",G905=""),0,H905*F905)</f>
        <v/>
      </c>
    </row>
    <row r="906">
      <c r="A906" s="9" t="n"/>
      <c r="B906" s="9" t="n"/>
      <c r="C906" s="9" t="n"/>
      <c r="D906" s="9" t="n"/>
      <c r="E906" s="8" t="n"/>
      <c r="F906" s="10" t="n"/>
      <c r="G906" s="8" t="n"/>
      <c r="H906" s="11">
        <f>IF(D906="","",IF(G906="",Setup!$B$5,G906)-E906)</f>
        <v/>
      </c>
      <c r="I906" s="6">
        <f>IF(D906="","",AND(LOWER(B906)="y",H906&gt;Setup!$B$4))</f>
        <v/>
      </c>
      <c r="J906" s="12">
        <f>IF(D906="","",IF(AND(I906=TRUE,G906=""),F906,0))</f>
        <v/>
      </c>
      <c r="K906" s="12">
        <f>IF(OR(D906="",G906=""),0,F906)</f>
        <v/>
      </c>
      <c r="L906" s="12">
        <f>IF(OR(D906="",G906=""),0,H906*F906)</f>
        <v/>
      </c>
    </row>
    <row r="907">
      <c r="A907" s="9" t="n"/>
      <c r="B907" s="9" t="n"/>
      <c r="C907" s="9" t="n"/>
      <c r="D907" s="9" t="n"/>
      <c r="E907" s="8" t="n"/>
      <c r="F907" s="10" t="n"/>
      <c r="G907" s="8" t="n"/>
      <c r="H907" s="11">
        <f>IF(D907="","",IF(G907="",Setup!$B$5,G907)-E907)</f>
        <v/>
      </c>
      <c r="I907" s="6">
        <f>IF(D907="","",AND(LOWER(B907)="y",H907&gt;Setup!$B$4))</f>
        <v/>
      </c>
      <c r="J907" s="12">
        <f>IF(D907="","",IF(AND(I907=TRUE,G907=""),F907,0))</f>
        <v/>
      </c>
      <c r="K907" s="12">
        <f>IF(OR(D907="",G907=""),0,F907)</f>
        <v/>
      </c>
      <c r="L907" s="12">
        <f>IF(OR(D907="",G907=""),0,H907*F907)</f>
        <v/>
      </c>
    </row>
    <row r="908">
      <c r="A908" s="9" t="n"/>
      <c r="B908" s="9" t="n"/>
      <c r="C908" s="9" t="n"/>
      <c r="D908" s="9" t="n"/>
      <c r="E908" s="8" t="n"/>
      <c r="F908" s="10" t="n"/>
      <c r="G908" s="8" t="n"/>
      <c r="H908" s="11">
        <f>IF(D908="","",IF(G908="",Setup!$B$5,G908)-E908)</f>
        <v/>
      </c>
      <c r="I908" s="6">
        <f>IF(D908="","",AND(LOWER(B908)="y",H908&gt;Setup!$B$4))</f>
        <v/>
      </c>
      <c r="J908" s="12">
        <f>IF(D908="","",IF(AND(I908=TRUE,G908=""),F908,0))</f>
        <v/>
      </c>
      <c r="K908" s="12">
        <f>IF(OR(D908="",G908=""),0,F908)</f>
        <v/>
      </c>
      <c r="L908" s="12">
        <f>IF(OR(D908="",G908=""),0,H908*F908)</f>
        <v/>
      </c>
    </row>
    <row r="909">
      <c r="A909" s="9" t="n"/>
      <c r="B909" s="9" t="n"/>
      <c r="C909" s="9" t="n"/>
      <c r="D909" s="9" t="n"/>
      <c r="E909" s="8" t="n"/>
      <c r="F909" s="10" t="n"/>
      <c r="G909" s="8" t="n"/>
      <c r="H909" s="11">
        <f>IF(D909="","",IF(G909="",Setup!$B$5,G909)-E909)</f>
        <v/>
      </c>
      <c r="I909" s="6">
        <f>IF(D909="","",AND(LOWER(B909)="y",H909&gt;Setup!$B$4))</f>
        <v/>
      </c>
      <c r="J909" s="12">
        <f>IF(D909="","",IF(AND(I909=TRUE,G909=""),F909,0))</f>
        <v/>
      </c>
      <c r="K909" s="12">
        <f>IF(OR(D909="",G909=""),0,F909)</f>
        <v/>
      </c>
      <c r="L909" s="12">
        <f>IF(OR(D909="",G909=""),0,H909*F909)</f>
        <v/>
      </c>
    </row>
    <row r="910">
      <c r="A910" s="9" t="n"/>
      <c r="B910" s="9" t="n"/>
      <c r="C910" s="9" t="n"/>
      <c r="D910" s="9" t="n"/>
      <c r="E910" s="8" t="n"/>
      <c r="F910" s="10" t="n"/>
      <c r="G910" s="8" t="n"/>
      <c r="H910" s="11">
        <f>IF(D910="","",IF(G910="",Setup!$B$5,G910)-E910)</f>
        <v/>
      </c>
      <c r="I910" s="6">
        <f>IF(D910="","",AND(LOWER(B910)="y",H910&gt;Setup!$B$4))</f>
        <v/>
      </c>
      <c r="J910" s="12">
        <f>IF(D910="","",IF(AND(I910=TRUE,G910=""),F910,0))</f>
        <v/>
      </c>
      <c r="K910" s="12">
        <f>IF(OR(D910="",G910=""),0,F910)</f>
        <v/>
      </c>
      <c r="L910" s="12">
        <f>IF(OR(D910="",G910=""),0,H910*F910)</f>
        <v/>
      </c>
    </row>
    <row r="911">
      <c r="A911" s="9" t="n"/>
      <c r="B911" s="9" t="n"/>
      <c r="C911" s="9" t="n"/>
      <c r="D911" s="9" t="n"/>
      <c r="E911" s="8" t="n"/>
      <c r="F911" s="10" t="n"/>
      <c r="G911" s="8" t="n"/>
      <c r="H911" s="11">
        <f>IF(D911="","",IF(G911="",Setup!$B$5,G911)-E911)</f>
        <v/>
      </c>
      <c r="I911" s="6">
        <f>IF(D911="","",AND(LOWER(B911)="y",H911&gt;Setup!$B$4))</f>
        <v/>
      </c>
      <c r="J911" s="12">
        <f>IF(D911="","",IF(AND(I911=TRUE,G911=""),F911,0))</f>
        <v/>
      </c>
      <c r="K911" s="12">
        <f>IF(OR(D911="",G911=""),0,F911)</f>
        <v/>
      </c>
      <c r="L911" s="12">
        <f>IF(OR(D911="",G911=""),0,H911*F911)</f>
        <v/>
      </c>
    </row>
    <row r="912">
      <c r="A912" s="9" t="n"/>
      <c r="B912" s="9" t="n"/>
      <c r="C912" s="9" t="n"/>
      <c r="D912" s="9" t="n"/>
      <c r="E912" s="8" t="n"/>
      <c r="F912" s="10" t="n"/>
      <c r="G912" s="8" t="n"/>
      <c r="H912" s="11">
        <f>IF(D912="","",IF(G912="",Setup!$B$5,G912)-E912)</f>
        <v/>
      </c>
      <c r="I912" s="6">
        <f>IF(D912="","",AND(LOWER(B912)="y",H912&gt;Setup!$B$4))</f>
        <v/>
      </c>
      <c r="J912" s="12">
        <f>IF(D912="","",IF(AND(I912=TRUE,G912=""),F912,0))</f>
        <v/>
      </c>
      <c r="K912" s="12">
        <f>IF(OR(D912="",G912=""),0,F912)</f>
        <v/>
      </c>
      <c r="L912" s="12">
        <f>IF(OR(D912="",G912=""),0,H912*F912)</f>
        <v/>
      </c>
    </row>
    <row r="913">
      <c r="A913" s="9" t="n"/>
      <c r="B913" s="9" t="n"/>
      <c r="C913" s="9" t="n"/>
      <c r="D913" s="9" t="n"/>
      <c r="E913" s="8" t="n"/>
      <c r="F913" s="10" t="n"/>
      <c r="G913" s="8" t="n"/>
      <c r="H913" s="11">
        <f>IF(D913="","",IF(G913="",Setup!$B$5,G913)-E913)</f>
        <v/>
      </c>
      <c r="I913" s="6">
        <f>IF(D913="","",AND(LOWER(B913)="y",H913&gt;Setup!$B$4))</f>
        <v/>
      </c>
      <c r="J913" s="12">
        <f>IF(D913="","",IF(AND(I913=TRUE,G913=""),F913,0))</f>
        <v/>
      </c>
      <c r="K913" s="12">
        <f>IF(OR(D913="",G913=""),0,F913)</f>
        <v/>
      </c>
      <c r="L913" s="12">
        <f>IF(OR(D913="",G913=""),0,H913*F913)</f>
        <v/>
      </c>
    </row>
    <row r="914">
      <c r="A914" s="9" t="n"/>
      <c r="B914" s="9" t="n"/>
      <c r="C914" s="9" t="n"/>
      <c r="D914" s="9" t="n"/>
      <c r="E914" s="8" t="n"/>
      <c r="F914" s="10" t="n"/>
      <c r="G914" s="8" t="n"/>
      <c r="H914" s="11">
        <f>IF(D914="","",IF(G914="",Setup!$B$5,G914)-E914)</f>
        <v/>
      </c>
      <c r="I914" s="6">
        <f>IF(D914="","",AND(LOWER(B914)="y",H914&gt;Setup!$B$4))</f>
        <v/>
      </c>
      <c r="J914" s="12">
        <f>IF(D914="","",IF(AND(I914=TRUE,G914=""),F914,0))</f>
        <v/>
      </c>
      <c r="K914" s="12">
        <f>IF(OR(D914="",G914=""),0,F914)</f>
        <v/>
      </c>
      <c r="L914" s="12">
        <f>IF(OR(D914="",G914=""),0,H914*F914)</f>
        <v/>
      </c>
    </row>
    <row r="915">
      <c r="A915" s="9" t="n"/>
      <c r="B915" s="9" t="n"/>
      <c r="C915" s="9" t="n"/>
      <c r="D915" s="9" t="n"/>
      <c r="E915" s="8" t="n"/>
      <c r="F915" s="10" t="n"/>
      <c r="G915" s="8" t="n"/>
      <c r="H915" s="11">
        <f>IF(D915="","",IF(G915="",Setup!$B$5,G915)-E915)</f>
        <v/>
      </c>
      <c r="I915" s="6">
        <f>IF(D915="","",AND(LOWER(B915)="y",H915&gt;Setup!$B$4))</f>
        <v/>
      </c>
      <c r="J915" s="12">
        <f>IF(D915="","",IF(AND(I915=TRUE,G915=""),F915,0))</f>
        <v/>
      </c>
      <c r="K915" s="12">
        <f>IF(OR(D915="",G915=""),0,F915)</f>
        <v/>
      </c>
      <c r="L915" s="12">
        <f>IF(OR(D915="",G915=""),0,H915*F915)</f>
        <v/>
      </c>
    </row>
    <row r="916">
      <c r="A916" s="9" t="n"/>
      <c r="B916" s="9" t="n"/>
      <c r="C916" s="9" t="n"/>
      <c r="D916" s="9" t="n"/>
      <c r="E916" s="8" t="n"/>
      <c r="F916" s="10" t="n"/>
      <c r="G916" s="8" t="n"/>
      <c r="H916" s="11">
        <f>IF(D916="","",IF(G916="",Setup!$B$5,G916)-E916)</f>
        <v/>
      </c>
      <c r="I916" s="6">
        <f>IF(D916="","",AND(LOWER(B916)="y",H916&gt;Setup!$B$4))</f>
        <v/>
      </c>
      <c r="J916" s="12">
        <f>IF(D916="","",IF(AND(I916=TRUE,G916=""),F916,0))</f>
        <v/>
      </c>
      <c r="K916" s="12">
        <f>IF(OR(D916="",G916=""),0,F916)</f>
        <v/>
      </c>
      <c r="L916" s="12">
        <f>IF(OR(D916="",G916=""),0,H916*F916)</f>
        <v/>
      </c>
    </row>
    <row r="917">
      <c r="A917" s="9" t="n"/>
      <c r="B917" s="9" t="n"/>
      <c r="C917" s="9" t="n"/>
      <c r="D917" s="9" t="n"/>
      <c r="E917" s="8" t="n"/>
      <c r="F917" s="10" t="n"/>
      <c r="G917" s="8" t="n"/>
      <c r="H917" s="11">
        <f>IF(D917="","",IF(G917="",Setup!$B$5,G917)-E917)</f>
        <v/>
      </c>
      <c r="I917" s="6">
        <f>IF(D917="","",AND(LOWER(B917)="y",H917&gt;Setup!$B$4))</f>
        <v/>
      </c>
      <c r="J917" s="12">
        <f>IF(D917="","",IF(AND(I917=TRUE,G917=""),F917,0))</f>
        <v/>
      </c>
      <c r="K917" s="12">
        <f>IF(OR(D917="",G917=""),0,F917)</f>
        <v/>
      </c>
      <c r="L917" s="12">
        <f>IF(OR(D917="",G917=""),0,H917*F917)</f>
        <v/>
      </c>
    </row>
    <row r="918">
      <c r="A918" s="9" t="n"/>
      <c r="B918" s="9" t="n"/>
      <c r="C918" s="9" t="n"/>
      <c r="D918" s="9" t="n"/>
      <c r="E918" s="8" t="n"/>
      <c r="F918" s="10" t="n"/>
      <c r="G918" s="8" t="n"/>
      <c r="H918" s="11">
        <f>IF(D918="","",IF(G918="",Setup!$B$5,G918)-E918)</f>
        <v/>
      </c>
      <c r="I918" s="6">
        <f>IF(D918="","",AND(LOWER(B918)="y",H918&gt;Setup!$B$4))</f>
        <v/>
      </c>
      <c r="J918" s="12">
        <f>IF(D918="","",IF(AND(I918=TRUE,G918=""),F918,0))</f>
        <v/>
      </c>
      <c r="K918" s="12">
        <f>IF(OR(D918="",G918=""),0,F918)</f>
        <v/>
      </c>
      <c r="L918" s="12">
        <f>IF(OR(D918="",G918=""),0,H918*F918)</f>
        <v/>
      </c>
    </row>
    <row r="919">
      <c r="A919" s="9" t="n"/>
      <c r="B919" s="9" t="n"/>
      <c r="C919" s="9" t="n"/>
      <c r="D919" s="9" t="n"/>
      <c r="E919" s="8" t="n"/>
      <c r="F919" s="10" t="n"/>
      <c r="G919" s="8" t="n"/>
      <c r="H919" s="11">
        <f>IF(D919="","",IF(G919="",Setup!$B$5,G919)-E919)</f>
        <v/>
      </c>
      <c r="I919" s="6">
        <f>IF(D919="","",AND(LOWER(B919)="y",H919&gt;Setup!$B$4))</f>
        <v/>
      </c>
      <c r="J919" s="12">
        <f>IF(D919="","",IF(AND(I919=TRUE,G919=""),F919,0))</f>
        <v/>
      </c>
      <c r="K919" s="12">
        <f>IF(OR(D919="",G919=""),0,F919)</f>
        <v/>
      </c>
      <c r="L919" s="12">
        <f>IF(OR(D919="",G919=""),0,H919*F919)</f>
        <v/>
      </c>
    </row>
    <row r="920">
      <c r="A920" s="9" t="n"/>
      <c r="B920" s="9" t="n"/>
      <c r="C920" s="9" t="n"/>
      <c r="D920" s="9" t="n"/>
      <c r="E920" s="8" t="n"/>
      <c r="F920" s="10" t="n"/>
      <c r="G920" s="8" t="n"/>
      <c r="H920" s="11">
        <f>IF(D920="","",IF(G920="",Setup!$B$5,G920)-E920)</f>
        <v/>
      </c>
      <c r="I920" s="6">
        <f>IF(D920="","",AND(LOWER(B920)="y",H920&gt;Setup!$B$4))</f>
        <v/>
      </c>
      <c r="J920" s="12">
        <f>IF(D920="","",IF(AND(I920=TRUE,G920=""),F920,0))</f>
        <v/>
      </c>
      <c r="K920" s="12">
        <f>IF(OR(D920="",G920=""),0,F920)</f>
        <v/>
      </c>
      <c r="L920" s="12">
        <f>IF(OR(D920="",G920=""),0,H920*F920)</f>
        <v/>
      </c>
    </row>
    <row r="921">
      <c r="A921" s="9" t="n"/>
      <c r="B921" s="9" t="n"/>
      <c r="C921" s="9" t="n"/>
      <c r="D921" s="9" t="n"/>
      <c r="E921" s="8" t="n"/>
      <c r="F921" s="10" t="n"/>
      <c r="G921" s="8" t="n"/>
      <c r="H921" s="11">
        <f>IF(D921="","",IF(G921="",Setup!$B$5,G921)-E921)</f>
        <v/>
      </c>
      <c r="I921" s="6">
        <f>IF(D921="","",AND(LOWER(B921)="y",H921&gt;Setup!$B$4))</f>
        <v/>
      </c>
      <c r="J921" s="12">
        <f>IF(D921="","",IF(AND(I921=TRUE,G921=""),F921,0))</f>
        <v/>
      </c>
      <c r="K921" s="12">
        <f>IF(OR(D921="",G921=""),0,F921)</f>
        <v/>
      </c>
      <c r="L921" s="12">
        <f>IF(OR(D921="",G921=""),0,H921*F921)</f>
        <v/>
      </c>
    </row>
    <row r="922">
      <c r="A922" s="9" t="n"/>
      <c r="B922" s="9" t="n"/>
      <c r="C922" s="9" t="n"/>
      <c r="D922" s="9" t="n"/>
      <c r="E922" s="8" t="n"/>
      <c r="F922" s="10" t="n"/>
      <c r="G922" s="8" t="n"/>
      <c r="H922" s="11">
        <f>IF(D922="","",IF(G922="",Setup!$B$5,G922)-E922)</f>
        <v/>
      </c>
      <c r="I922" s="6">
        <f>IF(D922="","",AND(LOWER(B922)="y",H922&gt;Setup!$B$4))</f>
        <v/>
      </c>
      <c r="J922" s="12">
        <f>IF(D922="","",IF(AND(I922=TRUE,G922=""),F922,0))</f>
        <v/>
      </c>
      <c r="K922" s="12">
        <f>IF(OR(D922="",G922=""),0,F922)</f>
        <v/>
      </c>
      <c r="L922" s="12">
        <f>IF(OR(D922="",G922=""),0,H922*F922)</f>
        <v/>
      </c>
    </row>
    <row r="923">
      <c r="A923" s="9" t="n"/>
      <c r="B923" s="9" t="n"/>
      <c r="C923" s="9" t="n"/>
      <c r="D923" s="9" t="n"/>
      <c r="E923" s="8" t="n"/>
      <c r="F923" s="10" t="n"/>
      <c r="G923" s="8" t="n"/>
      <c r="H923" s="11">
        <f>IF(D923="","",IF(G923="",Setup!$B$5,G923)-E923)</f>
        <v/>
      </c>
      <c r="I923" s="6">
        <f>IF(D923="","",AND(LOWER(B923)="y",H923&gt;Setup!$B$4))</f>
        <v/>
      </c>
      <c r="J923" s="12">
        <f>IF(D923="","",IF(AND(I923=TRUE,G923=""),F923,0))</f>
        <v/>
      </c>
      <c r="K923" s="12">
        <f>IF(OR(D923="",G923=""),0,F923)</f>
        <v/>
      </c>
      <c r="L923" s="12">
        <f>IF(OR(D923="",G923=""),0,H923*F923)</f>
        <v/>
      </c>
    </row>
    <row r="924">
      <c r="A924" s="9" t="n"/>
      <c r="B924" s="9" t="n"/>
      <c r="C924" s="9" t="n"/>
      <c r="D924" s="9" t="n"/>
      <c r="E924" s="8" t="n"/>
      <c r="F924" s="10" t="n"/>
      <c r="G924" s="8" t="n"/>
      <c r="H924" s="11">
        <f>IF(D924="","",IF(G924="",Setup!$B$5,G924)-E924)</f>
        <v/>
      </c>
      <c r="I924" s="6">
        <f>IF(D924="","",AND(LOWER(B924)="y",H924&gt;Setup!$B$4))</f>
        <v/>
      </c>
      <c r="J924" s="12">
        <f>IF(D924="","",IF(AND(I924=TRUE,G924=""),F924,0))</f>
        <v/>
      </c>
      <c r="K924" s="12">
        <f>IF(OR(D924="",G924=""),0,F924)</f>
        <v/>
      </c>
      <c r="L924" s="12">
        <f>IF(OR(D924="",G924=""),0,H924*F924)</f>
        <v/>
      </c>
    </row>
    <row r="925">
      <c r="A925" s="9" t="n"/>
      <c r="B925" s="9" t="n"/>
      <c r="C925" s="9" t="n"/>
      <c r="D925" s="9" t="n"/>
      <c r="E925" s="8" t="n"/>
      <c r="F925" s="10" t="n"/>
      <c r="G925" s="8" t="n"/>
      <c r="H925" s="11">
        <f>IF(D925="","",IF(G925="",Setup!$B$5,G925)-E925)</f>
        <v/>
      </c>
      <c r="I925" s="6">
        <f>IF(D925="","",AND(LOWER(B925)="y",H925&gt;Setup!$B$4))</f>
        <v/>
      </c>
      <c r="J925" s="12">
        <f>IF(D925="","",IF(AND(I925=TRUE,G925=""),F925,0))</f>
        <v/>
      </c>
      <c r="K925" s="12">
        <f>IF(OR(D925="",G925=""),0,F925)</f>
        <v/>
      </c>
      <c r="L925" s="12">
        <f>IF(OR(D925="",G925=""),0,H925*F925)</f>
        <v/>
      </c>
    </row>
    <row r="926">
      <c r="A926" s="9" t="n"/>
      <c r="B926" s="9" t="n"/>
      <c r="C926" s="9" t="n"/>
      <c r="D926" s="9" t="n"/>
      <c r="E926" s="8" t="n"/>
      <c r="F926" s="10" t="n"/>
      <c r="G926" s="8" t="n"/>
      <c r="H926" s="11">
        <f>IF(D926="","",IF(G926="",Setup!$B$5,G926)-E926)</f>
        <v/>
      </c>
      <c r="I926" s="6">
        <f>IF(D926="","",AND(LOWER(B926)="y",H926&gt;Setup!$B$4))</f>
        <v/>
      </c>
      <c r="J926" s="12">
        <f>IF(D926="","",IF(AND(I926=TRUE,G926=""),F926,0))</f>
        <v/>
      </c>
      <c r="K926" s="12">
        <f>IF(OR(D926="",G926=""),0,F926)</f>
        <v/>
      </c>
      <c r="L926" s="12">
        <f>IF(OR(D926="",G926=""),0,H926*F926)</f>
        <v/>
      </c>
    </row>
    <row r="927">
      <c r="A927" s="9" t="n"/>
      <c r="B927" s="9" t="n"/>
      <c r="C927" s="9" t="n"/>
      <c r="D927" s="9" t="n"/>
      <c r="E927" s="8" t="n"/>
      <c r="F927" s="10" t="n"/>
      <c r="G927" s="8" t="n"/>
      <c r="H927" s="11">
        <f>IF(D927="","",IF(G927="",Setup!$B$5,G927)-E927)</f>
        <v/>
      </c>
      <c r="I927" s="6">
        <f>IF(D927="","",AND(LOWER(B927)="y",H927&gt;Setup!$B$4))</f>
        <v/>
      </c>
      <c r="J927" s="12">
        <f>IF(D927="","",IF(AND(I927=TRUE,G927=""),F927,0))</f>
        <v/>
      </c>
      <c r="K927" s="12">
        <f>IF(OR(D927="",G927=""),0,F927)</f>
        <v/>
      </c>
      <c r="L927" s="12">
        <f>IF(OR(D927="",G927=""),0,H927*F927)</f>
        <v/>
      </c>
    </row>
    <row r="928">
      <c r="A928" s="9" t="n"/>
      <c r="B928" s="9" t="n"/>
      <c r="C928" s="9" t="n"/>
      <c r="D928" s="9" t="n"/>
      <c r="E928" s="8" t="n"/>
      <c r="F928" s="10" t="n"/>
      <c r="G928" s="8" t="n"/>
      <c r="H928" s="11">
        <f>IF(D928="","",IF(G928="",Setup!$B$5,G928)-E928)</f>
        <v/>
      </c>
      <c r="I928" s="6">
        <f>IF(D928="","",AND(LOWER(B928)="y",H928&gt;Setup!$B$4))</f>
        <v/>
      </c>
      <c r="J928" s="12">
        <f>IF(D928="","",IF(AND(I928=TRUE,G928=""),F928,0))</f>
        <v/>
      </c>
      <c r="K928" s="12">
        <f>IF(OR(D928="",G928=""),0,F928)</f>
        <v/>
      </c>
      <c r="L928" s="12">
        <f>IF(OR(D928="",G928=""),0,H928*F928)</f>
        <v/>
      </c>
    </row>
    <row r="929">
      <c r="A929" s="9" t="n"/>
      <c r="B929" s="9" t="n"/>
      <c r="C929" s="9" t="n"/>
      <c r="D929" s="9" t="n"/>
      <c r="E929" s="8" t="n"/>
      <c r="F929" s="10" t="n"/>
      <c r="G929" s="8" t="n"/>
      <c r="H929" s="11">
        <f>IF(D929="","",IF(G929="",Setup!$B$5,G929)-E929)</f>
        <v/>
      </c>
      <c r="I929" s="6">
        <f>IF(D929="","",AND(LOWER(B929)="y",H929&gt;Setup!$B$4))</f>
        <v/>
      </c>
      <c r="J929" s="12">
        <f>IF(D929="","",IF(AND(I929=TRUE,G929=""),F929,0))</f>
        <v/>
      </c>
      <c r="K929" s="12">
        <f>IF(OR(D929="",G929=""),0,F929)</f>
        <v/>
      </c>
      <c r="L929" s="12">
        <f>IF(OR(D929="",G929=""),0,H929*F929)</f>
        <v/>
      </c>
    </row>
    <row r="930">
      <c r="A930" s="9" t="n"/>
      <c r="B930" s="9" t="n"/>
      <c r="C930" s="9" t="n"/>
      <c r="D930" s="9" t="n"/>
      <c r="E930" s="8" t="n"/>
      <c r="F930" s="10" t="n"/>
      <c r="G930" s="8" t="n"/>
      <c r="H930" s="11">
        <f>IF(D930="","",IF(G930="",Setup!$B$5,G930)-E930)</f>
        <v/>
      </c>
      <c r="I930" s="6">
        <f>IF(D930="","",AND(LOWER(B930)="y",H930&gt;Setup!$B$4))</f>
        <v/>
      </c>
      <c r="J930" s="12">
        <f>IF(D930="","",IF(AND(I930=TRUE,G930=""),F930,0))</f>
        <v/>
      </c>
      <c r="K930" s="12">
        <f>IF(OR(D930="",G930=""),0,F930)</f>
        <v/>
      </c>
      <c r="L930" s="12">
        <f>IF(OR(D930="",G930=""),0,H930*F930)</f>
        <v/>
      </c>
    </row>
    <row r="931">
      <c r="A931" s="9" t="n"/>
      <c r="B931" s="9" t="n"/>
      <c r="C931" s="9" t="n"/>
      <c r="D931" s="9" t="n"/>
      <c r="E931" s="8" t="n"/>
      <c r="F931" s="10" t="n"/>
      <c r="G931" s="8" t="n"/>
      <c r="H931" s="11">
        <f>IF(D931="","",IF(G931="",Setup!$B$5,G931)-E931)</f>
        <v/>
      </c>
      <c r="I931" s="6">
        <f>IF(D931="","",AND(LOWER(B931)="y",H931&gt;Setup!$B$4))</f>
        <v/>
      </c>
      <c r="J931" s="12">
        <f>IF(D931="","",IF(AND(I931=TRUE,G931=""),F931,0))</f>
        <v/>
      </c>
      <c r="K931" s="12">
        <f>IF(OR(D931="",G931=""),0,F931)</f>
        <v/>
      </c>
      <c r="L931" s="12">
        <f>IF(OR(D931="",G931=""),0,H931*F931)</f>
        <v/>
      </c>
    </row>
    <row r="932">
      <c r="A932" s="9" t="n"/>
      <c r="B932" s="9" t="n"/>
      <c r="C932" s="9" t="n"/>
      <c r="D932" s="9" t="n"/>
      <c r="E932" s="8" t="n"/>
      <c r="F932" s="10" t="n"/>
      <c r="G932" s="8" t="n"/>
      <c r="H932" s="11">
        <f>IF(D932="","",IF(G932="",Setup!$B$5,G932)-E932)</f>
        <v/>
      </c>
      <c r="I932" s="6">
        <f>IF(D932="","",AND(LOWER(B932)="y",H932&gt;Setup!$B$4))</f>
        <v/>
      </c>
      <c r="J932" s="12">
        <f>IF(D932="","",IF(AND(I932=TRUE,G932=""),F932,0))</f>
        <v/>
      </c>
      <c r="K932" s="12">
        <f>IF(OR(D932="",G932=""),0,F932)</f>
        <v/>
      </c>
      <c r="L932" s="12">
        <f>IF(OR(D932="",G932=""),0,H932*F932)</f>
        <v/>
      </c>
    </row>
    <row r="933">
      <c r="A933" s="9" t="n"/>
      <c r="B933" s="9" t="n"/>
      <c r="C933" s="9" t="n"/>
      <c r="D933" s="9" t="n"/>
      <c r="E933" s="8" t="n"/>
      <c r="F933" s="10" t="n"/>
      <c r="G933" s="8" t="n"/>
      <c r="H933" s="11">
        <f>IF(D933="","",IF(G933="",Setup!$B$5,G933)-E933)</f>
        <v/>
      </c>
      <c r="I933" s="6">
        <f>IF(D933="","",AND(LOWER(B933)="y",H933&gt;Setup!$B$4))</f>
        <v/>
      </c>
      <c r="J933" s="12">
        <f>IF(D933="","",IF(AND(I933=TRUE,G933=""),F933,0))</f>
        <v/>
      </c>
      <c r="K933" s="12">
        <f>IF(OR(D933="",G933=""),0,F933)</f>
        <v/>
      </c>
      <c r="L933" s="12">
        <f>IF(OR(D933="",G933=""),0,H933*F933)</f>
        <v/>
      </c>
    </row>
    <row r="934">
      <c r="A934" s="9" t="n"/>
      <c r="B934" s="9" t="n"/>
      <c r="C934" s="9" t="n"/>
      <c r="D934" s="9" t="n"/>
      <c r="E934" s="8" t="n"/>
      <c r="F934" s="10" t="n"/>
      <c r="G934" s="8" t="n"/>
      <c r="H934" s="11">
        <f>IF(D934="","",IF(G934="",Setup!$B$5,G934)-E934)</f>
        <v/>
      </c>
      <c r="I934" s="6">
        <f>IF(D934="","",AND(LOWER(B934)="y",H934&gt;Setup!$B$4))</f>
        <v/>
      </c>
      <c r="J934" s="12">
        <f>IF(D934="","",IF(AND(I934=TRUE,G934=""),F934,0))</f>
        <v/>
      </c>
      <c r="K934" s="12">
        <f>IF(OR(D934="",G934=""),0,F934)</f>
        <v/>
      </c>
      <c r="L934" s="12">
        <f>IF(OR(D934="",G934=""),0,H934*F934)</f>
        <v/>
      </c>
    </row>
    <row r="935">
      <c r="A935" s="9" t="n"/>
      <c r="B935" s="9" t="n"/>
      <c r="C935" s="9" t="n"/>
      <c r="D935" s="9" t="n"/>
      <c r="E935" s="8" t="n"/>
      <c r="F935" s="10" t="n"/>
      <c r="G935" s="8" t="n"/>
      <c r="H935" s="11">
        <f>IF(D935="","",IF(G935="",Setup!$B$5,G935)-E935)</f>
        <v/>
      </c>
      <c r="I935" s="6">
        <f>IF(D935="","",AND(LOWER(B935)="y",H935&gt;Setup!$B$4))</f>
        <v/>
      </c>
      <c r="J935" s="12">
        <f>IF(D935="","",IF(AND(I935=TRUE,G935=""),F935,0))</f>
        <v/>
      </c>
      <c r="K935" s="12">
        <f>IF(OR(D935="",G935=""),0,F935)</f>
        <v/>
      </c>
      <c r="L935" s="12">
        <f>IF(OR(D935="",G935=""),0,H935*F935)</f>
        <v/>
      </c>
    </row>
    <row r="936">
      <c r="A936" s="9" t="n"/>
      <c r="B936" s="9" t="n"/>
      <c r="C936" s="9" t="n"/>
      <c r="D936" s="9" t="n"/>
      <c r="E936" s="8" t="n"/>
      <c r="F936" s="10" t="n"/>
      <c r="G936" s="8" t="n"/>
      <c r="H936" s="11">
        <f>IF(D936="","",IF(G936="",Setup!$B$5,G936)-E936)</f>
        <v/>
      </c>
      <c r="I936" s="6">
        <f>IF(D936="","",AND(LOWER(B936)="y",H936&gt;Setup!$B$4))</f>
        <v/>
      </c>
      <c r="J936" s="12">
        <f>IF(D936="","",IF(AND(I936=TRUE,G936=""),F936,0))</f>
        <v/>
      </c>
      <c r="K936" s="12">
        <f>IF(OR(D936="",G936=""),0,F936)</f>
        <v/>
      </c>
      <c r="L936" s="12">
        <f>IF(OR(D936="",G936=""),0,H936*F936)</f>
        <v/>
      </c>
    </row>
    <row r="937">
      <c r="A937" s="9" t="n"/>
      <c r="B937" s="9" t="n"/>
      <c r="C937" s="9" t="n"/>
      <c r="D937" s="9" t="n"/>
      <c r="E937" s="8" t="n"/>
      <c r="F937" s="10" t="n"/>
      <c r="G937" s="8" t="n"/>
      <c r="H937" s="11">
        <f>IF(D937="","",IF(G937="",Setup!$B$5,G937)-E937)</f>
        <v/>
      </c>
      <c r="I937" s="6">
        <f>IF(D937="","",AND(LOWER(B937)="y",H937&gt;Setup!$B$4))</f>
        <v/>
      </c>
      <c r="J937" s="12">
        <f>IF(D937="","",IF(AND(I937=TRUE,G937=""),F937,0))</f>
        <v/>
      </c>
      <c r="K937" s="12">
        <f>IF(OR(D937="",G937=""),0,F937)</f>
        <v/>
      </c>
      <c r="L937" s="12">
        <f>IF(OR(D937="",G937=""),0,H937*F937)</f>
        <v/>
      </c>
    </row>
    <row r="938">
      <c r="A938" s="9" t="n"/>
      <c r="B938" s="9" t="n"/>
      <c r="C938" s="9" t="n"/>
      <c r="D938" s="9" t="n"/>
      <c r="E938" s="8" t="n"/>
      <c r="F938" s="10" t="n"/>
      <c r="G938" s="8" t="n"/>
      <c r="H938" s="11">
        <f>IF(D938="","",IF(G938="",Setup!$B$5,G938)-E938)</f>
        <v/>
      </c>
      <c r="I938" s="6">
        <f>IF(D938="","",AND(LOWER(B938)="y",H938&gt;Setup!$B$4))</f>
        <v/>
      </c>
      <c r="J938" s="12">
        <f>IF(D938="","",IF(AND(I938=TRUE,G938=""),F938,0))</f>
        <v/>
      </c>
      <c r="K938" s="12">
        <f>IF(OR(D938="",G938=""),0,F938)</f>
        <v/>
      </c>
      <c r="L938" s="12">
        <f>IF(OR(D938="",G938=""),0,H938*F938)</f>
        <v/>
      </c>
    </row>
    <row r="939">
      <c r="A939" s="9" t="n"/>
      <c r="B939" s="9" t="n"/>
      <c r="C939" s="9" t="n"/>
      <c r="D939" s="9" t="n"/>
      <c r="E939" s="8" t="n"/>
      <c r="F939" s="10" t="n"/>
      <c r="G939" s="8" t="n"/>
      <c r="H939" s="11">
        <f>IF(D939="","",IF(G939="",Setup!$B$5,G939)-E939)</f>
        <v/>
      </c>
      <c r="I939" s="6">
        <f>IF(D939="","",AND(LOWER(B939)="y",H939&gt;Setup!$B$4))</f>
        <v/>
      </c>
      <c r="J939" s="12">
        <f>IF(D939="","",IF(AND(I939=TRUE,G939=""),F939,0))</f>
        <v/>
      </c>
      <c r="K939" s="12">
        <f>IF(OR(D939="",G939=""),0,F939)</f>
        <v/>
      </c>
      <c r="L939" s="12">
        <f>IF(OR(D939="",G939=""),0,H939*F939)</f>
        <v/>
      </c>
    </row>
    <row r="940">
      <c r="A940" s="9" t="n"/>
      <c r="B940" s="9" t="n"/>
      <c r="C940" s="9" t="n"/>
      <c r="D940" s="9" t="n"/>
      <c r="E940" s="8" t="n"/>
      <c r="F940" s="10" t="n"/>
      <c r="G940" s="8" t="n"/>
      <c r="H940" s="11">
        <f>IF(D940="","",IF(G940="",Setup!$B$5,G940)-E940)</f>
        <v/>
      </c>
      <c r="I940" s="6">
        <f>IF(D940="","",AND(LOWER(B940)="y",H940&gt;Setup!$B$4))</f>
        <v/>
      </c>
      <c r="J940" s="12">
        <f>IF(D940="","",IF(AND(I940=TRUE,G940=""),F940,0))</f>
        <v/>
      </c>
      <c r="K940" s="12">
        <f>IF(OR(D940="",G940=""),0,F940)</f>
        <v/>
      </c>
      <c r="L940" s="12">
        <f>IF(OR(D940="",G940=""),0,H940*F940)</f>
        <v/>
      </c>
    </row>
    <row r="941">
      <c r="A941" s="9" t="n"/>
      <c r="B941" s="9" t="n"/>
      <c r="C941" s="9" t="n"/>
      <c r="D941" s="9" t="n"/>
      <c r="E941" s="8" t="n"/>
      <c r="F941" s="10" t="n"/>
      <c r="G941" s="8" t="n"/>
      <c r="H941" s="11">
        <f>IF(D941="","",IF(G941="",Setup!$B$5,G941)-E941)</f>
        <v/>
      </c>
      <c r="I941" s="6">
        <f>IF(D941="","",AND(LOWER(B941)="y",H941&gt;Setup!$B$4))</f>
        <v/>
      </c>
      <c r="J941" s="12">
        <f>IF(D941="","",IF(AND(I941=TRUE,G941=""),F941,0))</f>
        <v/>
      </c>
      <c r="K941" s="12">
        <f>IF(OR(D941="",G941=""),0,F941)</f>
        <v/>
      </c>
      <c r="L941" s="12">
        <f>IF(OR(D941="",G941=""),0,H941*F941)</f>
        <v/>
      </c>
    </row>
    <row r="942">
      <c r="A942" s="9" t="n"/>
      <c r="B942" s="9" t="n"/>
      <c r="C942" s="9" t="n"/>
      <c r="D942" s="9" t="n"/>
      <c r="E942" s="8" t="n"/>
      <c r="F942" s="10" t="n"/>
      <c r="G942" s="8" t="n"/>
      <c r="H942" s="11">
        <f>IF(D942="","",IF(G942="",Setup!$B$5,G942)-E942)</f>
        <v/>
      </c>
      <c r="I942" s="6">
        <f>IF(D942="","",AND(LOWER(B942)="y",H942&gt;Setup!$B$4))</f>
        <v/>
      </c>
      <c r="J942" s="12">
        <f>IF(D942="","",IF(AND(I942=TRUE,G942=""),F942,0))</f>
        <v/>
      </c>
      <c r="K942" s="12">
        <f>IF(OR(D942="",G942=""),0,F942)</f>
        <v/>
      </c>
      <c r="L942" s="12">
        <f>IF(OR(D942="",G942=""),0,H942*F942)</f>
        <v/>
      </c>
    </row>
    <row r="943">
      <c r="A943" s="9" t="n"/>
      <c r="B943" s="9" t="n"/>
      <c r="C943" s="9" t="n"/>
      <c r="D943" s="9" t="n"/>
      <c r="E943" s="8" t="n"/>
      <c r="F943" s="10" t="n"/>
      <c r="G943" s="8" t="n"/>
      <c r="H943" s="11">
        <f>IF(D943="","",IF(G943="",Setup!$B$5,G943)-E943)</f>
        <v/>
      </c>
      <c r="I943" s="6">
        <f>IF(D943="","",AND(LOWER(B943)="y",H943&gt;Setup!$B$4))</f>
        <v/>
      </c>
      <c r="J943" s="12">
        <f>IF(D943="","",IF(AND(I943=TRUE,G943=""),F943,0))</f>
        <v/>
      </c>
      <c r="K943" s="12">
        <f>IF(OR(D943="",G943=""),0,F943)</f>
        <v/>
      </c>
      <c r="L943" s="12">
        <f>IF(OR(D943="",G943=""),0,H943*F943)</f>
        <v/>
      </c>
    </row>
    <row r="944">
      <c r="A944" s="9" t="n"/>
      <c r="B944" s="9" t="n"/>
      <c r="C944" s="9" t="n"/>
      <c r="D944" s="9" t="n"/>
      <c r="E944" s="8" t="n"/>
      <c r="F944" s="10" t="n"/>
      <c r="G944" s="8" t="n"/>
      <c r="H944" s="11">
        <f>IF(D944="","",IF(G944="",Setup!$B$5,G944)-E944)</f>
        <v/>
      </c>
      <c r="I944" s="6">
        <f>IF(D944="","",AND(LOWER(B944)="y",H944&gt;Setup!$B$4))</f>
        <v/>
      </c>
      <c r="J944" s="12">
        <f>IF(D944="","",IF(AND(I944=TRUE,G944=""),F944,0))</f>
        <v/>
      </c>
      <c r="K944" s="12">
        <f>IF(OR(D944="",G944=""),0,F944)</f>
        <v/>
      </c>
      <c r="L944" s="12">
        <f>IF(OR(D944="",G944=""),0,H944*F944)</f>
        <v/>
      </c>
    </row>
    <row r="945">
      <c r="A945" s="9" t="n"/>
      <c r="B945" s="9" t="n"/>
      <c r="C945" s="9" t="n"/>
      <c r="D945" s="9" t="n"/>
      <c r="E945" s="8" t="n"/>
      <c r="F945" s="10" t="n"/>
      <c r="G945" s="8" t="n"/>
      <c r="H945" s="11">
        <f>IF(D945="","",IF(G945="",Setup!$B$5,G945)-E945)</f>
        <v/>
      </c>
      <c r="I945" s="6">
        <f>IF(D945="","",AND(LOWER(B945)="y",H945&gt;Setup!$B$4))</f>
        <v/>
      </c>
      <c r="J945" s="12">
        <f>IF(D945="","",IF(AND(I945=TRUE,G945=""),F945,0))</f>
        <v/>
      </c>
      <c r="K945" s="12">
        <f>IF(OR(D945="",G945=""),0,F945)</f>
        <v/>
      </c>
      <c r="L945" s="12">
        <f>IF(OR(D945="",G945=""),0,H945*F945)</f>
        <v/>
      </c>
    </row>
    <row r="946">
      <c r="A946" s="9" t="n"/>
      <c r="B946" s="9" t="n"/>
      <c r="C946" s="9" t="n"/>
      <c r="D946" s="9" t="n"/>
      <c r="E946" s="8" t="n"/>
      <c r="F946" s="10" t="n"/>
      <c r="G946" s="8" t="n"/>
      <c r="H946" s="11">
        <f>IF(D946="","",IF(G946="",Setup!$B$5,G946)-E946)</f>
        <v/>
      </c>
      <c r="I946" s="6">
        <f>IF(D946="","",AND(LOWER(B946)="y",H946&gt;Setup!$B$4))</f>
        <v/>
      </c>
      <c r="J946" s="12">
        <f>IF(D946="","",IF(AND(I946=TRUE,G946=""),F946,0))</f>
        <v/>
      </c>
      <c r="K946" s="12">
        <f>IF(OR(D946="",G946=""),0,F946)</f>
        <v/>
      </c>
      <c r="L946" s="12">
        <f>IF(OR(D946="",G946=""),0,H946*F946)</f>
        <v/>
      </c>
    </row>
    <row r="947">
      <c r="A947" s="9" t="n"/>
      <c r="B947" s="9" t="n"/>
      <c r="C947" s="9" t="n"/>
      <c r="D947" s="9" t="n"/>
      <c r="E947" s="8" t="n"/>
      <c r="F947" s="10" t="n"/>
      <c r="G947" s="8" t="n"/>
      <c r="H947" s="11">
        <f>IF(D947="","",IF(G947="",Setup!$B$5,G947)-E947)</f>
        <v/>
      </c>
      <c r="I947" s="6">
        <f>IF(D947="","",AND(LOWER(B947)="y",H947&gt;Setup!$B$4))</f>
        <v/>
      </c>
      <c r="J947" s="12">
        <f>IF(D947="","",IF(AND(I947=TRUE,G947=""),F947,0))</f>
        <v/>
      </c>
      <c r="K947" s="12">
        <f>IF(OR(D947="",G947=""),0,F947)</f>
        <v/>
      </c>
      <c r="L947" s="12">
        <f>IF(OR(D947="",G947=""),0,H947*F947)</f>
        <v/>
      </c>
    </row>
    <row r="948">
      <c r="A948" s="9" t="n"/>
      <c r="B948" s="9" t="n"/>
      <c r="C948" s="9" t="n"/>
      <c r="D948" s="9" t="n"/>
      <c r="E948" s="8" t="n"/>
      <c r="F948" s="10" t="n"/>
      <c r="G948" s="8" t="n"/>
      <c r="H948" s="11">
        <f>IF(D948="","",IF(G948="",Setup!$B$5,G948)-E948)</f>
        <v/>
      </c>
      <c r="I948" s="6">
        <f>IF(D948="","",AND(LOWER(B948)="y",H948&gt;Setup!$B$4))</f>
        <v/>
      </c>
      <c r="J948" s="12">
        <f>IF(D948="","",IF(AND(I948=TRUE,G948=""),F948,0))</f>
        <v/>
      </c>
      <c r="K948" s="12">
        <f>IF(OR(D948="",G948=""),0,F948)</f>
        <v/>
      </c>
      <c r="L948" s="12">
        <f>IF(OR(D948="",G948=""),0,H948*F948)</f>
        <v/>
      </c>
    </row>
    <row r="949">
      <c r="A949" s="9" t="n"/>
      <c r="B949" s="9" t="n"/>
      <c r="C949" s="9" t="n"/>
      <c r="D949" s="9" t="n"/>
      <c r="E949" s="8" t="n"/>
      <c r="F949" s="10" t="n"/>
      <c r="G949" s="8" t="n"/>
      <c r="H949" s="11">
        <f>IF(D949="","",IF(G949="",Setup!$B$5,G949)-E949)</f>
        <v/>
      </c>
      <c r="I949" s="6">
        <f>IF(D949="","",AND(LOWER(B949)="y",H949&gt;Setup!$B$4))</f>
        <v/>
      </c>
      <c r="J949" s="12">
        <f>IF(D949="","",IF(AND(I949=TRUE,G949=""),F949,0))</f>
        <v/>
      </c>
      <c r="K949" s="12">
        <f>IF(OR(D949="",G949=""),0,F949)</f>
        <v/>
      </c>
      <c r="L949" s="12">
        <f>IF(OR(D949="",G949=""),0,H949*F949)</f>
        <v/>
      </c>
    </row>
    <row r="950">
      <c r="A950" s="9" t="n"/>
      <c r="B950" s="9" t="n"/>
      <c r="C950" s="9" t="n"/>
      <c r="D950" s="9" t="n"/>
      <c r="E950" s="8" t="n"/>
      <c r="F950" s="10" t="n"/>
      <c r="G950" s="8" t="n"/>
      <c r="H950" s="11">
        <f>IF(D950="","",IF(G950="",Setup!$B$5,G950)-E950)</f>
        <v/>
      </c>
      <c r="I950" s="6">
        <f>IF(D950="","",AND(LOWER(B950)="y",H950&gt;Setup!$B$4))</f>
        <v/>
      </c>
      <c r="J950" s="12">
        <f>IF(D950="","",IF(AND(I950=TRUE,G950=""),F950,0))</f>
        <v/>
      </c>
      <c r="K950" s="12">
        <f>IF(OR(D950="",G950=""),0,F950)</f>
        <v/>
      </c>
      <c r="L950" s="12">
        <f>IF(OR(D950="",G950=""),0,H950*F950)</f>
        <v/>
      </c>
    </row>
    <row r="951">
      <c r="A951" s="9" t="n"/>
      <c r="B951" s="9" t="n"/>
      <c r="C951" s="9" t="n"/>
      <c r="D951" s="9" t="n"/>
      <c r="E951" s="8" t="n"/>
      <c r="F951" s="10" t="n"/>
      <c r="G951" s="8" t="n"/>
      <c r="H951" s="11">
        <f>IF(D951="","",IF(G951="",Setup!$B$5,G951)-E951)</f>
        <v/>
      </c>
      <c r="I951" s="6">
        <f>IF(D951="","",AND(LOWER(B951)="y",H951&gt;Setup!$B$4))</f>
        <v/>
      </c>
      <c r="J951" s="12">
        <f>IF(D951="","",IF(AND(I951=TRUE,G951=""),F951,0))</f>
        <v/>
      </c>
      <c r="K951" s="12">
        <f>IF(OR(D951="",G951=""),0,F951)</f>
        <v/>
      </c>
      <c r="L951" s="12">
        <f>IF(OR(D951="",G951=""),0,H951*F951)</f>
        <v/>
      </c>
    </row>
    <row r="952">
      <c r="A952" s="9" t="n"/>
      <c r="B952" s="9" t="n"/>
      <c r="C952" s="9" t="n"/>
      <c r="D952" s="9" t="n"/>
      <c r="E952" s="8" t="n"/>
      <c r="F952" s="10" t="n"/>
      <c r="G952" s="8" t="n"/>
      <c r="H952" s="11">
        <f>IF(D952="","",IF(G952="",Setup!$B$5,G952)-E952)</f>
        <v/>
      </c>
      <c r="I952" s="6">
        <f>IF(D952="","",AND(LOWER(B952)="y",H952&gt;Setup!$B$4))</f>
        <v/>
      </c>
      <c r="J952" s="12">
        <f>IF(D952="","",IF(AND(I952=TRUE,G952=""),F952,0))</f>
        <v/>
      </c>
      <c r="K952" s="12">
        <f>IF(OR(D952="",G952=""),0,F952)</f>
        <v/>
      </c>
      <c r="L952" s="12">
        <f>IF(OR(D952="",G952=""),0,H952*F952)</f>
        <v/>
      </c>
    </row>
    <row r="953">
      <c r="A953" s="9" t="n"/>
      <c r="B953" s="9" t="n"/>
      <c r="C953" s="9" t="n"/>
      <c r="D953" s="9" t="n"/>
      <c r="E953" s="8" t="n"/>
      <c r="F953" s="10" t="n"/>
      <c r="G953" s="8" t="n"/>
      <c r="H953" s="11">
        <f>IF(D953="","",IF(G953="",Setup!$B$5,G953)-E953)</f>
        <v/>
      </c>
      <c r="I953" s="6">
        <f>IF(D953="","",AND(LOWER(B953)="y",H953&gt;Setup!$B$4))</f>
        <v/>
      </c>
      <c r="J953" s="12">
        <f>IF(D953="","",IF(AND(I953=TRUE,G953=""),F953,0))</f>
        <v/>
      </c>
      <c r="K953" s="12">
        <f>IF(OR(D953="",G953=""),0,F953)</f>
        <v/>
      </c>
      <c r="L953" s="12">
        <f>IF(OR(D953="",G953=""),0,H953*F953)</f>
        <v/>
      </c>
    </row>
    <row r="954">
      <c r="A954" s="9" t="n"/>
      <c r="B954" s="9" t="n"/>
      <c r="C954" s="9" t="n"/>
      <c r="D954" s="9" t="n"/>
      <c r="E954" s="8" t="n"/>
      <c r="F954" s="10" t="n"/>
      <c r="G954" s="8" t="n"/>
      <c r="H954" s="11">
        <f>IF(D954="","",IF(G954="",Setup!$B$5,G954)-E954)</f>
        <v/>
      </c>
      <c r="I954" s="6">
        <f>IF(D954="","",AND(LOWER(B954)="y",H954&gt;Setup!$B$4))</f>
        <v/>
      </c>
      <c r="J954" s="12">
        <f>IF(D954="","",IF(AND(I954=TRUE,G954=""),F954,0))</f>
        <v/>
      </c>
      <c r="K954" s="12">
        <f>IF(OR(D954="",G954=""),0,F954)</f>
        <v/>
      </c>
      <c r="L954" s="12">
        <f>IF(OR(D954="",G954=""),0,H954*F954)</f>
        <v/>
      </c>
    </row>
    <row r="955">
      <c r="A955" s="9" t="n"/>
      <c r="B955" s="9" t="n"/>
      <c r="C955" s="9" t="n"/>
      <c r="D955" s="9" t="n"/>
      <c r="E955" s="8" t="n"/>
      <c r="F955" s="10" t="n"/>
      <c r="G955" s="8" t="n"/>
      <c r="H955" s="11">
        <f>IF(D955="","",IF(G955="",Setup!$B$5,G955)-E955)</f>
        <v/>
      </c>
      <c r="I955" s="6">
        <f>IF(D955="","",AND(LOWER(B955)="y",H955&gt;Setup!$B$4))</f>
        <v/>
      </c>
      <c r="J955" s="12">
        <f>IF(D955="","",IF(AND(I955=TRUE,G955=""),F955,0))</f>
        <v/>
      </c>
      <c r="K955" s="12">
        <f>IF(OR(D955="",G955=""),0,F955)</f>
        <v/>
      </c>
      <c r="L955" s="12">
        <f>IF(OR(D955="",G955=""),0,H955*F955)</f>
        <v/>
      </c>
    </row>
    <row r="956">
      <c r="A956" s="9" t="n"/>
      <c r="B956" s="9" t="n"/>
      <c r="C956" s="9" t="n"/>
      <c r="D956" s="9" t="n"/>
      <c r="E956" s="8" t="n"/>
      <c r="F956" s="10" t="n"/>
      <c r="G956" s="8" t="n"/>
      <c r="H956" s="11">
        <f>IF(D956="","",IF(G956="",Setup!$B$5,G956)-E956)</f>
        <v/>
      </c>
      <c r="I956" s="6">
        <f>IF(D956="","",AND(LOWER(B956)="y",H956&gt;Setup!$B$4))</f>
        <v/>
      </c>
      <c r="J956" s="12">
        <f>IF(D956="","",IF(AND(I956=TRUE,G956=""),F956,0))</f>
        <v/>
      </c>
      <c r="K956" s="12">
        <f>IF(OR(D956="",G956=""),0,F956)</f>
        <v/>
      </c>
      <c r="L956" s="12">
        <f>IF(OR(D956="",G956=""),0,H956*F956)</f>
        <v/>
      </c>
    </row>
    <row r="957">
      <c r="A957" s="9" t="n"/>
      <c r="B957" s="9" t="n"/>
      <c r="C957" s="9" t="n"/>
      <c r="D957" s="9" t="n"/>
      <c r="E957" s="8" t="n"/>
      <c r="F957" s="10" t="n"/>
      <c r="G957" s="8" t="n"/>
      <c r="H957" s="11">
        <f>IF(D957="","",IF(G957="",Setup!$B$5,G957)-E957)</f>
        <v/>
      </c>
      <c r="I957" s="6">
        <f>IF(D957="","",AND(LOWER(B957)="y",H957&gt;Setup!$B$4))</f>
        <v/>
      </c>
      <c r="J957" s="12">
        <f>IF(D957="","",IF(AND(I957=TRUE,G957=""),F957,0))</f>
        <v/>
      </c>
      <c r="K957" s="12">
        <f>IF(OR(D957="",G957=""),0,F957)</f>
        <v/>
      </c>
      <c r="L957" s="12">
        <f>IF(OR(D957="",G957=""),0,H957*F957)</f>
        <v/>
      </c>
    </row>
    <row r="958">
      <c r="A958" s="9" t="n"/>
      <c r="B958" s="9" t="n"/>
      <c r="C958" s="9" t="n"/>
      <c r="D958" s="9" t="n"/>
      <c r="E958" s="8" t="n"/>
      <c r="F958" s="10" t="n"/>
      <c r="G958" s="8" t="n"/>
      <c r="H958" s="11">
        <f>IF(D958="","",IF(G958="",Setup!$B$5,G958)-E958)</f>
        <v/>
      </c>
      <c r="I958" s="6">
        <f>IF(D958="","",AND(LOWER(B958)="y",H958&gt;Setup!$B$4))</f>
        <v/>
      </c>
      <c r="J958" s="12">
        <f>IF(D958="","",IF(AND(I958=TRUE,G958=""),F958,0))</f>
        <v/>
      </c>
      <c r="K958" s="12">
        <f>IF(OR(D958="",G958=""),0,F958)</f>
        <v/>
      </c>
      <c r="L958" s="12">
        <f>IF(OR(D958="",G958=""),0,H958*F958)</f>
        <v/>
      </c>
    </row>
    <row r="959">
      <c r="A959" s="9" t="n"/>
      <c r="B959" s="9" t="n"/>
      <c r="C959" s="9" t="n"/>
      <c r="D959" s="9" t="n"/>
      <c r="E959" s="8" t="n"/>
      <c r="F959" s="10" t="n"/>
      <c r="G959" s="8" t="n"/>
      <c r="H959" s="11">
        <f>IF(D959="","",IF(G959="",Setup!$B$5,G959)-E959)</f>
        <v/>
      </c>
      <c r="I959" s="6">
        <f>IF(D959="","",AND(LOWER(B959)="y",H959&gt;Setup!$B$4))</f>
        <v/>
      </c>
      <c r="J959" s="12">
        <f>IF(D959="","",IF(AND(I959=TRUE,G959=""),F959,0))</f>
        <v/>
      </c>
      <c r="K959" s="12">
        <f>IF(OR(D959="",G959=""),0,F959)</f>
        <v/>
      </c>
      <c r="L959" s="12">
        <f>IF(OR(D959="",G959=""),0,H959*F959)</f>
        <v/>
      </c>
    </row>
    <row r="960">
      <c r="A960" s="9" t="n"/>
      <c r="B960" s="9" t="n"/>
      <c r="C960" s="9" t="n"/>
      <c r="D960" s="9" t="n"/>
      <c r="E960" s="8" t="n"/>
      <c r="F960" s="10" t="n"/>
      <c r="G960" s="8" t="n"/>
      <c r="H960" s="11">
        <f>IF(D960="","",IF(G960="",Setup!$B$5,G960)-E960)</f>
        <v/>
      </c>
      <c r="I960" s="6">
        <f>IF(D960="","",AND(LOWER(B960)="y",H960&gt;Setup!$B$4))</f>
        <v/>
      </c>
      <c r="J960" s="12">
        <f>IF(D960="","",IF(AND(I960=TRUE,G960=""),F960,0))</f>
        <v/>
      </c>
      <c r="K960" s="12">
        <f>IF(OR(D960="",G960=""),0,F960)</f>
        <v/>
      </c>
      <c r="L960" s="12">
        <f>IF(OR(D960="",G960=""),0,H960*F960)</f>
        <v/>
      </c>
    </row>
    <row r="961">
      <c r="A961" s="9" t="n"/>
      <c r="B961" s="9" t="n"/>
      <c r="C961" s="9" t="n"/>
      <c r="D961" s="9" t="n"/>
      <c r="E961" s="8" t="n"/>
      <c r="F961" s="10" t="n"/>
      <c r="G961" s="8" t="n"/>
      <c r="H961" s="11">
        <f>IF(D961="","",IF(G961="",Setup!$B$5,G961)-E961)</f>
        <v/>
      </c>
      <c r="I961" s="6">
        <f>IF(D961="","",AND(LOWER(B961)="y",H961&gt;Setup!$B$4))</f>
        <v/>
      </c>
      <c r="J961" s="12">
        <f>IF(D961="","",IF(AND(I961=TRUE,G961=""),F961,0))</f>
        <v/>
      </c>
      <c r="K961" s="12">
        <f>IF(OR(D961="",G961=""),0,F961)</f>
        <v/>
      </c>
      <c r="L961" s="12">
        <f>IF(OR(D961="",G961=""),0,H961*F961)</f>
        <v/>
      </c>
    </row>
    <row r="962">
      <c r="A962" s="9" t="n"/>
      <c r="B962" s="9" t="n"/>
      <c r="C962" s="9" t="n"/>
      <c r="D962" s="9" t="n"/>
      <c r="E962" s="8" t="n"/>
      <c r="F962" s="10" t="n"/>
      <c r="G962" s="8" t="n"/>
      <c r="H962" s="11">
        <f>IF(D962="","",IF(G962="",Setup!$B$5,G962)-E962)</f>
        <v/>
      </c>
      <c r="I962" s="6">
        <f>IF(D962="","",AND(LOWER(B962)="y",H962&gt;Setup!$B$4))</f>
        <v/>
      </c>
      <c r="J962" s="12">
        <f>IF(D962="","",IF(AND(I962=TRUE,G962=""),F962,0))</f>
        <v/>
      </c>
      <c r="K962" s="12">
        <f>IF(OR(D962="",G962=""),0,F962)</f>
        <v/>
      </c>
      <c r="L962" s="12">
        <f>IF(OR(D962="",G962=""),0,H962*F962)</f>
        <v/>
      </c>
    </row>
    <row r="963">
      <c r="A963" s="9" t="n"/>
      <c r="B963" s="9" t="n"/>
      <c r="C963" s="9" t="n"/>
      <c r="D963" s="9" t="n"/>
      <c r="E963" s="8" t="n"/>
      <c r="F963" s="10" t="n"/>
      <c r="G963" s="8" t="n"/>
      <c r="H963" s="11">
        <f>IF(D963="","",IF(G963="",Setup!$B$5,G963)-E963)</f>
        <v/>
      </c>
      <c r="I963" s="6">
        <f>IF(D963="","",AND(LOWER(B963)="y",H963&gt;Setup!$B$4))</f>
        <v/>
      </c>
      <c r="J963" s="12">
        <f>IF(D963="","",IF(AND(I963=TRUE,G963=""),F963,0))</f>
        <v/>
      </c>
      <c r="K963" s="12">
        <f>IF(OR(D963="",G963=""),0,F963)</f>
        <v/>
      </c>
      <c r="L963" s="12">
        <f>IF(OR(D963="",G963=""),0,H963*F963)</f>
        <v/>
      </c>
    </row>
    <row r="964">
      <c r="A964" s="9" t="n"/>
      <c r="B964" s="9" t="n"/>
      <c r="C964" s="9" t="n"/>
      <c r="D964" s="9" t="n"/>
      <c r="E964" s="8" t="n"/>
      <c r="F964" s="10" t="n"/>
      <c r="G964" s="8" t="n"/>
      <c r="H964" s="11">
        <f>IF(D964="","",IF(G964="",Setup!$B$5,G964)-E964)</f>
        <v/>
      </c>
      <c r="I964" s="6">
        <f>IF(D964="","",AND(LOWER(B964)="y",H964&gt;Setup!$B$4))</f>
        <v/>
      </c>
      <c r="J964" s="12">
        <f>IF(D964="","",IF(AND(I964=TRUE,G964=""),F964,0))</f>
        <v/>
      </c>
      <c r="K964" s="12">
        <f>IF(OR(D964="",G964=""),0,F964)</f>
        <v/>
      </c>
      <c r="L964" s="12">
        <f>IF(OR(D964="",G964=""),0,H964*F964)</f>
        <v/>
      </c>
    </row>
    <row r="965">
      <c r="A965" s="9" t="n"/>
      <c r="B965" s="9" t="n"/>
      <c r="C965" s="9" t="n"/>
      <c r="D965" s="9" t="n"/>
      <c r="E965" s="8" t="n"/>
      <c r="F965" s="10" t="n"/>
      <c r="G965" s="8" t="n"/>
      <c r="H965" s="11">
        <f>IF(D965="","",IF(G965="",Setup!$B$5,G965)-E965)</f>
        <v/>
      </c>
      <c r="I965" s="6">
        <f>IF(D965="","",AND(LOWER(B965)="y",H965&gt;Setup!$B$4))</f>
        <v/>
      </c>
      <c r="J965" s="12">
        <f>IF(D965="","",IF(AND(I965=TRUE,G965=""),F965,0))</f>
        <v/>
      </c>
      <c r="K965" s="12">
        <f>IF(OR(D965="",G965=""),0,F965)</f>
        <v/>
      </c>
      <c r="L965" s="12">
        <f>IF(OR(D965="",G965=""),0,H965*F965)</f>
        <v/>
      </c>
    </row>
    <row r="966">
      <c r="A966" s="9" t="n"/>
      <c r="B966" s="9" t="n"/>
      <c r="C966" s="9" t="n"/>
      <c r="D966" s="9" t="n"/>
      <c r="E966" s="8" t="n"/>
      <c r="F966" s="10" t="n"/>
      <c r="G966" s="8" t="n"/>
      <c r="H966" s="11">
        <f>IF(D966="","",IF(G966="",Setup!$B$5,G966)-E966)</f>
        <v/>
      </c>
      <c r="I966" s="6">
        <f>IF(D966="","",AND(LOWER(B966)="y",H966&gt;Setup!$B$4))</f>
        <v/>
      </c>
      <c r="J966" s="12">
        <f>IF(D966="","",IF(AND(I966=TRUE,G966=""),F966,0))</f>
        <v/>
      </c>
      <c r="K966" s="12">
        <f>IF(OR(D966="",G966=""),0,F966)</f>
        <v/>
      </c>
      <c r="L966" s="12">
        <f>IF(OR(D966="",G966=""),0,H966*F966)</f>
        <v/>
      </c>
    </row>
    <row r="967">
      <c r="A967" s="9" t="n"/>
      <c r="B967" s="9" t="n"/>
      <c r="C967" s="9" t="n"/>
      <c r="D967" s="9" t="n"/>
      <c r="E967" s="8" t="n"/>
      <c r="F967" s="10" t="n"/>
      <c r="G967" s="8" t="n"/>
      <c r="H967" s="11">
        <f>IF(D967="","",IF(G967="",Setup!$B$5,G967)-E967)</f>
        <v/>
      </c>
      <c r="I967" s="6">
        <f>IF(D967="","",AND(LOWER(B967)="y",H967&gt;Setup!$B$4))</f>
        <v/>
      </c>
      <c r="J967" s="12">
        <f>IF(D967="","",IF(AND(I967=TRUE,G967=""),F967,0))</f>
        <v/>
      </c>
      <c r="K967" s="12">
        <f>IF(OR(D967="",G967=""),0,F967)</f>
        <v/>
      </c>
      <c r="L967" s="12">
        <f>IF(OR(D967="",G967=""),0,H967*F967)</f>
        <v/>
      </c>
    </row>
    <row r="968">
      <c r="A968" s="9" t="n"/>
      <c r="B968" s="9" t="n"/>
      <c r="C968" s="9" t="n"/>
      <c r="D968" s="9" t="n"/>
      <c r="E968" s="8" t="n"/>
      <c r="F968" s="10" t="n"/>
      <c r="G968" s="8" t="n"/>
      <c r="H968" s="11">
        <f>IF(D968="","",IF(G968="",Setup!$B$5,G968)-E968)</f>
        <v/>
      </c>
      <c r="I968" s="6">
        <f>IF(D968="","",AND(LOWER(B968)="y",H968&gt;Setup!$B$4))</f>
        <v/>
      </c>
      <c r="J968" s="12">
        <f>IF(D968="","",IF(AND(I968=TRUE,G968=""),F968,0))</f>
        <v/>
      </c>
      <c r="K968" s="12">
        <f>IF(OR(D968="",G968=""),0,F968)</f>
        <v/>
      </c>
      <c r="L968" s="12">
        <f>IF(OR(D968="",G968=""),0,H968*F968)</f>
        <v/>
      </c>
    </row>
    <row r="969">
      <c r="A969" s="9" t="n"/>
      <c r="B969" s="9" t="n"/>
      <c r="C969" s="9" t="n"/>
      <c r="D969" s="9" t="n"/>
      <c r="E969" s="8" t="n"/>
      <c r="F969" s="10" t="n"/>
      <c r="G969" s="8" t="n"/>
      <c r="H969" s="11">
        <f>IF(D969="","",IF(G969="",Setup!$B$5,G969)-E969)</f>
        <v/>
      </c>
      <c r="I969" s="6">
        <f>IF(D969="","",AND(LOWER(B969)="y",H969&gt;Setup!$B$4))</f>
        <v/>
      </c>
      <c r="J969" s="12">
        <f>IF(D969="","",IF(AND(I969=TRUE,G969=""),F969,0))</f>
        <v/>
      </c>
      <c r="K969" s="12">
        <f>IF(OR(D969="",G969=""),0,F969)</f>
        <v/>
      </c>
      <c r="L969" s="12">
        <f>IF(OR(D969="",G969=""),0,H969*F969)</f>
        <v/>
      </c>
    </row>
    <row r="970">
      <c r="A970" s="9" t="n"/>
      <c r="B970" s="9" t="n"/>
      <c r="C970" s="9" t="n"/>
      <c r="D970" s="9" t="n"/>
      <c r="E970" s="8" t="n"/>
      <c r="F970" s="10" t="n"/>
      <c r="G970" s="8" t="n"/>
      <c r="H970" s="11">
        <f>IF(D970="","",IF(G970="",Setup!$B$5,G970)-E970)</f>
        <v/>
      </c>
      <c r="I970" s="6">
        <f>IF(D970="","",AND(LOWER(B970)="y",H970&gt;Setup!$B$4))</f>
        <v/>
      </c>
      <c r="J970" s="12">
        <f>IF(D970="","",IF(AND(I970=TRUE,G970=""),F970,0))</f>
        <v/>
      </c>
      <c r="K970" s="12">
        <f>IF(OR(D970="",G970=""),0,F970)</f>
        <v/>
      </c>
      <c r="L970" s="12">
        <f>IF(OR(D970="",G970=""),0,H970*F970)</f>
        <v/>
      </c>
    </row>
    <row r="971">
      <c r="A971" s="9" t="n"/>
      <c r="B971" s="9" t="n"/>
      <c r="C971" s="9" t="n"/>
      <c r="D971" s="9" t="n"/>
      <c r="E971" s="8" t="n"/>
      <c r="F971" s="10" t="n"/>
      <c r="G971" s="8" t="n"/>
      <c r="H971" s="11">
        <f>IF(D971="","",IF(G971="",Setup!$B$5,G971)-E971)</f>
        <v/>
      </c>
      <c r="I971" s="6">
        <f>IF(D971="","",AND(LOWER(B971)="y",H971&gt;Setup!$B$4))</f>
        <v/>
      </c>
      <c r="J971" s="12">
        <f>IF(D971="","",IF(AND(I971=TRUE,G971=""),F971,0))</f>
        <v/>
      </c>
      <c r="K971" s="12">
        <f>IF(OR(D971="",G971=""),0,F971)</f>
        <v/>
      </c>
      <c r="L971" s="12">
        <f>IF(OR(D971="",G971=""),0,H971*F971)</f>
        <v/>
      </c>
    </row>
    <row r="972">
      <c r="A972" s="9" t="n"/>
      <c r="B972" s="9" t="n"/>
      <c r="C972" s="9" t="n"/>
      <c r="D972" s="9" t="n"/>
      <c r="E972" s="8" t="n"/>
      <c r="F972" s="10" t="n"/>
      <c r="G972" s="8" t="n"/>
      <c r="H972" s="11">
        <f>IF(D972="","",IF(G972="",Setup!$B$5,G972)-E972)</f>
        <v/>
      </c>
      <c r="I972" s="6">
        <f>IF(D972="","",AND(LOWER(B972)="y",H972&gt;Setup!$B$4))</f>
        <v/>
      </c>
      <c r="J972" s="12">
        <f>IF(D972="","",IF(AND(I972=TRUE,G972=""),F972,0))</f>
        <v/>
      </c>
      <c r="K972" s="12">
        <f>IF(OR(D972="",G972=""),0,F972)</f>
        <v/>
      </c>
      <c r="L972" s="12">
        <f>IF(OR(D972="",G972=""),0,H972*F972)</f>
        <v/>
      </c>
    </row>
    <row r="973">
      <c r="A973" s="9" t="n"/>
      <c r="B973" s="9" t="n"/>
      <c r="C973" s="9" t="n"/>
      <c r="D973" s="9" t="n"/>
      <c r="E973" s="8" t="n"/>
      <c r="F973" s="10" t="n"/>
      <c r="G973" s="8" t="n"/>
      <c r="H973" s="11">
        <f>IF(D973="","",IF(G973="",Setup!$B$5,G973)-E973)</f>
        <v/>
      </c>
      <c r="I973" s="6">
        <f>IF(D973="","",AND(LOWER(B973)="y",H973&gt;Setup!$B$4))</f>
        <v/>
      </c>
      <c r="J973" s="12">
        <f>IF(D973="","",IF(AND(I973=TRUE,G973=""),F973,0))</f>
        <v/>
      </c>
      <c r="K973" s="12">
        <f>IF(OR(D973="",G973=""),0,F973)</f>
        <v/>
      </c>
      <c r="L973" s="12">
        <f>IF(OR(D973="",G973=""),0,H973*F973)</f>
        <v/>
      </c>
    </row>
    <row r="974">
      <c r="A974" s="9" t="n"/>
      <c r="B974" s="9" t="n"/>
      <c r="C974" s="9" t="n"/>
      <c r="D974" s="9" t="n"/>
      <c r="E974" s="8" t="n"/>
      <c r="F974" s="10" t="n"/>
      <c r="G974" s="8" t="n"/>
      <c r="H974" s="11">
        <f>IF(D974="","",IF(G974="",Setup!$B$5,G974)-E974)</f>
        <v/>
      </c>
      <c r="I974" s="6">
        <f>IF(D974="","",AND(LOWER(B974)="y",H974&gt;Setup!$B$4))</f>
        <v/>
      </c>
      <c r="J974" s="12">
        <f>IF(D974="","",IF(AND(I974=TRUE,G974=""),F974,0))</f>
        <v/>
      </c>
      <c r="K974" s="12">
        <f>IF(OR(D974="",G974=""),0,F974)</f>
        <v/>
      </c>
      <c r="L974" s="12">
        <f>IF(OR(D974="",G974=""),0,H974*F974)</f>
        <v/>
      </c>
    </row>
    <row r="975">
      <c r="A975" s="9" t="n"/>
      <c r="B975" s="9" t="n"/>
      <c r="C975" s="9" t="n"/>
      <c r="D975" s="9" t="n"/>
      <c r="E975" s="8" t="n"/>
      <c r="F975" s="10" t="n"/>
      <c r="G975" s="8" t="n"/>
      <c r="H975" s="11">
        <f>IF(D975="","",IF(G975="",Setup!$B$5,G975)-E975)</f>
        <v/>
      </c>
      <c r="I975" s="6">
        <f>IF(D975="","",AND(LOWER(B975)="y",H975&gt;Setup!$B$4))</f>
        <v/>
      </c>
      <c r="J975" s="12">
        <f>IF(D975="","",IF(AND(I975=TRUE,G975=""),F975,0))</f>
        <v/>
      </c>
      <c r="K975" s="12">
        <f>IF(OR(D975="",G975=""),0,F975)</f>
        <v/>
      </c>
      <c r="L975" s="12">
        <f>IF(OR(D975="",G975=""),0,H975*F975)</f>
        <v/>
      </c>
    </row>
    <row r="976">
      <c r="A976" s="9" t="n"/>
      <c r="B976" s="9" t="n"/>
      <c r="C976" s="9" t="n"/>
      <c r="D976" s="9" t="n"/>
      <c r="E976" s="8" t="n"/>
      <c r="F976" s="10" t="n"/>
      <c r="G976" s="8" t="n"/>
      <c r="H976" s="11">
        <f>IF(D976="","",IF(G976="",Setup!$B$5,G976)-E976)</f>
        <v/>
      </c>
      <c r="I976" s="6">
        <f>IF(D976="","",AND(LOWER(B976)="y",H976&gt;Setup!$B$4))</f>
        <v/>
      </c>
      <c r="J976" s="12">
        <f>IF(D976="","",IF(AND(I976=TRUE,G976=""),F976,0))</f>
        <v/>
      </c>
      <c r="K976" s="12">
        <f>IF(OR(D976="",G976=""),0,F976)</f>
        <v/>
      </c>
      <c r="L976" s="12">
        <f>IF(OR(D976="",G976=""),0,H976*F976)</f>
        <v/>
      </c>
    </row>
    <row r="977">
      <c r="A977" s="9" t="n"/>
      <c r="B977" s="9" t="n"/>
      <c r="C977" s="9" t="n"/>
      <c r="D977" s="9" t="n"/>
      <c r="E977" s="8" t="n"/>
      <c r="F977" s="10" t="n"/>
      <c r="G977" s="8" t="n"/>
      <c r="H977" s="11">
        <f>IF(D977="","",IF(G977="",Setup!$B$5,G977)-E977)</f>
        <v/>
      </c>
      <c r="I977" s="6">
        <f>IF(D977="","",AND(LOWER(B977)="y",H977&gt;Setup!$B$4))</f>
        <v/>
      </c>
      <c r="J977" s="12">
        <f>IF(D977="","",IF(AND(I977=TRUE,G977=""),F977,0))</f>
        <v/>
      </c>
      <c r="K977" s="12">
        <f>IF(OR(D977="",G977=""),0,F977)</f>
        <v/>
      </c>
      <c r="L977" s="12">
        <f>IF(OR(D977="",G977=""),0,H977*F977)</f>
        <v/>
      </c>
    </row>
    <row r="978">
      <c r="A978" s="9" t="n"/>
      <c r="B978" s="9" t="n"/>
      <c r="C978" s="9" t="n"/>
      <c r="D978" s="9" t="n"/>
      <c r="E978" s="8" t="n"/>
      <c r="F978" s="10" t="n"/>
      <c r="G978" s="8" t="n"/>
      <c r="H978" s="11">
        <f>IF(D978="","",IF(G978="",Setup!$B$5,G978)-E978)</f>
        <v/>
      </c>
      <c r="I978" s="6">
        <f>IF(D978="","",AND(LOWER(B978)="y",H978&gt;Setup!$B$4))</f>
        <v/>
      </c>
      <c r="J978" s="12">
        <f>IF(D978="","",IF(AND(I978=TRUE,G978=""),F978,0))</f>
        <v/>
      </c>
      <c r="K978" s="12">
        <f>IF(OR(D978="",G978=""),0,F978)</f>
        <v/>
      </c>
      <c r="L978" s="12">
        <f>IF(OR(D978="",G978=""),0,H978*F978)</f>
        <v/>
      </c>
    </row>
    <row r="979">
      <c r="A979" s="9" t="n"/>
      <c r="B979" s="9" t="n"/>
      <c r="C979" s="9" t="n"/>
      <c r="D979" s="9" t="n"/>
      <c r="E979" s="8" t="n"/>
      <c r="F979" s="10" t="n"/>
      <c r="G979" s="8" t="n"/>
      <c r="H979" s="11">
        <f>IF(D979="","",IF(G979="",Setup!$B$5,G979)-E979)</f>
        <v/>
      </c>
      <c r="I979" s="6">
        <f>IF(D979="","",AND(LOWER(B979)="y",H979&gt;Setup!$B$4))</f>
        <v/>
      </c>
      <c r="J979" s="12">
        <f>IF(D979="","",IF(AND(I979=TRUE,G979=""),F979,0))</f>
        <v/>
      </c>
      <c r="K979" s="12">
        <f>IF(OR(D979="",G979=""),0,F979)</f>
        <v/>
      </c>
      <c r="L979" s="12">
        <f>IF(OR(D979="",G979=""),0,H979*F979)</f>
        <v/>
      </c>
    </row>
    <row r="980">
      <c r="A980" s="9" t="n"/>
      <c r="B980" s="9" t="n"/>
      <c r="C980" s="9" t="n"/>
      <c r="D980" s="9" t="n"/>
      <c r="E980" s="8" t="n"/>
      <c r="F980" s="10" t="n"/>
      <c r="G980" s="8" t="n"/>
      <c r="H980" s="11">
        <f>IF(D980="","",IF(G980="",Setup!$B$5,G980)-E980)</f>
        <v/>
      </c>
      <c r="I980" s="6">
        <f>IF(D980="","",AND(LOWER(B980)="y",H980&gt;Setup!$B$4))</f>
        <v/>
      </c>
      <c r="J980" s="12">
        <f>IF(D980="","",IF(AND(I980=TRUE,G980=""),F980,0))</f>
        <v/>
      </c>
      <c r="K980" s="12">
        <f>IF(OR(D980="",G980=""),0,F980)</f>
        <v/>
      </c>
      <c r="L980" s="12">
        <f>IF(OR(D980="",G980=""),0,H980*F980)</f>
        <v/>
      </c>
    </row>
    <row r="981">
      <c r="A981" s="9" t="n"/>
      <c r="B981" s="9" t="n"/>
      <c r="C981" s="9" t="n"/>
      <c r="D981" s="9" t="n"/>
      <c r="E981" s="8" t="n"/>
      <c r="F981" s="10" t="n"/>
      <c r="G981" s="8" t="n"/>
      <c r="H981" s="11">
        <f>IF(D981="","",IF(G981="",Setup!$B$5,G981)-E981)</f>
        <v/>
      </c>
      <c r="I981" s="6">
        <f>IF(D981="","",AND(LOWER(B981)="y",H981&gt;Setup!$B$4))</f>
        <v/>
      </c>
      <c r="J981" s="12">
        <f>IF(D981="","",IF(AND(I981=TRUE,G981=""),F981,0))</f>
        <v/>
      </c>
      <c r="K981" s="12">
        <f>IF(OR(D981="",G981=""),0,F981)</f>
        <v/>
      </c>
      <c r="L981" s="12">
        <f>IF(OR(D981="",G981=""),0,H981*F981)</f>
        <v/>
      </c>
    </row>
    <row r="982">
      <c r="A982" s="9" t="n"/>
      <c r="B982" s="9" t="n"/>
      <c r="C982" s="9" t="n"/>
      <c r="D982" s="9" t="n"/>
      <c r="E982" s="8" t="n"/>
      <c r="F982" s="10" t="n"/>
      <c r="G982" s="8" t="n"/>
      <c r="H982" s="11">
        <f>IF(D982="","",IF(G982="",Setup!$B$5,G982)-E982)</f>
        <v/>
      </c>
      <c r="I982" s="6">
        <f>IF(D982="","",AND(LOWER(B982)="y",H982&gt;Setup!$B$4))</f>
        <v/>
      </c>
      <c r="J982" s="12">
        <f>IF(D982="","",IF(AND(I982=TRUE,G982=""),F982,0))</f>
        <v/>
      </c>
      <c r="K982" s="12">
        <f>IF(OR(D982="",G982=""),0,F982)</f>
        <v/>
      </c>
      <c r="L982" s="12">
        <f>IF(OR(D982="",G982=""),0,H982*F982)</f>
        <v/>
      </c>
    </row>
    <row r="983">
      <c r="A983" s="9" t="n"/>
      <c r="B983" s="9" t="n"/>
      <c r="C983" s="9" t="n"/>
      <c r="D983" s="9" t="n"/>
      <c r="E983" s="8" t="n"/>
      <c r="F983" s="10" t="n"/>
      <c r="G983" s="8" t="n"/>
      <c r="H983" s="11">
        <f>IF(D983="","",IF(G983="",Setup!$B$5,G983)-E983)</f>
        <v/>
      </c>
      <c r="I983" s="6">
        <f>IF(D983="","",AND(LOWER(B983)="y",H983&gt;Setup!$B$4))</f>
        <v/>
      </c>
      <c r="J983" s="12">
        <f>IF(D983="","",IF(AND(I983=TRUE,G983=""),F983,0))</f>
        <v/>
      </c>
      <c r="K983" s="12">
        <f>IF(OR(D983="",G983=""),0,F983)</f>
        <v/>
      </c>
      <c r="L983" s="12">
        <f>IF(OR(D983="",G983=""),0,H983*F983)</f>
        <v/>
      </c>
    </row>
    <row r="984">
      <c r="A984" s="9" t="n"/>
      <c r="B984" s="9" t="n"/>
      <c r="C984" s="9" t="n"/>
      <c r="D984" s="9" t="n"/>
      <c r="E984" s="8" t="n"/>
      <c r="F984" s="10" t="n"/>
      <c r="G984" s="8" t="n"/>
      <c r="H984" s="11">
        <f>IF(D984="","",IF(G984="",Setup!$B$5,G984)-E984)</f>
        <v/>
      </c>
      <c r="I984" s="6">
        <f>IF(D984="","",AND(LOWER(B984)="y",H984&gt;Setup!$B$4))</f>
        <v/>
      </c>
      <c r="J984" s="12">
        <f>IF(D984="","",IF(AND(I984=TRUE,G984=""),F984,0))</f>
        <v/>
      </c>
      <c r="K984" s="12">
        <f>IF(OR(D984="",G984=""),0,F984)</f>
        <v/>
      </c>
      <c r="L984" s="12">
        <f>IF(OR(D984="",G984=""),0,H984*F984)</f>
        <v/>
      </c>
    </row>
    <row r="985">
      <c r="A985" s="9" t="n"/>
      <c r="B985" s="9" t="n"/>
      <c r="C985" s="9" t="n"/>
      <c r="D985" s="9" t="n"/>
      <c r="E985" s="8" t="n"/>
      <c r="F985" s="10" t="n"/>
      <c r="G985" s="8" t="n"/>
      <c r="H985" s="11">
        <f>IF(D985="","",IF(G985="",Setup!$B$5,G985)-E985)</f>
        <v/>
      </c>
      <c r="I985" s="6">
        <f>IF(D985="","",AND(LOWER(B985)="y",H985&gt;Setup!$B$4))</f>
        <v/>
      </c>
      <c r="J985" s="12">
        <f>IF(D985="","",IF(AND(I985=TRUE,G985=""),F985,0))</f>
        <v/>
      </c>
      <c r="K985" s="12">
        <f>IF(OR(D985="",G985=""),0,F985)</f>
        <v/>
      </c>
      <c r="L985" s="12">
        <f>IF(OR(D985="",G985=""),0,H985*F985)</f>
        <v/>
      </c>
    </row>
    <row r="986">
      <c r="A986" s="9" t="n"/>
      <c r="B986" s="9" t="n"/>
      <c r="C986" s="9" t="n"/>
      <c r="D986" s="9" t="n"/>
      <c r="E986" s="8" t="n"/>
      <c r="F986" s="10" t="n"/>
      <c r="G986" s="8" t="n"/>
      <c r="H986" s="11">
        <f>IF(D986="","",IF(G986="",Setup!$B$5,G986)-E986)</f>
        <v/>
      </c>
      <c r="I986" s="6">
        <f>IF(D986="","",AND(LOWER(B986)="y",H986&gt;Setup!$B$4))</f>
        <v/>
      </c>
      <c r="J986" s="12">
        <f>IF(D986="","",IF(AND(I986=TRUE,G986=""),F986,0))</f>
        <v/>
      </c>
      <c r="K986" s="12">
        <f>IF(OR(D986="",G986=""),0,F986)</f>
        <v/>
      </c>
      <c r="L986" s="12">
        <f>IF(OR(D986="",G986=""),0,H986*F986)</f>
        <v/>
      </c>
    </row>
    <row r="987">
      <c r="A987" s="9" t="n"/>
      <c r="B987" s="9" t="n"/>
      <c r="C987" s="9" t="n"/>
      <c r="D987" s="9" t="n"/>
      <c r="E987" s="8" t="n"/>
      <c r="F987" s="10" t="n"/>
      <c r="G987" s="8" t="n"/>
      <c r="H987" s="11">
        <f>IF(D987="","",IF(G987="",Setup!$B$5,G987)-E987)</f>
        <v/>
      </c>
      <c r="I987" s="6">
        <f>IF(D987="","",AND(LOWER(B987)="y",H987&gt;Setup!$B$4))</f>
        <v/>
      </c>
      <c r="J987" s="12">
        <f>IF(D987="","",IF(AND(I987=TRUE,G987=""),F987,0))</f>
        <v/>
      </c>
      <c r="K987" s="12">
        <f>IF(OR(D987="",G987=""),0,F987)</f>
        <v/>
      </c>
      <c r="L987" s="12">
        <f>IF(OR(D987="",G987=""),0,H987*F987)</f>
        <v/>
      </c>
    </row>
    <row r="988">
      <c r="A988" s="9" t="n"/>
      <c r="B988" s="9" t="n"/>
      <c r="C988" s="9" t="n"/>
      <c r="D988" s="9" t="n"/>
      <c r="E988" s="8" t="n"/>
      <c r="F988" s="10" t="n"/>
      <c r="G988" s="8" t="n"/>
      <c r="H988" s="11">
        <f>IF(D988="","",IF(G988="",Setup!$B$5,G988)-E988)</f>
        <v/>
      </c>
      <c r="I988" s="6">
        <f>IF(D988="","",AND(LOWER(B988)="y",H988&gt;Setup!$B$4))</f>
        <v/>
      </c>
      <c r="J988" s="12">
        <f>IF(D988="","",IF(AND(I988=TRUE,G988=""),F988,0))</f>
        <v/>
      </c>
      <c r="K988" s="12">
        <f>IF(OR(D988="",G988=""),0,F988)</f>
        <v/>
      </c>
      <c r="L988" s="12">
        <f>IF(OR(D988="",G988=""),0,H988*F988)</f>
        <v/>
      </c>
    </row>
    <row r="989">
      <c r="A989" s="9" t="n"/>
      <c r="B989" s="9" t="n"/>
      <c r="C989" s="9" t="n"/>
      <c r="D989" s="9" t="n"/>
      <c r="E989" s="8" t="n"/>
      <c r="F989" s="10" t="n"/>
      <c r="G989" s="8" t="n"/>
      <c r="H989" s="11">
        <f>IF(D989="","",IF(G989="",Setup!$B$5,G989)-E989)</f>
        <v/>
      </c>
      <c r="I989" s="6">
        <f>IF(D989="","",AND(LOWER(B989)="y",H989&gt;Setup!$B$4))</f>
        <v/>
      </c>
      <c r="J989" s="12">
        <f>IF(D989="","",IF(AND(I989=TRUE,G989=""),F989,0))</f>
        <v/>
      </c>
      <c r="K989" s="12">
        <f>IF(OR(D989="",G989=""),0,F989)</f>
        <v/>
      </c>
      <c r="L989" s="12">
        <f>IF(OR(D989="",G989=""),0,H989*F989)</f>
        <v/>
      </c>
    </row>
    <row r="990">
      <c r="A990" s="9" t="n"/>
      <c r="B990" s="9" t="n"/>
      <c r="C990" s="9" t="n"/>
      <c r="D990" s="9" t="n"/>
      <c r="E990" s="8" t="n"/>
      <c r="F990" s="10" t="n"/>
      <c r="G990" s="8" t="n"/>
      <c r="H990" s="11">
        <f>IF(D990="","",IF(G990="",Setup!$B$5,G990)-E990)</f>
        <v/>
      </c>
      <c r="I990" s="6">
        <f>IF(D990="","",AND(LOWER(B990)="y",H990&gt;Setup!$B$4))</f>
        <v/>
      </c>
      <c r="J990" s="12">
        <f>IF(D990="","",IF(AND(I990=TRUE,G990=""),F990,0))</f>
        <v/>
      </c>
      <c r="K990" s="12">
        <f>IF(OR(D990="",G990=""),0,F990)</f>
        <v/>
      </c>
      <c r="L990" s="12">
        <f>IF(OR(D990="",G990=""),0,H990*F990)</f>
        <v/>
      </c>
    </row>
    <row r="991">
      <c r="A991" s="9" t="n"/>
      <c r="B991" s="9" t="n"/>
      <c r="C991" s="9" t="n"/>
      <c r="D991" s="9" t="n"/>
      <c r="E991" s="8" t="n"/>
      <c r="F991" s="10" t="n"/>
      <c r="G991" s="8" t="n"/>
      <c r="H991" s="11">
        <f>IF(D991="","",IF(G991="",Setup!$B$5,G991)-E991)</f>
        <v/>
      </c>
      <c r="I991" s="6">
        <f>IF(D991="","",AND(LOWER(B991)="y",H991&gt;Setup!$B$4))</f>
        <v/>
      </c>
      <c r="J991" s="12">
        <f>IF(D991="","",IF(AND(I991=TRUE,G991=""),F991,0))</f>
        <v/>
      </c>
      <c r="K991" s="12">
        <f>IF(OR(D991="",G991=""),0,F991)</f>
        <v/>
      </c>
      <c r="L991" s="12">
        <f>IF(OR(D991="",G991=""),0,H991*F991)</f>
        <v/>
      </c>
    </row>
    <row r="992">
      <c r="A992" s="9" t="n"/>
      <c r="B992" s="9" t="n"/>
      <c r="C992" s="9" t="n"/>
      <c r="D992" s="9" t="n"/>
      <c r="E992" s="8" t="n"/>
      <c r="F992" s="10" t="n"/>
      <c r="G992" s="8" t="n"/>
      <c r="H992" s="11">
        <f>IF(D992="","",IF(G992="",Setup!$B$5,G992)-E992)</f>
        <v/>
      </c>
      <c r="I992" s="6">
        <f>IF(D992="","",AND(LOWER(B992)="y",H992&gt;Setup!$B$4))</f>
        <v/>
      </c>
      <c r="J992" s="12">
        <f>IF(D992="","",IF(AND(I992=TRUE,G992=""),F992,0))</f>
        <v/>
      </c>
      <c r="K992" s="12">
        <f>IF(OR(D992="",G992=""),0,F992)</f>
        <v/>
      </c>
      <c r="L992" s="12">
        <f>IF(OR(D992="",G992=""),0,H992*F992)</f>
        <v/>
      </c>
    </row>
    <row r="993">
      <c r="A993" s="9" t="n"/>
      <c r="B993" s="9" t="n"/>
      <c r="C993" s="9" t="n"/>
      <c r="D993" s="9" t="n"/>
      <c r="E993" s="8" t="n"/>
      <c r="F993" s="10" t="n"/>
      <c r="G993" s="8" t="n"/>
      <c r="H993" s="11">
        <f>IF(D993="","",IF(G993="",Setup!$B$5,G993)-E993)</f>
        <v/>
      </c>
      <c r="I993" s="6">
        <f>IF(D993="","",AND(LOWER(B993)="y",H993&gt;Setup!$B$4))</f>
        <v/>
      </c>
      <c r="J993" s="12">
        <f>IF(D993="","",IF(AND(I993=TRUE,G993=""),F993,0))</f>
        <v/>
      </c>
      <c r="K993" s="12">
        <f>IF(OR(D993="",G993=""),0,F993)</f>
        <v/>
      </c>
      <c r="L993" s="12">
        <f>IF(OR(D993="",G993=""),0,H993*F993)</f>
        <v/>
      </c>
    </row>
    <row r="994">
      <c r="A994" s="9" t="n"/>
      <c r="B994" s="9" t="n"/>
      <c r="C994" s="9" t="n"/>
      <c r="D994" s="9" t="n"/>
      <c r="E994" s="8" t="n"/>
      <c r="F994" s="10" t="n"/>
      <c r="G994" s="8" t="n"/>
      <c r="H994" s="11">
        <f>IF(D994="","",IF(G994="",Setup!$B$5,G994)-E994)</f>
        <v/>
      </c>
      <c r="I994" s="6">
        <f>IF(D994="","",AND(LOWER(B994)="y",H994&gt;Setup!$B$4))</f>
        <v/>
      </c>
      <c r="J994" s="12">
        <f>IF(D994="","",IF(AND(I994=TRUE,G994=""),F994,0))</f>
        <v/>
      </c>
      <c r="K994" s="12">
        <f>IF(OR(D994="",G994=""),0,F994)</f>
        <v/>
      </c>
      <c r="L994" s="12">
        <f>IF(OR(D994="",G994=""),0,H994*F994)</f>
        <v/>
      </c>
    </row>
    <row r="995">
      <c r="A995" s="9" t="n"/>
      <c r="B995" s="9" t="n"/>
      <c r="C995" s="9" t="n"/>
      <c r="D995" s="9" t="n"/>
      <c r="E995" s="8" t="n"/>
      <c r="F995" s="10" t="n"/>
      <c r="G995" s="8" t="n"/>
      <c r="H995" s="11">
        <f>IF(D995="","",IF(G995="",Setup!$B$5,G995)-E995)</f>
        <v/>
      </c>
      <c r="I995" s="6">
        <f>IF(D995="","",AND(LOWER(B995)="y",H995&gt;Setup!$B$4))</f>
        <v/>
      </c>
      <c r="J995" s="12">
        <f>IF(D995="","",IF(AND(I995=TRUE,G995=""),F995,0))</f>
        <v/>
      </c>
      <c r="K995" s="12">
        <f>IF(OR(D995="",G995=""),0,F995)</f>
        <v/>
      </c>
      <c r="L995" s="12">
        <f>IF(OR(D995="",G995=""),0,H995*F995)</f>
        <v/>
      </c>
    </row>
    <row r="996">
      <c r="A996" s="9" t="n"/>
      <c r="B996" s="9" t="n"/>
      <c r="C996" s="9" t="n"/>
      <c r="D996" s="9" t="n"/>
      <c r="E996" s="8" t="n"/>
      <c r="F996" s="10" t="n"/>
      <c r="G996" s="8" t="n"/>
      <c r="H996" s="11">
        <f>IF(D996="","",IF(G996="",Setup!$B$5,G996)-E996)</f>
        <v/>
      </c>
      <c r="I996" s="6">
        <f>IF(D996="","",AND(LOWER(B996)="y",H996&gt;Setup!$B$4))</f>
        <v/>
      </c>
      <c r="J996" s="12">
        <f>IF(D996="","",IF(AND(I996=TRUE,G996=""),F996,0))</f>
        <v/>
      </c>
      <c r="K996" s="12">
        <f>IF(OR(D996="",G996=""),0,F996)</f>
        <v/>
      </c>
      <c r="L996" s="12">
        <f>IF(OR(D996="",G996=""),0,H996*F996)</f>
        <v/>
      </c>
    </row>
    <row r="997">
      <c r="A997" s="9" t="n"/>
      <c r="B997" s="9" t="n"/>
      <c r="C997" s="9" t="n"/>
      <c r="D997" s="9" t="n"/>
      <c r="E997" s="8" t="n"/>
      <c r="F997" s="10" t="n"/>
      <c r="G997" s="8" t="n"/>
      <c r="H997" s="11">
        <f>IF(D997="","",IF(G997="",Setup!$B$5,G997)-E997)</f>
        <v/>
      </c>
      <c r="I997" s="6">
        <f>IF(D997="","",AND(LOWER(B997)="y",H997&gt;Setup!$B$4))</f>
        <v/>
      </c>
      <c r="J997" s="12">
        <f>IF(D997="","",IF(AND(I997=TRUE,G997=""),F997,0))</f>
        <v/>
      </c>
      <c r="K997" s="12">
        <f>IF(OR(D997="",G997=""),0,F997)</f>
        <v/>
      </c>
      <c r="L997" s="12">
        <f>IF(OR(D997="",G997=""),0,H997*F997)</f>
        <v/>
      </c>
    </row>
    <row r="998">
      <c r="A998" s="9" t="n"/>
      <c r="B998" s="9" t="n"/>
      <c r="C998" s="9" t="n"/>
      <c r="D998" s="9" t="n"/>
      <c r="E998" s="8" t="n"/>
      <c r="F998" s="10" t="n"/>
      <c r="G998" s="8" t="n"/>
      <c r="H998" s="11">
        <f>IF(D998="","",IF(G998="",Setup!$B$5,G998)-E998)</f>
        <v/>
      </c>
      <c r="I998" s="6">
        <f>IF(D998="","",AND(LOWER(B998)="y",H998&gt;Setup!$B$4))</f>
        <v/>
      </c>
      <c r="J998" s="12">
        <f>IF(D998="","",IF(AND(I998=TRUE,G998=""),F998,0))</f>
        <v/>
      </c>
      <c r="K998" s="12">
        <f>IF(OR(D998="",G998=""),0,F998)</f>
        <v/>
      </c>
      <c r="L998" s="12">
        <f>IF(OR(D998="",G998=""),0,H998*F998)</f>
        <v/>
      </c>
    </row>
    <row r="999">
      <c r="A999" s="9" t="n"/>
      <c r="B999" s="9" t="n"/>
      <c r="C999" s="9" t="n"/>
      <c r="D999" s="9" t="n"/>
      <c r="E999" s="8" t="n"/>
      <c r="F999" s="10" t="n"/>
      <c r="G999" s="8" t="n"/>
      <c r="H999" s="11">
        <f>IF(D999="","",IF(G999="",Setup!$B$5,G999)-E999)</f>
        <v/>
      </c>
      <c r="I999" s="6">
        <f>IF(D999="","",AND(LOWER(B999)="y",H999&gt;Setup!$B$4))</f>
        <v/>
      </c>
      <c r="J999" s="12">
        <f>IF(D999="","",IF(AND(I999=TRUE,G999=""),F999,0))</f>
        <v/>
      </c>
      <c r="K999" s="12">
        <f>IF(OR(D999="",G999=""),0,F999)</f>
        <v/>
      </c>
      <c r="L999" s="12">
        <f>IF(OR(D999="",G999=""),0,H999*F999)</f>
        <v/>
      </c>
    </row>
    <row r="1000">
      <c r="A1000" s="9" t="n"/>
      <c r="B1000" s="9" t="n"/>
      <c r="C1000" s="9" t="n"/>
      <c r="D1000" s="9" t="n"/>
      <c r="E1000" s="8" t="n"/>
      <c r="F1000" s="10" t="n"/>
      <c r="G1000" s="8" t="n"/>
      <c r="H1000" s="11">
        <f>IF(D1000="","",IF(G1000="",Setup!$B$5,G1000)-E1000)</f>
        <v/>
      </c>
      <c r="I1000" s="6">
        <f>IF(D1000="","",AND(LOWER(B1000)="y",H1000&gt;Setup!$B$4))</f>
        <v/>
      </c>
      <c r="J1000" s="12">
        <f>IF(D1000="","",IF(AND(I1000=TRUE,G1000=""),F1000,0))</f>
        <v/>
      </c>
      <c r="K1000" s="12">
        <f>IF(OR(D1000="",G1000=""),0,F1000)</f>
        <v/>
      </c>
      <c r="L1000" s="12">
        <f>IF(OR(D1000="",G1000=""),0,H1000*F1000)</f>
        <v/>
      </c>
    </row>
    <row r="1001">
      <c r="A1001" s="9" t="n"/>
      <c r="B1001" s="9" t="n"/>
      <c r="C1001" s="9" t="n"/>
      <c r="D1001" s="9" t="n"/>
      <c r="E1001" s="8" t="n"/>
      <c r="F1001" s="10" t="n"/>
      <c r="G1001" s="8" t="n"/>
      <c r="H1001" s="11">
        <f>IF(D1001="","",IF(G1001="",Setup!$B$5,G1001)-E1001)</f>
        <v/>
      </c>
      <c r="I1001" s="6">
        <f>IF(D1001="","",AND(LOWER(B1001)="y",H1001&gt;Setup!$B$4))</f>
        <v/>
      </c>
      <c r="J1001" s="12">
        <f>IF(D1001="","",IF(AND(I1001=TRUE,G1001=""),F1001,0))</f>
        <v/>
      </c>
      <c r="K1001" s="12">
        <f>IF(OR(D1001="",G1001=""),0,F1001)</f>
        <v/>
      </c>
      <c r="L1001" s="12">
        <f>IF(OR(D1001="",G1001=""),0,H1001*F1001)</f>
        <v/>
      </c>
    </row>
    <row r="1002">
      <c r="A1002" s="9" t="n"/>
      <c r="B1002" s="9" t="n"/>
      <c r="C1002" s="9" t="n"/>
      <c r="D1002" s="9" t="n"/>
      <c r="E1002" s="8" t="n"/>
      <c r="F1002" s="10" t="n"/>
      <c r="G1002" s="8" t="n"/>
      <c r="H1002" s="11">
        <f>IF(D1002="","",IF(G1002="",Setup!$B$5,G1002)-E1002)</f>
        <v/>
      </c>
      <c r="I1002" s="6">
        <f>IF(D1002="","",AND(LOWER(B1002)="y",H1002&gt;Setup!$B$4))</f>
        <v/>
      </c>
      <c r="J1002" s="12">
        <f>IF(D1002="","",IF(AND(I1002=TRUE,G1002=""),F1002,0))</f>
        <v/>
      </c>
      <c r="K1002" s="12">
        <f>IF(OR(D1002="",G1002=""),0,F1002)</f>
        <v/>
      </c>
      <c r="L1002" s="12">
        <f>IF(OR(D1002="",G1002=""),0,H1002*F1002)</f>
        <v/>
      </c>
    </row>
    <row r="1003">
      <c r="A1003" s="9" t="n"/>
      <c r="B1003" s="9" t="n"/>
      <c r="C1003" s="9" t="n"/>
      <c r="D1003" s="9" t="n"/>
      <c r="E1003" s="8" t="n"/>
      <c r="F1003" s="10" t="n"/>
      <c r="G1003" s="8" t="n"/>
      <c r="H1003" s="11">
        <f>IF(D1003="","",IF(G1003="",Setup!$B$5,G1003)-E1003)</f>
        <v/>
      </c>
      <c r="I1003" s="6">
        <f>IF(D1003="","",AND(LOWER(B1003)="y",H1003&gt;Setup!$B$4))</f>
        <v/>
      </c>
      <c r="J1003" s="12">
        <f>IF(D1003="","",IF(AND(I1003=TRUE,G1003=""),F1003,0))</f>
        <v/>
      </c>
      <c r="K1003" s="12">
        <f>IF(OR(D1003="",G1003=""),0,F1003)</f>
        <v/>
      </c>
      <c r="L1003" s="12">
        <f>IF(OR(D1003="",G1003=""),0,H1003*F1003)</f>
        <v/>
      </c>
    </row>
    <row r="1004">
      <c r="A1004" s="9" t="n"/>
      <c r="B1004" s="9" t="n"/>
      <c r="C1004" s="9" t="n"/>
      <c r="D1004" s="9" t="n"/>
      <c r="E1004" s="8" t="n"/>
      <c r="F1004" s="10" t="n"/>
      <c r="G1004" s="8" t="n"/>
      <c r="H1004" s="11">
        <f>IF(D1004="","",IF(G1004="",Setup!$B$5,G1004)-E1004)</f>
        <v/>
      </c>
      <c r="I1004" s="6">
        <f>IF(D1004="","",AND(LOWER(B1004)="y",H1004&gt;Setup!$B$4))</f>
        <v/>
      </c>
      <c r="J1004" s="12">
        <f>IF(D1004="","",IF(AND(I1004=TRUE,G1004=""),F1004,0))</f>
        <v/>
      </c>
      <c r="K1004" s="12">
        <f>IF(OR(D1004="",G1004=""),0,F1004)</f>
        <v/>
      </c>
      <c r="L1004" s="12">
        <f>IF(OR(D1004="",G1004=""),0,H1004*F1004)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Spend cube by category</t>
        </is>
      </c>
    </row>
    <row r="2"/>
    <row r="3"/>
    <row r="4">
      <c r="A4" s="5" t="inlineStr">
        <is>
          <t>category</t>
        </is>
      </c>
      <c r="B4" s="5" t="inlineStr">
        <is>
          <t>spend</t>
        </is>
      </c>
      <c r="C4" s="5" t="inlineStr">
        <is>
          <t>share</t>
        </is>
      </c>
    </row>
    <row r="5">
      <c r="A5" s="9" t="inlineStr">
        <is>
          <t>Raw material</t>
        </is>
      </c>
      <c r="B5" s="12">
        <f>IF(A5="","",SUMIF(Invoices!$C$5:$C$1004,A5,Invoices!$F$5:$F$1004))</f>
        <v/>
      </c>
      <c r="C5" s="13">
        <f>IF(A5="","",IF(SUM(Invoices!$F$5:$F$1004)=0,0,B5/SUM(Invoices!$F$5:$F$1004)))</f>
        <v/>
      </c>
    </row>
    <row r="6">
      <c r="A6" s="9" t="inlineStr">
        <is>
          <t>Packaging</t>
        </is>
      </c>
      <c r="B6" s="12">
        <f>IF(A6="","",SUMIF(Invoices!$C$5:$C$1004,A6,Invoices!$F$5:$F$1004))</f>
        <v/>
      </c>
      <c r="C6" s="13">
        <f>IF(A6="","",IF(SUM(Invoices!$F$5:$F$1004)=0,0,B6/SUM(Invoices!$F$5:$F$1004)))</f>
        <v/>
      </c>
    </row>
    <row r="7">
      <c r="A7" s="9" t="inlineStr">
        <is>
          <t>Bearings</t>
        </is>
      </c>
      <c r="B7" s="12">
        <f>IF(A7="","",SUMIF(Invoices!$C$5:$C$1004,A7,Invoices!$F$5:$F$1004))</f>
        <v/>
      </c>
      <c r="C7" s="13">
        <f>IF(A7="","",IF(SUM(Invoices!$F$5:$F$1004)=0,0,B7/SUM(Invoices!$F$5:$F$1004)))</f>
        <v/>
      </c>
    </row>
    <row r="8">
      <c r="A8" s="9" t="n"/>
      <c r="B8" s="12">
        <f>IF(A8="","",SUMIF(Invoices!$C$5:$C$1004,A8,Invoices!$F$5:$F$1004))</f>
        <v/>
      </c>
      <c r="C8" s="13">
        <f>IF(A8="","",IF(SUM(Invoices!$F$5:$F$1004)=0,0,B8/SUM(Invoices!$F$5:$F$1004)))</f>
        <v/>
      </c>
    </row>
    <row r="9">
      <c r="A9" s="9" t="n"/>
      <c r="B9" s="12">
        <f>IF(A9="","",SUMIF(Invoices!$C$5:$C$1004,A9,Invoices!$F$5:$F$1004))</f>
        <v/>
      </c>
      <c r="C9" s="13">
        <f>IF(A9="","",IF(SUM(Invoices!$F$5:$F$1004)=0,0,B9/SUM(Invoices!$F$5:$F$1004)))</f>
        <v/>
      </c>
    </row>
    <row r="10">
      <c r="A10" s="9" t="n"/>
      <c r="B10" s="12">
        <f>IF(A10="","",SUMIF(Invoices!$C$5:$C$1004,A10,Invoices!$F$5:$F$1004))</f>
        <v/>
      </c>
      <c r="C10" s="13">
        <f>IF(A10="","",IF(SUM(Invoices!$F$5:$F$1004)=0,0,B10/SUM(Invoices!$F$5:$F$1004)))</f>
        <v/>
      </c>
    </row>
    <row r="11">
      <c r="A11" s="9" t="n"/>
      <c r="B11" s="12">
        <f>IF(A11="","",SUMIF(Invoices!$C$5:$C$1004,A11,Invoices!$F$5:$F$1004))</f>
        <v/>
      </c>
      <c r="C11" s="13">
        <f>IF(A11="","",IF(SUM(Invoices!$F$5:$F$1004)=0,0,B11/SUM(Invoices!$F$5:$F$1004)))</f>
        <v/>
      </c>
    </row>
    <row r="12">
      <c r="A12" s="9" t="n"/>
      <c r="B12" s="12">
        <f>IF(A12="","",SUMIF(Invoices!$C$5:$C$1004,A12,Invoices!$F$5:$F$1004))</f>
        <v/>
      </c>
      <c r="C12" s="13">
        <f>IF(A12="","",IF(SUM(Invoices!$F$5:$F$1004)=0,0,B12/SUM(Invoices!$F$5:$F$1004)))</f>
        <v/>
      </c>
    </row>
    <row r="13">
      <c r="A13" s="9" t="n"/>
      <c r="B13" s="12">
        <f>IF(A13="","",SUMIF(Invoices!$C$5:$C$1004,A13,Invoices!$F$5:$F$1004))</f>
        <v/>
      </c>
      <c r="C13" s="13">
        <f>IF(A13="","",IF(SUM(Invoices!$F$5:$F$1004)=0,0,B13/SUM(Invoices!$F$5:$F$1004)))</f>
        <v/>
      </c>
    </row>
    <row r="14">
      <c r="A14" s="9" t="n"/>
      <c r="B14" s="12">
        <f>IF(A14="","",SUMIF(Invoices!$C$5:$C$1004,A14,Invoices!$F$5:$F$1004))</f>
        <v/>
      </c>
      <c r="C14" s="13">
        <f>IF(A14="","",IF(SUM(Invoices!$F$5:$F$1004)=0,0,B14/SUM(Invoices!$F$5:$F$1004)))</f>
        <v/>
      </c>
    </row>
    <row r="15">
      <c r="A15" s="9" t="n"/>
      <c r="B15" s="12">
        <f>IF(A15="","",SUMIF(Invoices!$C$5:$C$1004,A15,Invoices!$F$5:$F$1004))</f>
        <v/>
      </c>
      <c r="C15" s="13">
        <f>IF(A15="","",IF(SUM(Invoices!$F$5:$F$1004)=0,0,B15/SUM(Invoices!$F$5:$F$1004)))</f>
        <v/>
      </c>
    </row>
    <row r="16">
      <c r="A16" s="9" t="n"/>
      <c r="B16" s="12">
        <f>IF(A16="","",SUMIF(Invoices!$C$5:$C$1004,A16,Invoices!$F$5:$F$1004))</f>
        <v/>
      </c>
      <c r="C16" s="13">
        <f>IF(A16="","",IF(SUM(Invoices!$F$5:$F$1004)=0,0,B16/SUM(Invoices!$F$5:$F$1004)))</f>
        <v/>
      </c>
    </row>
    <row r="17">
      <c r="A17" s="9" t="n"/>
      <c r="B17" s="12">
        <f>IF(A17="","",SUMIF(Invoices!$C$5:$C$1004,A17,Invoices!$F$5:$F$1004))</f>
        <v/>
      </c>
      <c r="C17" s="13">
        <f>IF(A17="","",IF(SUM(Invoices!$F$5:$F$1004)=0,0,B17/SUM(Invoices!$F$5:$F$1004)))</f>
        <v/>
      </c>
    </row>
    <row r="18">
      <c r="A18" s="9" t="n"/>
      <c r="B18" s="12">
        <f>IF(A18="","",SUMIF(Invoices!$C$5:$C$1004,A18,Invoices!$F$5:$F$1004))</f>
        <v/>
      </c>
      <c r="C18" s="13">
        <f>IF(A18="","",IF(SUM(Invoices!$F$5:$F$1004)=0,0,B18/SUM(Invoices!$F$5:$F$1004)))</f>
        <v/>
      </c>
    </row>
    <row r="19">
      <c r="A19" s="9" t="n"/>
      <c r="B19" s="12">
        <f>IF(A19="","",SUMIF(Invoices!$C$5:$C$1004,A19,Invoices!$F$5:$F$1004))</f>
        <v/>
      </c>
      <c r="C19" s="13">
        <f>IF(A19="","",IF(SUM(Invoices!$F$5:$F$1004)=0,0,B19/SUM(Invoices!$F$5:$F$1004)))</f>
        <v/>
      </c>
    </row>
    <row r="20">
      <c r="A20" s="9" t="n"/>
      <c r="B20" s="12">
        <f>IF(A20="","",SUMIF(Invoices!$C$5:$C$1004,A20,Invoices!$F$5:$F$1004))</f>
        <v/>
      </c>
      <c r="C20" s="13">
        <f>IF(A20="","",IF(SUM(Invoices!$F$5:$F$1004)=0,0,B20/SUM(Invoices!$F$5:$F$1004)))</f>
        <v/>
      </c>
    </row>
    <row r="21">
      <c r="A21" s="9" t="n"/>
      <c r="B21" s="12">
        <f>IF(A21="","",SUMIF(Invoices!$C$5:$C$1004,A21,Invoices!$F$5:$F$1004))</f>
        <v/>
      </c>
      <c r="C21" s="13">
        <f>IF(A21="","",IF(SUM(Invoices!$F$5:$F$1004)=0,0,B21/SUM(Invoices!$F$5:$F$1004)))</f>
        <v/>
      </c>
    </row>
    <row r="22">
      <c r="A22" s="9" t="n"/>
      <c r="B22" s="12">
        <f>IF(A22="","",SUMIF(Invoices!$C$5:$C$1004,A22,Invoices!$F$5:$F$1004))</f>
        <v/>
      </c>
      <c r="C22" s="13">
        <f>IF(A22="","",IF(SUM(Invoices!$F$5:$F$1004)=0,0,B22/SUM(Invoices!$F$5:$F$1004)))</f>
        <v/>
      </c>
    </row>
    <row r="23">
      <c r="A23" s="9" t="n"/>
      <c r="B23" s="12">
        <f>IF(A23="","",SUMIF(Invoices!$C$5:$C$1004,A23,Invoices!$F$5:$F$1004))</f>
        <v/>
      </c>
      <c r="C23" s="13">
        <f>IF(A23="","",IF(SUM(Invoices!$F$5:$F$1004)=0,0,B23/SUM(Invoices!$F$5:$F$1004)))</f>
        <v/>
      </c>
    </row>
    <row r="24">
      <c r="A24" s="9" t="n"/>
      <c r="B24" s="12">
        <f>IF(A24="","",SUMIF(Invoices!$C$5:$C$1004,A24,Invoices!$F$5:$F$1004))</f>
        <v/>
      </c>
      <c r="C24" s="13">
        <f>IF(A24="","",IF(SUM(Invoices!$F$5:$F$1004)=0,0,B24/SUM(Invoices!$F$5:$F$1004)))</f>
        <v/>
      </c>
    </row>
    <row r="25">
      <c r="A25" s="9" t="n"/>
      <c r="B25" s="12">
        <f>IF(A25="","",SUMIF(Invoices!$C$5:$C$1004,A25,Invoices!$F$5:$F$1004))</f>
        <v/>
      </c>
      <c r="C25" s="13">
        <f>IF(A25="","",IF(SUM(Invoices!$F$5:$F$1004)=0,0,B25/SUM(Invoices!$F$5:$F$1004)))</f>
        <v/>
      </c>
    </row>
    <row r="26">
      <c r="A26" s="9" t="n"/>
      <c r="B26" s="12">
        <f>IF(A26="","",SUMIF(Invoices!$C$5:$C$1004,A26,Invoices!$F$5:$F$1004))</f>
        <v/>
      </c>
      <c r="C26" s="13">
        <f>IF(A26="","",IF(SUM(Invoices!$F$5:$F$1004)=0,0,B26/SUM(Invoices!$F$5:$F$1004)))</f>
        <v/>
      </c>
    </row>
    <row r="27">
      <c r="A27" s="9" t="n"/>
      <c r="B27" s="12">
        <f>IF(A27="","",SUMIF(Invoices!$C$5:$C$1004,A27,Invoices!$F$5:$F$1004))</f>
        <v/>
      </c>
      <c r="C27" s="13">
        <f>IF(A27="","",IF(SUM(Invoices!$F$5:$F$1004)=0,0,B27/SUM(Invoices!$F$5:$F$1004)))</f>
        <v/>
      </c>
    </row>
    <row r="28">
      <c r="A28" s="9" t="n"/>
      <c r="B28" s="12">
        <f>IF(A28="","",SUMIF(Invoices!$C$5:$C$1004,A28,Invoices!$F$5:$F$1004))</f>
        <v/>
      </c>
      <c r="C28" s="13">
        <f>IF(A28="","",IF(SUM(Invoices!$F$5:$F$1004)=0,0,B28/SUM(Invoices!$F$5:$F$1004)))</f>
        <v/>
      </c>
    </row>
    <row r="29">
      <c r="A29" s="9" t="n"/>
      <c r="B29" s="12">
        <f>IF(A29="","",SUMIF(Invoices!$C$5:$C$1004,A29,Invoices!$F$5:$F$1004))</f>
        <v/>
      </c>
      <c r="C29" s="13">
        <f>IF(A29="","",IF(SUM(Invoices!$F$5:$F$1004)=0,0,B29/SUM(Invoices!$F$5:$F$1004)))</f>
        <v/>
      </c>
    </row>
    <row r="30">
      <c r="A30" s="9" t="n"/>
      <c r="B30" s="12">
        <f>IF(A30="","",SUMIF(Invoices!$C$5:$C$1004,A30,Invoices!$F$5:$F$1004))</f>
        <v/>
      </c>
      <c r="C30" s="13">
        <f>IF(A30="","",IF(SUM(Invoices!$F$5:$F$1004)=0,0,B30/SUM(Invoices!$F$5:$F$1004)))</f>
        <v/>
      </c>
    </row>
    <row r="31">
      <c r="A31" s="9" t="n"/>
      <c r="B31" s="12">
        <f>IF(A31="","",SUMIF(Invoices!$C$5:$C$1004,A31,Invoices!$F$5:$F$1004))</f>
        <v/>
      </c>
      <c r="C31" s="13">
        <f>IF(A31="","",IF(SUM(Invoices!$F$5:$F$1004)=0,0,B31/SUM(Invoices!$F$5:$F$1004)))</f>
        <v/>
      </c>
    </row>
    <row r="32">
      <c r="A32" s="9" t="n"/>
      <c r="B32" s="12">
        <f>IF(A32="","",SUMIF(Invoices!$C$5:$C$1004,A32,Invoices!$F$5:$F$1004))</f>
        <v/>
      </c>
      <c r="C32" s="13">
        <f>IF(A32="","",IF(SUM(Invoices!$F$5:$F$1004)=0,0,B32/SUM(Invoices!$F$5:$F$1004)))</f>
        <v/>
      </c>
    </row>
    <row r="33">
      <c r="A33" s="9" t="n"/>
      <c r="B33" s="12">
        <f>IF(A33="","",SUMIF(Invoices!$C$5:$C$1004,A33,Invoices!$F$5:$F$1004))</f>
        <v/>
      </c>
      <c r="C33" s="13">
        <f>IF(A33="","",IF(SUM(Invoices!$F$5:$F$1004)=0,0,B33/SUM(Invoices!$F$5:$F$1004)))</f>
        <v/>
      </c>
    </row>
    <row r="34">
      <c r="A34" s="9" t="n"/>
      <c r="B34" s="12">
        <f>IF(A34="","",SUMIF(Invoices!$C$5:$C$1004,A34,Invoices!$F$5:$F$1004))</f>
        <v/>
      </c>
      <c r="C34" s="13">
        <f>IF(A34="","",IF(SUM(Invoices!$F$5:$F$1004)=0,0,B34/SUM(Invoices!$F$5:$F$1004)))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60" customWidth="1" min="1" max="1"/>
    <col width="22" customWidth="1" min="2" max="2"/>
  </cols>
  <sheetData>
    <row r="1">
      <c r="A1" s="1" t="inlineStr">
        <is>
          <t>Feeds K01 working_capital.dpo_days and K02 supplier flows</t>
        </is>
      </c>
    </row>
    <row r="2"/>
    <row r="3"/>
    <row r="4">
      <c r="A4" t="inlineStr">
        <is>
          <t>weighted average days to pay (paid invoices) -&gt; DPO evidence</t>
        </is>
      </c>
      <c r="B4" s="14">
        <f>IF(SUM(Invoices!K5:K1004)=0,0,SUM(Invoices!L5:L1004)/SUM(Invoices!K5:K1004))</f>
        <v/>
      </c>
    </row>
    <row r="5">
      <c r="A5" t="inlineStr">
        <is>
          <t>MSME breaches</t>
        </is>
      </c>
      <c r="B5" s="15">
        <f>COUNTIF(Invoices!I5:I1004,TRUE)</f>
        <v/>
      </c>
    </row>
    <row r="6">
      <c r="A6" t="inlineStr">
        <is>
          <t>43B(h) exposure (₹)</t>
        </is>
      </c>
      <c r="B6" s="16">
        <f>SUM(Invoices!J5:J1004)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2026-10-18T16:53:17Z</dcterms:created>
  <dcterms:modified xmlns:dcterms="http://purl.org/dc/terms/" xmlns:xsi="http://www.w3.org/2001/XMLSchema-instance" xsi:type="dcterms:W3CDTF">2026-10-18T16:53:18Z</dcterms:modified>
</cp:coreProperties>
</file>