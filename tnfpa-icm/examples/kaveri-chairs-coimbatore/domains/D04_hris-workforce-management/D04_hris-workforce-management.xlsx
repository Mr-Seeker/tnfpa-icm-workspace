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ToKernel" sheetId="5" state="visible" r:id="rId5"/>
  </sheets>
  <definedNames>
    <definedName name="epf_er">'Rates'!$B$4</definedName>
    <definedName name="epf_cap">'Rates'!$B$5</definedName>
    <definedName name="epf_capflag">'Rates'!$B$6</definedName>
    <definedName name="esi_er">'Rates'!$B$7</definedName>
    <definedName name="esi_limit">'Rates'!$B$8</definedName>
    <definedName name="grat">'Rates'!$B$9</definedName>
    <definedName name="bonus">'Rates'!$B$10</definedName>
    <definedName name="bonus_limit">'Rates'!$B$11</definedName>
    <definedName name="lwf_er">'Rates'!$B$12</definedName>
    <definedName name="edli">'Rates'!$B$13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10" fontId="2" fillId="2" borderId="1" pivotButton="0" quotePrefix="0" xfId="0"/>
    <xf numFmtId="164" fontId="2" fillId="2" borderId="1" pivotButton="0" quotePrefix="0" xfId="0"/>
    <xf numFmtId="1" fontId="2" fillId="2" borderId="1" pivotButton="0" quotePrefix="0" xfId="0"/>
    <xf numFmtId="0" fontId="2" fillId="2" borderId="1" pivotButton="0" quotePrefix="0" xfId="0"/>
    <xf numFmtId="165" fontId="2" fillId="2" borderId="1" pivotButton="0" quotePrefix="0" xfId="0"/>
    <xf numFmtId="164" fontId="0" fillId="0" borderId="1" pivotButton="0" quotePrefix="0" xfId="0"/>
    <xf numFmtId="1" fontId="0" fillId="0" borderId="1" pivotButton="0" quotePrefix="0" xfId="0"/>
    <xf numFmtId="164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D04 (Kaveri copy)</t>
        </is>
      </c>
    </row>
    <row r="2"/>
    <row r="3">
      <c r="A3" s="2" t="inlineStr">
        <is>
          <t>Kaveri Chairs domain record (illustrative sample rows).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3" t="inlineStr">
        <is>
          <t>OVERALL</t>
        </is>
      </c>
      <c r="C3" s="4">
        <f>IF(COUNTIF(C5:C6,"PASS")=COUNT(A5:A6),"PASS","FAIL")</f>
        <v/>
      </c>
    </row>
    <row r="4">
      <c r="A4" s="5" t="inlineStr">
        <is>
          <t>#</t>
        </is>
      </c>
      <c r="B4" s="5" t="inlineStr">
        <is>
          <t>check</t>
        </is>
      </c>
      <c r="C4" s="5" t="inlineStr">
        <is>
          <t>result</t>
        </is>
      </c>
    </row>
    <row r="5">
      <c r="A5" t="n">
        <v>1</v>
      </c>
      <c r="B5" t="inlineStr">
        <is>
          <t>employee ids unique</t>
        </is>
      </c>
      <c r="C5" s="6">
        <f>IF(SUMPRODUCT((People!A5:A504&lt;&gt;"")*(COUNTIF(People!A5:A504,People!A5:A504)&gt;1))=0,"PASS","FAIL")</f>
        <v/>
      </c>
    </row>
    <row r="6">
      <c r="A6" t="n">
        <v>2</v>
      </c>
      <c r="B6" t="inlineStr">
        <is>
          <t>basic % within 0..1</t>
        </is>
      </c>
      <c r="C6" s="6">
        <f>IF(COUNTIF(People!E5:E504,"&gt;1")+COUNTIF(People!E5:E504,"&lt;0")=0,"PASS","FAIL")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Statutory rates (verify each April and on Labour Code notifications - see 01_tamil-nadu/labour-and-payroll.md)</t>
        </is>
      </c>
    </row>
    <row r="2"/>
    <row r="3"/>
    <row r="4">
      <c r="A4" t="inlineStr">
        <is>
          <t>employer EPF % of PF wage</t>
        </is>
      </c>
      <c r="B4" s="7" t="n">
        <v>0.12</v>
      </c>
    </row>
    <row r="5">
      <c r="A5" t="inlineStr">
        <is>
          <t>EPF wage ceiling per month (if capped)</t>
        </is>
      </c>
      <c r="B5" s="8" t="n">
        <v>15000</v>
      </c>
    </row>
    <row r="6">
      <c r="A6" t="inlineStr">
        <is>
          <t>cap employer PF at ceiling? (1 yes / 0 no)</t>
        </is>
      </c>
      <c r="B6" s="9" t="n">
        <v>1</v>
      </c>
    </row>
    <row r="7">
      <c r="A7" t="inlineStr">
        <is>
          <t>employer ESI %</t>
        </is>
      </c>
      <c r="B7" s="7" t="n">
        <v>0.0325</v>
      </c>
    </row>
    <row r="8">
      <c r="A8" t="inlineStr">
        <is>
          <t>ESI gross wage limit per month</t>
        </is>
      </c>
      <c r="B8" s="8" t="n">
        <v>21000</v>
      </c>
    </row>
    <row r="9">
      <c r="A9" t="inlineStr">
        <is>
          <t>gratuity accrual % of basic (15/26/12)</t>
        </is>
      </c>
      <c r="B9" s="7" t="n">
        <v>0.04807692307692307</v>
      </c>
    </row>
    <row r="10">
      <c r="A10" t="inlineStr">
        <is>
          <t>statutory bonus % (eligible staff)</t>
        </is>
      </c>
      <c r="B10" s="7" t="n">
        <v>0.0833</v>
      </c>
    </row>
    <row r="11">
      <c r="A11" t="inlineStr">
        <is>
          <t>bonus eligibility wage limit per month</t>
        </is>
      </c>
      <c r="B11" s="8" t="n">
        <v>21000</v>
      </c>
    </row>
    <row r="12">
      <c r="A12" t="inlineStr">
        <is>
          <t>TN Labour Welfare Fund employer per year</t>
        </is>
      </c>
      <c r="B12" s="8" t="n">
        <v>40</v>
      </c>
    </row>
    <row r="13">
      <c r="A13" t="inlineStr">
        <is>
          <t>EDLI + admin % of PF wage (employer)</t>
        </is>
      </c>
      <c r="B13" s="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7" customWidth="1" min="4" max="4"/>
    <col width="20" customWidth="1" min="5" max="5"/>
    <col width="37" customWidth="1" min="6" max="6"/>
    <col width="35" customWidth="1" min="7" max="7"/>
    <col width="12" customWidth="1" min="8" max="8"/>
    <col width="21" customWidth="1" min="9" max="9"/>
    <col width="22" customWidth="1" min="10" max="10"/>
    <col width="26" customWidth="1" min="11" max="11"/>
    <col width="23" customWidth="1" min="12" max="12"/>
    <col width="13" customWidth="1" min="13" max="13"/>
    <col width="23" customWidth="1" min="14" max="14"/>
    <col width="23" customWidth="1" min="15" max="15"/>
    <col width="27" customWidth="1" min="16" max="16"/>
    <col width="27" customWidth="1" min="17" max="17"/>
    <col width="30" customWidth="1" min="18" max="18"/>
  </cols>
  <sheetData>
    <row r="1">
      <c r="A1" s="1" t="inlineStr">
        <is>
          <t>Headcount plan (one row per employee or planned hire)</t>
        </is>
      </c>
    </row>
    <row r="2"/>
    <row r="3"/>
    <row r="4">
      <c r="A4" s="5" t="inlineStr">
        <is>
          <t>employee / role id</t>
        </is>
      </c>
      <c r="B4" s="5" t="inlineStr">
        <is>
          <t>location (Chennai / Coimbatore / Hosur / ...)</t>
        </is>
      </c>
      <c r="C4" s="5" t="inlineStr">
        <is>
          <t>department</t>
        </is>
      </c>
      <c r="D4" s="5" t="inlineStr">
        <is>
          <t>monthly gross</t>
        </is>
      </c>
      <c r="E4" s="5" t="inlineStr">
        <is>
          <t>basic % of gross</t>
        </is>
      </c>
      <c r="F4" s="5" t="inlineStr">
        <is>
          <t>start month no. (1 = K01 month 1)</t>
        </is>
      </c>
      <c r="G4" s="5" t="inlineStr">
        <is>
          <t>end month no. (blank = horizon)</t>
        </is>
      </c>
      <c r="H4" s="5" t="inlineStr">
        <is>
          <t>PF wage</t>
        </is>
      </c>
      <c r="I4" s="5" t="inlineStr">
        <is>
          <t>employer PF/month</t>
        </is>
      </c>
      <c r="J4" s="5" t="inlineStr">
        <is>
          <t>employer ESI/month</t>
        </is>
      </c>
      <c r="K4" s="5" t="inlineStr">
        <is>
          <t>gratuity accrual/month</t>
        </is>
      </c>
      <c r="L4" s="5" t="inlineStr">
        <is>
          <t>bonus accrual/month</t>
        </is>
      </c>
      <c r="M4" s="5" t="inlineStr">
        <is>
          <t>LWF/month</t>
        </is>
      </c>
      <c r="N4" s="5" t="inlineStr">
        <is>
          <t>loaded monthly cost</t>
        </is>
      </c>
      <c r="O4" s="5" t="inlineStr">
        <is>
          <t>months active in 12</t>
        </is>
      </c>
      <c r="P4" s="5" t="inlineStr">
        <is>
          <t>cost in first 12 months</t>
        </is>
      </c>
      <c r="Q4" s="5" t="inlineStr">
        <is>
          <t>employee PF/month (12%)</t>
        </is>
      </c>
      <c r="R4" s="5" t="inlineStr">
        <is>
          <t>employee ESI/month (0.75%)</t>
        </is>
      </c>
    </row>
    <row r="5">
      <c r="A5" s="10" t="inlineStr">
        <is>
          <t>E001</t>
        </is>
      </c>
      <c r="B5" s="10" t="inlineStr">
        <is>
          <t>Coimbatore</t>
        </is>
      </c>
      <c r="C5" s="10" t="inlineStr">
        <is>
          <t>Production</t>
        </is>
      </c>
      <c r="D5" s="8" t="n">
        <v>28000</v>
      </c>
      <c r="E5" s="11" t="n">
        <v>0.5</v>
      </c>
      <c r="F5" s="9" t="n">
        <v>1</v>
      </c>
      <c r="G5" s="9" t="n"/>
      <c r="H5" s="12">
        <f>IF(A5="","",D5*E5)</f>
        <v/>
      </c>
      <c r="I5" s="12">
        <f>IF(A5="","",IF(Rates!$B$6=1,MIN(H5,Rates!$B$5),H5)*(Rates!$B$4+Rates!$B$13))</f>
        <v/>
      </c>
      <c r="J5" s="12">
        <f>IF(A5="","",IF(D5&lt;=Rates!$B$8,D5*Rates!$B$7,0))</f>
        <v/>
      </c>
      <c r="K5" s="12">
        <f>IF(A5="","",H5*Rates!$B$9)</f>
        <v/>
      </c>
      <c r="L5" s="12">
        <f>IF(A5="","",IF(D5&lt;=Rates!$B$11,H5*Rates!$B$10,0))</f>
        <v/>
      </c>
      <c r="M5" s="12">
        <f>IF(A5="","",Rates!$B$12/12)</f>
        <v/>
      </c>
      <c r="N5" s="12">
        <f>IF(A5="","",D5+I5+J5+K5+L5+M5)</f>
        <v/>
      </c>
      <c r="O5" s="13">
        <f>IF(A5="","",MAX(0,MIN(12,IF(G5="",12,G5))-MAX(1,F5)+1))</f>
        <v/>
      </c>
      <c r="P5" s="12">
        <f>IF(A5="","",N5*O5)</f>
        <v/>
      </c>
      <c r="Q5" s="12">
        <f>IF(A5="","",0.12*IF(Rates!$B$6=1,MIN(H5,Rates!$B$5),H5))</f>
        <v/>
      </c>
      <c r="R5" s="12">
        <f>IF(A5="","",IF(D5&lt;=Rates!$B$8,D5*0.0075,0))</f>
        <v/>
      </c>
    </row>
    <row r="6">
      <c r="A6" s="10" t="inlineStr">
        <is>
          <t>E002</t>
        </is>
      </c>
      <c r="B6" s="10" t="inlineStr">
        <is>
          <t>Chennai</t>
        </is>
      </c>
      <c r="C6" s="10" t="inlineStr">
        <is>
          <t>Finance</t>
        </is>
      </c>
      <c r="D6" s="8" t="n">
        <v>85000</v>
      </c>
      <c r="E6" s="11" t="n">
        <v>0.4</v>
      </c>
      <c r="F6" s="9" t="n">
        <v>1</v>
      </c>
      <c r="G6" s="9" t="n"/>
      <c r="H6" s="12">
        <f>IF(A6="","",D6*E6)</f>
        <v/>
      </c>
      <c r="I6" s="12">
        <f>IF(A6="","",IF(Rates!$B$6=1,MIN(H6,Rates!$B$5),H6)*(Rates!$B$4+Rates!$B$13))</f>
        <v/>
      </c>
      <c r="J6" s="12">
        <f>IF(A6="","",IF(D6&lt;=Rates!$B$8,D6*Rates!$B$7,0))</f>
        <v/>
      </c>
      <c r="K6" s="12">
        <f>IF(A6="","",H6*Rates!$B$9)</f>
        <v/>
      </c>
      <c r="L6" s="12">
        <f>IF(A6="","",IF(D6&lt;=Rates!$B$11,H6*Rates!$B$10,0))</f>
        <v/>
      </c>
      <c r="M6" s="12">
        <f>IF(A6="","",Rates!$B$12/12)</f>
        <v/>
      </c>
      <c r="N6" s="12">
        <f>IF(A6="","",D6+I6+J6+K6+L6+M6)</f>
        <v/>
      </c>
      <c r="O6" s="13">
        <f>IF(A6="","",MAX(0,MIN(12,IF(G6="",12,G6))-MAX(1,F6)+1))</f>
        <v/>
      </c>
      <c r="P6" s="12">
        <f>IF(A6="","",N6*O6)</f>
        <v/>
      </c>
      <c r="Q6" s="12">
        <f>IF(A6="","",0.12*IF(Rates!$B$6=1,MIN(H6,Rates!$B$5),H6))</f>
        <v/>
      </c>
      <c r="R6" s="12">
        <f>IF(A6="","",IF(D6&lt;=Rates!$B$8,D6*0.0075,0))</f>
        <v/>
      </c>
    </row>
    <row r="7">
      <c r="A7" s="10" t="inlineStr">
        <is>
          <t>HIRE-01</t>
        </is>
      </c>
      <c r="B7" s="10" t="inlineStr">
        <is>
          <t>Hosur</t>
        </is>
      </c>
      <c r="C7" s="10" t="inlineStr">
        <is>
          <t>Sales</t>
        </is>
      </c>
      <c r="D7" s="8" t="n">
        <v>45000</v>
      </c>
      <c r="E7" s="11" t="n">
        <v>0.45</v>
      </c>
      <c r="F7" s="9" t="n">
        <v>4</v>
      </c>
      <c r="G7" s="9" t="n"/>
      <c r="H7" s="12">
        <f>IF(A7="","",D7*E7)</f>
        <v/>
      </c>
      <c r="I7" s="12">
        <f>IF(A7="","",IF(Rates!$B$6=1,MIN(H7,Rates!$B$5),H7)*(Rates!$B$4+Rates!$B$13))</f>
        <v/>
      </c>
      <c r="J7" s="12">
        <f>IF(A7="","",IF(D7&lt;=Rates!$B$8,D7*Rates!$B$7,0))</f>
        <v/>
      </c>
      <c r="K7" s="12">
        <f>IF(A7="","",H7*Rates!$B$9)</f>
        <v/>
      </c>
      <c r="L7" s="12">
        <f>IF(A7="","",IF(D7&lt;=Rates!$B$11,H7*Rates!$B$10,0))</f>
        <v/>
      </c>
      <c r="M7" s="12">
        <f>IF(A7="","",Rates!$B$12/12)</f>
        <v/>
      </c>
      <c r="N7" s="12">
        <f>IF(A7="","",D7+I7+J7+K7+L7+M7)</f>
        <v/>
      </c>
      <c r="O7" s="13">
        <f>IF(A7="","",MAX(0,MIN(12,IF(G7="",12,G7))-MAX(1,F7)+1))</f>
        <v/>
      </c>
      <c r="P7" s="12">
        <f>IF(A7="","",N7*O7)</f>
        <v/>
      </c>
      <c r="Q7" s="12">
        <f>IF(A7="","",0.12*IF(Rates!$B$6=1,MIN(H7,Rates!$B$5),H7))</f>
        <v/>
      </c>
      <c r="R7" s="12">
        <f>IF(A7="","",IF(D7&lt;=Rates!$B$8,D7*0.0075,0))</f>
        <v/>
      </c>
    </row>
    <row r="8">
      <c r="A8" s="10" t="n"/>
      <c r="B8" s="10" t="n"/>
      <c r="C8" s="10" t="n"/>
      <c r="D8" s="8" t="n"/>
      <c r="E8" s="11" t="n"/>
      <c r="F8" s="9" t="n"/>
      <c r="G8" s="9" t="n"/>
      <c r="H8" s="12">
        <f>IF(A8="","",D8*E8)</f>
        <v/>
      </c>
      <c r="I8" s="12">
        <f>IF(A8="","",IF(Rates!$B$6=1,MIN(H8,Rates!$B$5),H8)*(Rates!$B$4+Rates!$B$13))</f>
        <v/>
      </c>
      <c r="J8" s="12">
        <f>IF(A8="","",IF(D8&lt;=Rates!$B$8,D8*Rates!$B$7,0))</f>
        <v/>
      </c>
      <c r="K8" s="12">
        <f>IF(A8="","",H8*Rates!$B$9)</f>
        <v/>
      </c>
      <c r="L8" s="12">
        <f>IF(A8="","",IF(D8&lt;=Rates!$B$11,H8*Rates!$B$10,0))</f>
        <v/>
      </c>
      <c r="M8" s="12">
        <f>IF(A8="","",Rates!$B$12/12)</f>
        <v/>
      </c>
      <c r="N8" s="12">
        <f>IF(A8="","",D8+I8+J8+K8+L8+M8)</f>
        <v/>
      </c>
      <c r="O8" s="13">
        <f>IF(A8="","",MAX(0,MIN(12,IF(G8="",12,G8))-MAX(1,F8)+1))</f>
        <v/>
      </c>
      <c r="P8" s="12">
        <f>IF(A8="","",N8*O8)</f>
        <v/>
      </c>
      <c r="Q8" s="12">
        <f>IF(A8="","",0.12*IF(Rates!$B$6=1,MIN(H8,Rates!$B$5),H8))</f>
        <v/>
      </c>
      <c r="R8" s="12">
        <f>IF(A8="","",IF(D8&lt;=Rates!$B$8,D8*0.0075,0))</f>
        <v/>
      </c>
    </row>
    <row r="9">
      <c r="A9" s="10" t="n"/>
      <c r="B9" s="10" t="n"/>
      <c r="C9" s="10" t="n"/>
      <c r="D9" s="8" t="n"/>
      <c r="E9" s="11" t="n"/>
      <c r="F9" s="9" t="n"/>
      <c r="G9" s="9" t="n"/>
      <c r="H9" s="12">
        <f>IF(A9="","",D9*E9)</f>
        <v/>
      </c>
      <c r="I9" s="12">
        <f>IF(A9="","",IF(Rates!$B$6=1,MIN(H9,Rates!$B$5),H9)*(Rates!$B$4+Rates!$B$13))</f>
        <v/>
      </c>
      <c r="J9" s="12">
        <f>IF(A9="","",IF(D9&lt;=Rates!$B$8,D9*Rates!$B$7,0))</f>
        <v/>
      </c>
      <c r="K9" s="12">
        <f>IF(A9="","",H9*Rates!$B$9)</f>
        <v/>
      </c>
      <c r="L9" s="12">
        <f>IF(A9="","",IF(D9&lt;=Rates!$B$11,H9*Rates!$B$10,0))</f>
        <v/>
      </c>
      <c r="M9" s="12">
        <f>IF(A9="","",Rates!$B$12/12)</f>
        <v/>
      </c>
      <c r="N9" s="12">
        <f>IF(A9="","",D9+I9+J9+K9+L9+M9)</f>
        <v/>
      </c>
      <c r="O9" s="13">
        <f>IF(A9="","",MAX(0,MIN(12,IF(G9="",12,G9))-MAX(1,F9)+1))</f>
        <v/>
      </c>
      <c r="P9" s="12">
        <f>IF(A9="","",N9*O9)</f>
        <v/>
      </c>
      <c r="Q9" s="12">
        <f>IF(A9="","",0.12*IF(Rates!$B$6=1,MIN(H9,Rates!$B$5),H9))</f>
        <v/>
      </c>
      <c r="R9" s="12">
        <f>IF(A9="","",IF(D9&lt;=Rates!$B$8,D9*0.0075,0))</f>
        <v/>
      </c>
    </row>
    <row r="10">
      <c r="A10" s="10" t="n"/>
      <c r="B10" s="10" t="n"/>
      <c r="C10" s="10" t="n"/>
      <c r="D10" s="8" t="n"/>
      <c r="E10" s="11" t="n"/>
      <c r="F10" s="9" t="n"/>
      <c r="G10" s="9" t="n"/>
      <c r="H10" s="12">
        <f>IF(A10="","",D10*E10)</f>
        <v/>
      </c>
      <c r="I10" s="12">
        <f>IF(A10="","",IF(Rates!$B$6=1,MIN(H10,Rates!$B$5),H10)*(Rates!$B$4+Rates!$B$13))</f>
        <v/>
      </c>
      <c r="J10" s="12">
        <f>IF(A10="","",IF(D10&lt;=Rates!$B$8,D10*Rates!$B$7,0))</f>
        <v/>
      </c>
      <c r="K10" s="12">
        <f>IF(A10="","",H10*Rates!$B$9)</f>
        <v/>
      </c>
      <c r="L10" s="12">
        <f>IF(A10="","",IF(D10&lt;=Rates!$B$11,H10*Rates!$B$10,0))</f>
        <v/>
      </c>
      <c r="M10" s="12">
        <f>IF(A10="","",Rates!$B$12/12)</f>
        <v/>
      </c>
      <c r="N10" s="12">
        <f>IF(A10="","",D10+I10+J10+K10+L10+M10)</f>
        <v/>
      </c>
      <c r="O10" s="13">
        <f>IF(A10="","",MAX(0,MIN(12,IF(G10="",12,G10))-MAX(1,F10)+1))</f>
        <v/>
      </c>
      <c r="P10" s="12">
        <f>IF(A10="","",N10*O10)</f>
        <v/>
      </c>
      <c r="Q10" s="12">
        <f>IF(A10="","",0.12*IF(Rates!$B$6=1,MIN(H10,Rates!$B$5),H10))</f>
        <v/>
      </c>
      <c r="R10" s="12">
        <f>IF(A10="","",IF(D10&lt;=Rates!$B$8,D10*0.0075,0))</f>
        <v/>
      </c>
    </row>
    <row r="11">
      <c r="A11" s="10" t="n"/>
      <c r="B11" s="10" t="n"/>
      <c r="C11" s="10" t="n"/>
      <c r="D11" s="8" t="n"/>
      <c r="E11" s="11" t="n"/>
      <c r="F11" s="9" t="n"/>
      <c r="G11" s="9" t="n"/>
      <c r="H11" s="12">
        <f>IF(A11="","",D11*E11)</f>
        <v/>
      </c>
      <c r="I11" s="12">
        <f>IF(A11="","",IF(Rates!$B$6=1,MIN(H11,Rates!$B$5),H11)*(Rates!$B$4+Rates!$B$13))</f>
        <v/>
      </c>
      <c r="J11" s="12">
        <f>IF(A11="","",IF(D11&lt;=Rates!$B$8,D11*Rates!$B$7,0))</f>
        <v/>
      </c>
      <c r="K11" s="12">
        <f>IF(A11="","",H11*Rates!$B$9)</f>
        <v/>
      </c>
      <c r="L11" s="12">
        <f>IF(A11="","",IF(D11&lt;=Rates!$B$11,H11*Rates!$B$10,0))</f>
        <v/>
      </c>
      <c r="M11" s="12">
        <f>IF(A11="","",Rates!$B$12/12)</f>
        <v/>
      </c>
      <c r="N11" s="12">
        <f>IF(A11="","",D11+I11+J11+K11+L11+M11)</f>
        <v/>
      </c>
      <c r="O11" s="13">
        <f>IF(A11="","",MAX(0,MIN(12,IF(G11="",12,G11))-MAX(1,F11)+1))</f>
        <v/>
      </c>
      <c r="P11" s="12">
        <f>IF(A11="","",N11*O11)</f>
        <v/>
      </c>
      <c r="Q11" s="12">
        <f>IF(A11="","",0.12*IF(Rates!$B$6=1,MIN(H11,Rates!$B$5),H11))</f>
        <v/>
      </c>
      <c r="R11" s="12">
        <f>IF(A11="","",IF(D11&lt;=Rates!$B$8,D11*0.0075,0))</f>
        <v/>
      </c>
    </row>
    <row r="12">
      <c r="A12" s="10" t="n"/>
      <c r="B12" s="10" t="n"/>
      <c r="C12" s="10" t="n"/>
      <c r="D12" s="8" t="n"/>
      <c r="E12" s="11" t="n"/>
      <c r="F12" s="9" t="n"/>
      <c r="G12" s="9" t="n"/>
      <c r="H12" s="12">
        <f>IF(A12="","",D12*E12)</f>
        <v/>
      </c>
      <c r="I12" s="12">
        <f>IF(A12="","",IF(Rates!$B$6=1,MIN(H12,Rates!$B$5),H12)*(Rates!$B$4+Rates!$B$13))</f>
        <v/>
      </c>
      <c r="J12" s="12">
        <f>IF(A12="","",IF(D12&lt;=Rates!$B$8,D12*Rates!$B$7,0))</f>
        <v/>
      </c>
      <c r="K12" s="12">
        <f>IF(A12="","",H12*Rates!$B$9)</f>
        <v/>
      </c>
      <c r="L12" s="12">
        <f>IF(A12="","",IF(D12&lt;=Rates!$B$11,H12*Rates!$B$10,0))</f>
        <v/>
      </c>
      <c r="M12" s="12">
        <f>IF(A12="","",Rates!$B$12/12)</f>
        <v/>
      </c>
      <c r="N12" s="12">
        <f>IF(A12="","",D12+I12+J12+K12+L12+M12)</f>
        <v/>
      </c>
      <c r="O12" s="13">
        <f>IF(A12="","",MAX(0,MIN(12,IF(G12="",12,G12))-MAX(1,F12)+1))</f>
        <v/>
      </c>
      <c r="P12" s="12">
        <f>IF(A12="","",N12*O12)</f>
        <v/>
      </c>
      <c r="Q12" s="12">
        <f>IF(A12="","",0.12*IF(Rates!$B$6=1,MIN(H12,Rates!$B$5),H12))</f>
        <v/>
      </c>
      <c r="R12" s="12">
        <f>IF(A12="","",IF(D12&lt;=Rates!$B$8,D12*0.0075,0))</f>
        <v/>
      </c>
    </row>
    <row r="13">
      <c r="A13" s="10" t="n"/>
      <c r="B13" s="10" t="n"/>
      <c r="C13" s="10" t="n"/>
      <c r="D13" s="8" t="n"/>
      <c r="E13" s="11" t="n"/>
      <c r="F13" s="9" t="n"/>
      <c r="G13" s="9" t="n"/>
      <c r="H13" s="12">
        <f>IF(A13="","",D13*E13)</f>
        <v/>
      </c>
      <c r="I13" s="12">
        <f>IF(A13="","",IF(Rates!$B$6=1,MIN(H13,Rates!$B$5),H13)*(Rates!$B$4+Rates!$B$13))</f>
        <v/>
      </c>
      <c r="J13" s="12">
        <f>IF(A13="","",IF(D13&lt;=Rates!$B$8,D13*Rates!$B$7,0))</f>
        <v/>
      </c>
      <c r="K13" s="12">
        <f>IF(A13="","",H13*Rates!$B$9)</f>
        <v/>
      </c>
      <c r="L13" s="12">
        <f>IF(A13="","",IF(D13&lt;=Rates!$B$11,H13*Rates!$B$10,0))</f>
        <v/>
      </c>
      <c r="M13" s="12">
        <f>IF(A13="","",Rates!$B$12/12)</f>
        <v/>
      </c>
      <c r="N13" s="12">
        <f>IF(A13="","",D13+I13+J13+K13+L13+M13)</f>
        <v/>
      </c>
      <c r="O13" s="13">
        <f>IF(A13="","",MAX(0,MIN(12,IF(G13="",12,G13))-MAX(1,F13)+1))</f>
        <v/>
      </c>
      <c r="P13" s="12">
        <f>IF(A13="","",N13*O13)</f>
        <v/>
      </c>
      <c r="Q13" s="12">
        <f>IF(A13="","",0.12*IF(Rates!$B$6=1,MIN(H13,Rates!$B$5),H13))</f>
        <v/>
      </c>
      <c r="R13" s="12">
        <f>IF(A13="","",IF(D13&lt;=Rates!$B$8,D13*0.0075,0))</f>
        <v/>
      </c>
    </row>
    <row r="14">
      <c r="A14" s="10" t="n"/>
      <c r="B14" s="10" t="n"/>
      <c r="C14" s="10" t="n"/>
      <c r="D14" s="8" t="n"/>
      <c r="E14" s="11" t="n"/>
      <c r="F14" s="9" t="n"/>
      <c r="G14" s="9" t="n"/>
      <c r="H14" s="12">
        <f>IF(A14="","",D14*E14)</f>
        <v/>
      </c>
      <c r="I14" s="12">
        <f>IF(A14="","",IF(Rates!$B$6=1,MIN(H14,Rates!$B$5),H14)*(Rates!$B$4+Rates!$B$13))</f>
        <v/>
      </c>
      <c r="J14" s="12">
        <f>IF(A14="","",IF(D14&lt;=Rates!$B$8,D14*Rates!$B$7,0))</f>
        <v/>
      </c>
      <c r="K14" s="12">
        <f>IF(A14="","",H14*Rates!$B$9)</f>
        <v/>
      </c>
      <c r="L14" s="12">
        <f>IF(A14="","",IF(D14&lt;=Rates!$B$11,H14*Rates!$B$10,0))</f>
        <v/>
      </c>
      <c r="M14" s="12">
        <f>IF(A14="","",Rates!$B$12/12)</f>
        <v/>
      </c>
      <c r="N14" s="12">
        <f>IF(A14="","",D14+I14+J14+K14+L14+M14)</f>
        <v/>
      </c>
      <c r="O14" s="13">
        <f>IF(A14="","",MAX(0,MIN(12,IF(G14="",12,G14))-MAX(1,F14)+1))</f>
        <v/>
      </c>
      <c r="P14" s="12">
        <f>IF(A14="","",N14*O14)</f>
        <v/>
      </c>
      <c r="Q14" s="12">
        <f>IF(A14="","",0.12*IF(Rates!$B$6=1,MIN(H14,Rates!$B$5),H14))</f>
        <v/>
      </c>
      <c r="R14" s="12">
        <f>IF(A14="","",IF(D14&lt;=Rates!$B$8,D14*0.0075,0))</f>
        <v/>
      </c>
    </row>
    <row r="15">
      <c r="A15" s="10" t="n"/>
      <c r="B15" s="10" t="n"/>
      <c r="C15" s="10" t="n"/>
      <c r="D15" s="8" t="n"/>
      <c r="E15" s="11" t="n"/>
      <c r="F15" s="9" t="n"/>
      <c r="G15" s="9" t="n"/>
      <c r="H15" s="12">
        <f>IF(A15="","",D15*E15)</f>
        <v/>
      </c>
      <c r="I15" s="12">
        <f>IF(A15="","",IF(Rates!$B$6=1,MIN(H15,Rates!$B$5),H15)*(Rates!$B$4+Rates!$B$13))</f>
        <v/>
      </c>
      <c r="J15" s="12">
        <f>IF(A15="","",IF(D15&lt;=Rates!$B$8,D15*Rates!$B$7,0))</f>
        <v/>
      </c>
      <c r="K15" s="12">
        <f>IF(A15="","",H15*Rates!$B$9)</f>
        <v/>
      </c>
      <c r="L15" s="12">
        <f>IF(A15="","",IF(D15&lt;=Rates!$B$11,H15*Rates!$B$10,0))</f>
        <v/>
      </c>
      <c r="M15" s="12">
        <f>IF(A15="","",Rates!$B$12/12)</f>
        <v/>
      </c>
      <c r="N15" s="12">
        <f>IF(A15="","",D15+I15+J15+K15+L15+M15)</f>
        <v/>
      </c>
      <c r="O15" s="13">
        <f>IF(A15="","",MAX(0,MIN(12,IF(G15="",12,G15))-MAX(1,F15)+1))</f>
        <v/>
      </c>
      <c r="P15" s="12">
        <f>IF(A15="","",N15*O15)</f>
        <v/>
      </c>
      <c r="Q15" s="12">
        <f>IF(A15="","",0.12*IF(Rates!$B$6=1,MIN(H15,Rates!$B$5),H15))</f>
        <v/>
      </c>
      <c r="R15" s="12">
        <f>IF(A15="","",IF(D15&lt;=Rates!$B$8,D15*0.0075,0))</f>
        <v/>
      </c>
    </row>
    <row r="16">
      <c r="A16" s="10" t="n"/>
      <c r="B16" s="10" t="n"/>
      <c r="C16" s="10" t="n"/>
      <c r="D16" s="8" t="n"/>
      <c r="E16" s="11" t="n"/>
      <c r="F16" s="9" t="n"/>
      <c r="G16" s="9" t="n"/>
      <c r="H16" s="12">
        <f>IF(A16="","",D16*E16)</f>
        <v/>
      </c>
      <c r="I16" s="12">
        <f>IF(A16="","",IF(Rates!$B$6=1,MIN(H16,Rates!$B$5),H16)*(Rates!$B$4+Rates!$B$13))</f>
        <v/>
      </c>
      <c r="J16" s="12">
        <f>IF(A16="","",IF(D16&lt;=Rates!$B$8,D16*Rates!$B$7,0))</f>
        <v/>
      </c>
      <c r="K16" s="12">
        <f>IF(A16="","",H16*Rates!$B$9)</f>
        <v/>
      </c>
      <c r="L16" s="12">
        <f>IF(A16="","",IF(D16&lt;=Rates!$B$11,H16*Rates!$B$10,0))</f>
        <v/>
      </c>
      <c r="M16" s="12">
        <f>IF(A16="","",Rates!$B$12/12)</f>
        <v/>
      </c>
      <c r="N16" s="12">
        <f>IF(A16="","",D16+I16+J16+K16+L16+M16)</f>
        <v/>
      </c>
      <c r="O16" s="13">
        <f>IF(A16="","",MAX(0,MIN(12,IF(G16="",12,G16))-MAX(1,F16)+1))</f>
        <v/>
      </c>
      <c r="P16" s="12">
        <f>IF(A16="","",N16*O16)</f>
        <v/>
      </c>
      <c r="Q16" s="12">
        <f>IF(A16="","",0.12*IF(Rates!$B$6=1,MIN(H16,Rates!$B$5),H16))</f>
        <v/>
      </c>
      <c r="R16" s="12">
        <f>IF(A16="","",IF(D16&lt;=Rates!$B$8,D16*0.0075,0))</f>
        <v/>
      </c>
    </row>
    <row r="17">
      <c r="A17" s="10" t="n"/>
      <c r="B17" s="10" t="n"/>
      <c r="C17" s="10" t="n"/>
      <c r="D17" s="8" t="n"/>
      <c r="E17" s="11" t="n"/>
      <c r="F17" s="9" t="n"/>
      <c r="G17" s="9" t="n"/>
      <c r="H17" s="12">
        <f>IF(A17="","",D17*E17)</f>
        <v/>
      </c>
      <c r="I17" s="12">
        <f>IF(A17="","",IF(Rates!$B$6=1,MIN(H17,Rates!$B$5),H17)*(Rates!$B$4+Rates!$B$13))</f>
        <v/>
      </c>
      <c r="J17" s="12">
        <f>IF(A17="","",IF(D17&lt;=Rates!$B$8,D17*Rates!$B$7,0))</f>
        <v/>
      </c>
      <c r="K17" s="12">
        <f>IF(A17="","",H17*Rates!$B$9)</f>
        <v/>
      </c>
      <c r="L17" s="12">
        <f>IF(A17="","",IF(D17&lt;=Rates!$B$11,H17*Rates!$B$10,0))</f>
        <v/>
      </c>
      <c r="M17" s="12">
        <f>IF(A17="","",Rates!$B$12/12)</f>
        <v/>
      </c>
      <c r="N17" s="12">
        <f>IF(A17="","",D17+I17+J17+K17+L17+M17)</f>
        <v/>
      </c>
      <c r="O17" s="13">
        <f>IF(A17="","",MAX(0,MIN(12,IF(G17="",12,G17))-MAX(1,F17)+1))</f>
        <v/>
      </c>
      <c r="P17" s="12">
        <f>IF(A17="","",N17*O17)</f>
        <v/>
      </c>
      <c r="Q17" s="12">
        <f>IF(A17="","",0.12*IF(Rates!$B$6=1,MIN(H17,Rates!$B$5),H17))</f>
        <v/>
      </c>
      <c r="R17" s="12">
        <f>IF(A17="","",IF(D17&lt;=Rates!$B$8,D17*0.0075,0))</f>
        <v/>
      </c>
    </row>
    <row r="18">
      <c r="A18" s="10" t="n"/>
      <c r="B18" s="10" t="n"/>
      <c r="C18" s="10" t="n"/>
      <c r="D18" s="8" t="n"/>
      <c r="E18" s="11" t="n"/>
      <c r="F18" s="9" t="n"/>
      <c r="G18" s="9" t="n"/>
      <c r="H18" s="12">
        <f>IF(A18="","",D18*E18)</f>
        <v/>
      </c>
      <c r="I18" s="12">
        <f>IF(A18="","",IF(Rates!$B$6=1,MIN(H18,Rates!$B$5),H18)*(Rates!$B$4+Rates!$B$13))</f>
        <v/>
      </c>
      <c r="J18" s="12">
        <f>IF(A18="","",IF(D18&lt;=Rates!$B$8,D18*Rates!$B$7,0))</f>
        <v/>
      </c>
      <c r="K18" s="12">
        <f>IF(A18="","",H18*Rates!$B$9)</f>
        <v/>
      </c>
      <c r="L18" s="12">
        <f>IF(A18="","",IF(D18&lt;=Rates!$B$11,H18*Rates!$B$10,0))</f>
        <v/>
      </c>
      <c r="M18" s="12">
        <f>IF(A18="","",Rates!$B$12/12)</f>
        <v/>
      </c>
      <c r="N18" s="12">
        <f>IF(A18="","",D18+I18+J18+K18+L18+M18)</f>
        <v/>
      </c>
      <c r="O18" s="13">
        <f>IF(A18="","",MAX(0,MIN(12,IF(G18="",12,G18))-MAX(1,F18)+1))</f>
        <v/>
      </c>
      <c r="P18" s="12">
        <f>IF(A18="","",N18*O18)</f>
        <v/>
      </c>
      <c r="Q18" s="12">
        <f>IF(A18="","",0.12*IF(Rates!$B$6=1,MIN(H18,Rates!$B$5),H18))</f>
        <v/>
      </c>
      <c r="R18" s="12">
        <f>IF(A18="","",IF(D18&lt;=Rates!$B$8,D18*0.0075,0))</f>
        <v/>
      </c>
    </row>
    <row r="19">
      <c r="A19" s="10" t="n"/>
      <c r="B19" s="10" t="n"/>
      <c r="C19" s="10" t="n"/>
      <c r="D19" s="8" t="n"/>
      <c r="E19" s="11" t="n"/>
      <c r="F19" s="9" t="n"/>
      <c r="G19" s="9" t="n"/>
      <c r="H19" s="12">
        <f>IF(A19="","",D19*E19)</f>
        <v/>
      </c>
      <c r="I19" s="12">
        <f>IF(A19="","",IF(Rates!$B$6=1,MIN(H19,Rates!$B$5),H19)*(Rates!$B$4+Rates!$B$13))</f>
        <v/>
      </c>
      <c r="J19" s="12">
        <f>IF(A19="","",IF(D19&lt;=Rates!$B$8,D19*Rates!$B$7,0))</f>
        <v/>
      </c>
      <c r="K19" s="12">
        <f>IF(A19="","",H19*Rates!$B$9)</f>
        <v/>
      </c>
      <c r="L19" s="12">
        <f>IF(A19="","",IF(D19&lt;=Rates!$B$11,H19*Rates!$B$10,0))</f>
        <v/>
      </c>
      <c r="M19" s="12">
        <f>IF(A19="","",Rates!$B$12/12)</f>
        <v/>
      </c>
      <c r="N19" s="12">
        <f>IF(A19="","",D19+I19+J19+K19+L19+M19)</f>
        <v/>
      </c>
      <c r="O19" s="13">
        <f>IF(A19="","",MAX(0,MIN(12,IF(G19="",12,G19))-MAX(1,F19)+1))</f>
        <v/>
      </c>
      <c r="P19" s="12">
        <f>IF(A19="","",N19*O19)</f>
        <v/>
      </c>
      <c r="Q19" s="12">
        <f>IF(A19="","",0.12*IF(Rates!$B$6=1,MIN(H19,Rates!$B$5),H19))</f>
        <v/>
      </c>
      <c r="R19" s="12">
        <f>IF(A19="","",IF(D19&lt;=Rates!$B$8,D19*0.0075,0))</f>
        <v/>
      </c>
    </row>
    <row r="20">
      <c r="A20" s="10" t="n"/>
      <c r="B20" s="10" t="n"/>
      <c r="C20" s="10" t="n"/>
      <c r="D20" s="8" t="n"/>
      <c r="E20" s="11" t="n"/>
      <c r="F20" s="9" t="n"/>
      <c r="G20" s="9" t="n"/>
      <c r="H20" s="12">
        <f>IF(A20="","",D20*E20)</f>
        <v/>
      </c>
      <c r="I20" s="12">
        <f>IF(A20="","",IF(Rates!$B$6=1,MIN(H20,Rates!$B$5),H20)*(Rates!$B$4+Rates!$B$13))</f>
        <v/>
      </c>
      <c r="J20" s="12">
        <f>IF(A20="","",IF(D20&lt;=Rates!$B$8,D20*Rates!$B$7,0))</f>
        <v/>
      </c>
      <c r="K20" s="12">
        <f>IF(A20="","",H20*Rates!$B$9)</f>
        <v/>
      </c>
      <c r="L20" s="12">
        <f>IF(A20="","",IF(D20&lt;=Rates!$B$11,H20*Rates!$B$10,0))</f>
        <v/>
      </c>
      <c r="M20" s="12">
        <f>IF(A20="","",Rates!$B$12/12)</f>
        <v/>
      </c>
      <c r="N20" s="12">
        <f>IF(A20="","",D20+I20+J20+K20+L20+M20)</f>
        <v/>
      </c>
      <c r="O20" s="13">
        <f>IF(A20="","",MAX(0,MIN(12,IF(G20="",12,G20))-MAX(1,F20)+1))</f>
        <v/>
      </c>
      <c r="P20" s="12">
        <f>IF(A20="","",N20*O20)</f>
        <v/>
      </c>
      <c r="Q20" s="12">
        <f>IF(A20="","",0.12*IF(Rates!$B$6=1,MIN(H20,Rates!$B$5),H20))</f>
        <v/>
      </c>
      <c r="R20" s="12">
        <f>IF(A20="","",IF(D20&lt;=Rates!$B$8,D20*0.0075,0))</f>
        <v/>
      </c>
    </row>
    <row r="21">
      <c r="A21" s="10" t="n"/>
      <c r="B21" s="10" t="n"/>
      <c r="C21" s="10" t="n"/>
      <c r="D21" s="8" t="n"/>
      <c r="E21" s="11" t="n"/>
      <c r="F21" s="9" t="n"/>
      <c r="G21" s="9" t="n"/>
      <c r="H21" s="12">
        <f>IF(A21="","",D21*E21)</f>
        <v/>
      </c>
      <c r="I21" s="12">
        <f>IF(A21="","",IF(Rates!$B$6=1,MIN(H21,Rates!$B$5),H21)*(Rates!$B$4+Rates!$B$13))</f>
        <v/>
      </c>
      <c r="J21" s="12">
        <f>IF(A21="","",IF(D21&lt;=Rates!$B$8,D21*Rates!$B$7,0))</f>
        <v/>
      </c>
      <c r="K21" s="12">
        <f>IF(A21="","",H21*Rates!$B$9)</f>
        <v/>
      </c>
      <c r="L21" s="12">
        <f>IF(A21="","",IF(D21&lt;=Rates!$B$11,H21*Rates!$B$10,0))</f>
        <v/>
      </c>
      <c r="M21" s="12">
        <f>IF(A21="","",Rates!$B$12/12)</f>
        <v/>
      </c>
      <c r="N21" s="12">
        <f>IF(A21="","",D21+I21+J21+K21+L21+M21)</f>
        <v/>
      </c>
      <c r="O21" s="13">
        <f>IF(A21="","",MAX(0,MIN(12,IF(G21="",12,G21))-MAX(1,F21)+1))</f>
        <v/>
      </c>
      <c r="P21" s="12">
        <f>IF(A21="","",N21*O21)</f>
        <v/>
      </c>
      <c r="Q21" s="12">
        <f>IF(A21="","",0.12*IF(Rates!$B$6=1,MIN(H21,Rates!$B$5),H21))</f>
        <v/>
      </c>
      <c r="R21" s="12">
        <f>IF(A21="","",IF(D21&lt;=Rates!$B$8,D21*0.0075,0))</f>
        <v/>
      </c>
    </row>
    <row r="22">
      <c r="A22" s="10" t="n"/>
      <c r="B22" s="10" t="n"/>
      <c r="C22" s="10" t="n"/>
      <c r="D22" s="8" t="n"/>
      <c r="E22" s="11" t="n"/>
      <c r="F22" s="9" t="n"/>
      <c r="G22" s="9" t="n"/>
      <c r="H22" s="12">
        <f>IF(A22="","",D22*E22)</f>
        <v/>
      </c>
      <c r="I22" s="12">
        <f>IF(A22="","",IF(Rates!$B$6=1,MIN(H22,Rates!$B$5),H22)*(Rates!$B$4+Rates!$B$13))</f>
        <v/>
      </c>
      <c r="J22" s="12">
        <f>IF(A22="","",IF(D22&lt;=Rates!$B$8,D22*Rates!$B$7,0))</f>
        <v/>
      </c>
      <c r="K22" s="12">
        <f>IF(A22="","",H22*Rates!$B$9)</f>
        <v/>
      </c>
      <c r="L22" s="12">
        <f>IF(A22="","",IF(D22&lt;=Rates!$B$11,H22*Rates!$B$10,0))</f>
        <v/>
      </c>
      <c r="M22" s="12">
        <f>IF(A22="","",Rates!$B$12/12)</f>
        <v/>
      </c>
      <c r="N22" s="12">
        <f>IF(A22="","",D22+I22+J22+K22+L22+M22)</f>
        <v/>
      </c>
      <c r="O22" s="13">
        <f>IF(A22="","",MAX(0,MIN(12,IF(G22="",12,G22))-MAX(1,F22)+1))</f>
        <v/>
      </c>
      <c r="P22" s="12">
        <f>IF(A22="","",N22*O22)</f>
        <v/>
      </c>
      <c r="Q22" s="12">
        <f>IF(A22="","",0.12*IF(Rates!$B$6=1,MIN(H22,Rates!$B$5),H22))</f>
        <v/>
      </c>
      <c r="R22" s="12">
        <f>IF(A22="","",IF(D22&lt;=Rates!$B$8,D22*0.0075,0))</f>
        <v/>
      </c>
    </row>
    <row r="23">
      <c r="A23" s="10" t="n"/>
      <c r="B23" s="10" t="n"/>
      <c r="C23" s="10" t="n"/>
      <c r="D23" s="8" t="n"/>
      <c r="E23" s="11" t="n"/>
      <c r="F23" s="9" t="n"/>
      <c r="G23" s="9" t="n"/>
      <c r="H23" s="12">
        <f>IF(A23="","",D23*E23)</f>
        <v/>
      </c>
      <c r="I23" s="12">
        <f>IF(A23="","",IF(Rates!$B$6=1,MIN(H23,Rates!$B$5),H23)*(Rates!$B$4+Rates!$B$13))</f>
        <v/>
      </c>
      <c r="J23" s="12">
        <f>IF(A23="","",IF(D23&lt;=Rates!$B$8,D23*Rates!$B$7,0))</f>
        <v/>
      </c>
      <c r="K23" s="12">
        <f>IF(A23="","",H23*Rates!$B$9)</f>
        <v/>
      </c>
      <c r="L23" s="12">
        <f>IF(A23="","",IF(D23&lt;=Rates!$B$11,H23*Rates!$B$10,0))</f>
        <v/>
      </c>
      <c r="M23" s="12">
        <f>IF(A23="","",Rates!$B$12/12)</f>
        <v/>
      </c>
      <c r="N23" s="12">
        <f>IF(A23="","",D23+I23+J23+K23+L23+M23)</f>
        <v/>
      </c>
      <c r="O23" s="13">
        <f>IF(A23="","",MAX(0,MIN(12,IF(G23="",12,G23))-MAX(1,F23)+1))</f>
        <v/>
      </c>
      <c r="P23" s="12">
        <f>IF(A23="","",N23*O23)</f>
        <v/>
      </c>
      <c r="Q23" s="12">
        <f>IF(A23="","",0.12*IF(Rates!$B$6=1,MIN(H23,Rates!$B$5),H23))</f>
        <v/>
      </c>
      <c r="R23" s="12">
        <f>IF(A23="","",IF(D23&lt;=Rates!$B$8,D23*0.0075,0))</f>
        <v/>
      </c>
    </row>
    <row r="24">
      <c r="A24" s="10" t="n"/>
      <c r="B24" s="10" t="n"/>
      <c r="C24" s="10" t="n"/>
      <c r="D24" s="8" t="n"/>
      <c r="E24" s="11" t="n"/>
      <c r="F24" s="9" t="n"/>
      <c r="G24" s="9" t="n"/>
      <c r="H24" s="12">
        <f>IF(A24="","",D24*E24)</f>
        <v/>
      </c>
      <c r="I24" s="12">
        <f>IF(A24="","",IF(Rates!$B$6=1,MIN(H24,Rates!$B$5),H24)*(Rates!$B$4+Rates!$B$13))</f>
        <v/>
      </c>
      <c r="J24" s="12">
        <f>IF(A24="","",IF(D24&lt;=Rates!$B$8,D24*Rates!$B$7,0))</f>
        <v/>
      </c>
      <c r="K24" s="12">
        <f>IF(A24="","",H24*Rates!$B$9)</f>
        <v/>
      </c>
      <c r="L24" s="12">
        <f>IF(A24="","",IF(D24&lt;=Rates!$B$11,H24*Rates!$B$10,0))</f>
        <v/>
      </c>
      <c r="M24" s="12">
        <f>IF(A24="","",Rates!$B$12/12)</f>
        <v/>
      </c>
      <c r="N24" s="12">
        <f>IF(A24="","",D24+I24+J24+K24+L24+M24)</f>
        <v/>
      </c>
      <c r="O24" s="13">
        <f>IF(A24="","",MAX(0,MIN(12,IF(G24="",12,G24))-MAX(1,F24)+1))</f>
        <v/>
      </c>
      <c r="P24" s="12">
        <f>IF(A24="","",N24*O24)</f>
        <v/>
      </c>
      <c r="Q24" s="12">
        <f>IF(A24="","",0.12*IF(Rates!$B$6=1,MIN(H24,Rates!$B$5),H24))</f>
        <v/>
      </c>
      <c r="R24" s="12">
        <f>IF(A24="","",IF(D24&lt;=Rates!$B$8,D24*0.0075,0))</f>
        <v/>
      </c>
    </row>
    <row r="25">
      <c r="A25" s="10" t="n"/>
      <c r="B25" s="10" t="n"/>
      <c r="C25" s="10" t="n"/>
      <c r="D25" s="8" t="n"/>
      <c r="E25" s="11" t="n"/>
      <c r="F25" s="9" t="n"/>
      <c r="G25" s="9" t="n"/>
      <c r="H25" s="12">
        <f>IF(A25="","",D25*E25)</f>
        <v/>
      </c>
      <c r="I25" s="12">
        <f>IF(A25="","",IF(Rates!$B$6=1,MIN(H25,Rates!$B$5),H25)*(Rates!$B$4+Rates!$B$13))</f>
        <v/>
      </c>
      <c r="J25" s="12">
        <f>IF(A25="","",IF(D25&lt;=Rates!$B$8,D25*Rates!$B$7,0))</f>
        <v/>
      </c>
      <c r="K25" s="12">
        <f>IF(A25="","",H25*Rates!$B$9)</f>
        <v/>
      </c>
      <c r="L25" s="12">
        <f>IF(A25="","",IF(D25&lt;=Rates!$B$11,H25*Rates!$B$10,0))</f>
        <v/>
      </c>
      <c r="M25" s="12">
        <f>IF(A25="","",Rates!$B$12/12)</f>
        <v/>
      </c>
      <c r="N25" s="12">
        <f>IF(A25="","",D25+I25+J25+K25+L25+M25)</f>
        <v/>
      </c>
      <c r="O25" s="13">
        <f>IF(A25="","",MAX(0,MIN(12,IF(G25="",12,G25))-MAX(1,F25)+1))</f>
        <v/>
      </c>
      <c r="P25" s="12">
        <f>IF(A25="","",N25*O25)</f>
        <v/>
      </c>
      <c r="Q25" s="12">
        <f>IF(A25="","",0.12*IF(Rates!$B$6=1,MIN(H25,Rates!$B$5),H25))</f>
        <v/>
      </c>
      <c r="R25" s="12">
        <f>IF(A25="","",IF(D25&lt;=Rates!$B$8,D25*0.0075,0))</f>
        <v/>
      </c>
    </row>
    <row r="26">
      <c r="A26" s="10" t="n"/>
      <c r="B26" s="10" t="n"/>
      <c r="C26" s="10" t="n"/>
      <c r="D26" s="8" t="n"/>
      <c r="E26" s="11" t="n"/>
      <c r="F26" s="9" t="n"/>
      <c r="G26" s="9" t="n"/>
      <c r="H26" s="12">
        <f>IF(A26="","",D26*E26)</f>
        <v/>
      </c>
      <c r="I26" s="12">
        <f>IF(A26="","",IF(Rates!$B$6=1,MIN(H26,Rates!$B$5),H26)*(Rates!$B$4+Rates!$B$13))</f>
        <v/>
      </c>
      <c r="J26" s="12">
        <f>IF(A26="","",IF(D26&lt;=Rates!$B$8,D26*Rates!$B$7,0))</f>
        <v/>
      </c>
      <c r="K26" s="12">
        <f>IF(A26="","",H26*Rates!$B$9)</f>
        <v/>
      </c>
      <c r="L26" s="12">
        <f>IF(A26="","",IF(D26&lt;=Rates!$B$11,H26*Rates!$B$10,0))</f>
        <v/>
      </c>
      <c r="M26" s="12">
        <f>IF(A26="","",Rates!$B$12/12)</f>
        <v/>
      </c>
      <c r="N26" s="12">
        <f>IF(A26="","",D26+I26+J26+K26+L26+M26)</f>
        <v/>
      </c>
      <c r="O26" s="13">
        <f>IF(A26="","",MAX(0,MIN(12,IF(G26="",12,G26))-MAX(1,F26)+1))</f>
        <v/>
      </c>
      <c r="P26" s="12">
        <f>IF(A26="","",N26*O26)</f>
        <v/>
      </c>
      <c r="Q26" s="12">
        <f>IF(A26="","",0.12*IF(Rates!$B$6=1,MIN(H26,Rates!$B$5),H26))</f>
        <v/>
      </c>
      <c r="R26" s="12">
        <f>IF(A26="","",IF(D26&lt;=Rates!$B$8,D26*0.0075,0))</f>
        <v/>
      </c>
    </row>
    <row r="27">
      <c r="A27" s="10" t="n"/>
      <c r="B27" s="10" t="n"/>
      <c r="C27" s="10" t="n"/>
      <c r="D27" s="8" t="n"/>
      <c r="E27" s="11" t="n"/>
      <c r="F27" s="9" t="n"/>
      <c r="G27" s="9" t="n"/>
      <c r="H27" s="12">
        <f>IF(A27="","",D27*E27)</f>
        <v/>
      </c>
      <c r="I27" s="12">
        <f>IF(A27="","",IF(Rates!$B$6=1,MIN(H27,Rates!$B$5),H27)*(Rates!$B$4+Rates!$B$13))</f>
        <v/>
      </c>
      <c r="J27" s="12">
        <f>IF(A27="","",IF(D27&lt;=Rates!$B$8,D27*Rates!$B$7,0))</f>
        <v/>
      </c>
      <c r="K27" s="12">
        <f>IF(A27="","",H27*Rates!$B$9)</f>
        <v/>
      </c>
      <c r="L27" s="12">
        <f>IF(A27="","",IF(D27&lt;=Rates!$B$11,H27*Rates!$B$10,0))</f>
        <v/>
      </c>
      <c r="M27" s="12">
        <f>IF(A27="","",Rates!$B$12/12)</f>
        <v/>
      </c>
      <c r="N27" s="12">
        <f>IF(A27="","",D27+I27+J27+K27+L27+M27)</f>
        <v/>
      </c>
      <c r="O27" s="13">
        <f>IF(A27="","",MAX(0,MIN(12,IF(G27="",12,G27))-MAX(1,F27)+1))</f>
        <v/>
      </c>
      <c r="P27" s="12">
        <f>IF(A27="","",N27*O27)</f>
        <v/>
      </c>
      <c r="Q27" s="12">
        <f>IF(A27="","",0.12*IF(Rates!$B$6=1,MIN(H27,Rates!$B$5),H27))</f>
        <v/>
      </c>
      <c r="R27" s="12">
        <f>IF(A27="","",IF(D27&lt;=Rates!$B$8,D27*0.0075,0))</f>
        <v/>
      </c>
    </row>
    <row r="28">
      <c r="A28" s="10" t="n"/>
      <c r="B28" s="10" t="n"/>
      <c r="C28" s="10" t="n"/>
      <c r="D28" s="8" t="n"/>
      <c r="E28" s="11" t="n"/>
      <c r="F28" s="9" t="n"/>
      <c r="G28" s="9" t="n"/>
      <c r="H28" s="12">
        <f>IF(A28="","",D28*E28)</f>
        <v/>
      </c>
      <c r="I28" s="12">
        <f>IF(A28="","",IF(Rates!$B$6=1,MIN(H28,Rates!$B$5),H28)*(Rates!$B$4+Rates!$B$13))</f>
        <v/>
      </c>
      <c r="J28" s="12">
        <f>IF(A28="","",IF(D28&lt;=Rates!$B$8,D28*Rates!$B$7,0))</f>
        <v/>
      </c>
      <c r="K28" s="12">
        <f>IF(A28="","",H28*Rates!$B$9)</f>
        <v/>
      </c>
      <c r="L28" s="12">
        <f>IF(A28="","",IF(D28&lt;=Rates!$B$11,H28*Rates!$B$10,0))</f>
        <v/>
      </c>
      <c r="M28" s="12">
        <f>IF(A28="","",Rates!$B$12/12)</f>
        <v/>
      </c>
      <c r="N28" s="12">
        <f>IF(A28="","",D28+I28+J28+K28+L28+M28)</f>
        <v/>
      </c>
      <c r="O28" s="13">
        <f>IF(A28="","",MAX(0,MIN(12,IF(G28="",12,G28))-MAX(1,F28)+1))</f>
        <v/>
      </c>
      <c r="P28" s="12">
        <f>IF(A28="","",N28*O28)</f>
        <v/>
      </c>
      <c r="Q28" s="12">
        <f>IF(A28="","",0.12*IF(Rates!$B$6=1,MIN(H28,Rates!$B$5),H28))</f>
        <v/>
      </c>
      <c r="R28" s="12">
        <f>IF(A28="","",IF(D28&lt;=Rates!$B$8,D28*0.0075,0))</f>
        <v/>
      </c>
    </row>
    <row r="29">
      <c r="A29" s="10" t="n"/>
      <c r="B29" s="10" t="n"/>
      <c r="C29" s="10" t="n"/>
      <c r="D29" s="8" t="n"/>
      <c r="E29" s="11" t="n"/>
      <c r="F29" s="9" t="n"/>
      <c r="G29" s="9" t="n"/>
      <c r="H29" s="12">
        <f>IF(A29="","",D29*E29)</f>
        <v/>
      </c>
      <c r="I29" s="12">
        <f>IF(A29="","",IF(Rates!$B$6=1,MIN(H29,Rates!$B$5),H29)*(Rates!$B$4+Rates!$B$13))</f>
        <v/>
      </c>
      <c r="J29" s="12">
        <f>IF(A29="","",IF(D29&lt;=Rates!$B$8,D29*Rates!$B$7,0))</f>
        <v/>
      </c>
      <c r="K29" s="12">
        <f>IF(A29="","",H29*Rates!$B$9)</f>
        <v/>
      </c>
      <c r="L29" s="12">
        <f>IF(A29="","",IF(D29&lt;=Rates!$B$11,H29*Rates!$B$10,0))</f>
        <v/>
      </c>
      <c r="M29" s="12">
        <f>IF(A29="","",Rates!$B$12/12)</f>
        <v/>
      </c>
      <c r="N29" s="12">
        <f>IF(A29="","",D29+I29+J29+K29+L29+M29)</f>
        <v/>
      </c>
      <c r="O29" s="13">
        <f>IF(A29="","",MAX(0,MIN(12,IF(G29="",12,G29))-MAX(1,F29)+1))</f>
        <v/>
      </c>
      <c r="P29" s="12">
        <f>IF(A29="","",N29*O29)</f>
        <v/>
      </c>
      <c r="Q29" s="12">
        <f>IF(A29="","",0.12*IF(Rates!$B$6=1,MIN(H29,Rates!$B$5),H29))</f>
        <v/>
      </c>
      <c r="R29" s="12">
        <f>IF(A29="","",IF(D29&lt;=Rates!$B$8,D29*0.0075,0))</f>
        <v/>
      </c>
    </row>
    <row r="30">
      <c r="A30" s="10" t="n"/>
      <c r="B30" s="10" t="n"/>
      <c r="C30" s="10" t="n"/>
      <c r="D30" s="8" t="n"/>
      <c r="E30" s="11" t="n"/>
      <c r="F30" s="9" t="n"/>
      <c r="G30" s="9" t="n"/>
      <c r="H30" s="12">
        <f>IF(A30="","",D30*E30)</f>
        <v/>
      </c>
      <c r="I30" s="12">
        <f>IF(A30="","",IF(Rates!$B$6=1,MIN(H30,Rates!$B$5),H30)*(Rates!$B$4+Rates!$B$13))</f>
        <v/>
      </c>
      <c r="J30" s="12">
        <f>IF(A30="","",IF(D30&lt;=Rates!$B$8,D30*Rates!$B$7,0))</f>
        <v/>
      </c>
      <c r="K30" s="12">
        <f>IF(A30="","",H30*Rates!$B$9)</f>
        <v/>
      </c>
      <c r="L30" s="12">
        <f>IF(A30="","",IF(D30&lt;=Rates!$B$11,H30*Rates!$B$10,0))</f>
        <v/>
      </c>
      <c r="M30" s="12">
        <f>IF(A30="","",Rates!$B$12/12)</f>
        <v/>
      </c>
      <c r="N30" s="12">
        <f>IF(A30="","",D30+I30+J30+K30+L30+M30)</f>
        <v/>
      </c>
      <c r="O30" s="13">
        <f>IF(A30="","",MAX(0,MIN(12,IF(G30="",12,G30))-MAX(1,F30)+1))</f>
        <v/>
      </c>
      <c r="P30" s="12">
        <f>IF(A30="","",N30*O30)</f>
        <v/>
      </c>
      <c r="Q30" s="12">
        <f>IF(A30="","",0.12*IF(Rates!$B$6=1,MIN(H30,Rates!$B$5),H30))</f>
        <v/>
      </c>
      <c r="R30" s="12">
        <f>IF(A30="","",IF(D30&lt;=Rates!$B$8,D30*0.0075,0))</f>
        <v/>
      </c>
    </row>
    <row r="31">
      <c r="A31" s="10" t="n"/>
      <c r="B31" s="10" t="n"/>
      <c r="C31" s="10" t="n"/>
      <c r="D31" s="8" t="n"/>
      <c r="E31" s="11" t="n"/>
      <c r="F31" s="9" t="n"/>
      <c r="G31" s="9" t="n"/>
      <c r="H31" s="12">
        <f>IF(A31="","",D31*E31)</f>
        <v/>
      </c>
      <c r="I31" s="12">
        <f>IF(A31="","",IF(Rates!$B$6=1,MIN(H31,Rates!$B$5),H31)*(Rates!$B$4+Rates!$B$13))</f>
        <v/>
      </c>
      <c r="J31" s="12">
        <f>IF(A31="","",IF(D31&lt;=Rates!$B$8,D31*Rates!$B$7,0))</f>
        <v/>
      </c>
      <c r="K31" s="12">
        <f>IF(A31="","",H31*Rates!$B$9)</f>
        <v/>
      </c>
      <c r="L31" s="12">
        <f>IF(A31="","",IF(D31&lt;=Rates!$B$11,H31*Rates!$B$10,0))</f>
        <v/>
      </c>
      <c r="M31" s="12">
        <f>IF(A31="","",Rates!$B$12/12)</f>
        <v/>
      </c>
      <c r="N31" s="12">
        <f>IF(A31="","",D31+I31+J31+K31+L31+M31)</f>
        <v/>
      </c>
      <c r="O31" s="13">
        <f>IF(A31="","",MAX(0,MIN(12,IF(G31="",12,G31))-MAX(1,F31)+1))</f>
        <v/>
      </c>
      <c r="P31" s="12">
        <f>IF(A31="","",N31*O31)</f>
        <v/>
      </c>
      <c r="Q31" s="12">
        <f>IF(A31="","",0.12*IF(Rates!$B$6=1,MIN(H31,Rates!$B$5),H31))</f>
        <v/>
      </c>
      <c r="R31" s="12">
        <f>IF(A31="","",IF(D31&lt;=Rates!$B$8,D31*0.0075,0))</f>
        <v/>
      </c>
    </row>
    <row r="32">
      <c r="A32" s="10" t="n"/>
      <c r="B32" s="10" t="n"/>
      <c r="C32" s="10" t="n"/>
      <c r="D32" s="8" t="n"/>
      <c r="E32" s="11" t="n"/>
      <c r="F32" s="9" t="n"/>
      <c r="G32" s="9" t="n"/>
      <c r="H32" s="12">
        <f>IF(A32="","",D32*E32)</f>
        <v/>
      </c>
      <c r="I32" s="12">
        <f>IF(A32="","",IF(Rates!$B$6=1,MIN(H32,Rates!$B$5),H32)*(Rates!$B$4+Rates!$B$13))</f>
        <v/>
      </c>
      <c r="J32" s="12">
        <f>IF(A32="","",IF(D32&lt;=Rates!$B$8,D32*Rates!$B$7,0))</f>
        <v/>
      </c>
      <c r="K32" s="12">
        <f>IF(A32="","",H32*Rates!$B$9)</f>
        <v/>
      </c>
      <c r="L32" s="12">
        <f>IF(A32="","",IF(D32&lt;=Rates!$B$11,H32*Rates!$B$10,0))</f>
        <v/>
      </c>
      <c r="M32" s="12">
        <f>IF(A32="","",Rates!$B$12/12)</f>
        <v/>
      </c>
      <c r="N32" s="12">
        <f>IF(A32="","",D32+I32+J32+K32+L32+M32)</f>
        <v/>
      </c>
      <c r="O32" s="13">
        <f>IF(A32="","",MAX(0,MIN(12,IF(G32="",12,G32))-MAX(1,F32)+1))</f>
        <v/>
      </c>
      <c r="P32" s="12">
        <f>IF(A32="","",N32*O32)</f>
        <v/>
      </c>
      <c r="Q32" s="12">
        <f>IF(A32="","",0.12*IF(Rates!$B$6=1,MIN(H32,Rates!$B$5),H32))</f>
        <v/>
      </c>
      <c r="R32" s="12">
        <f>IF(A32="","",IF(D32&lt;=Rates!$B$8,D32*0.0075,0))</f>
        <v/>
      </c>
    </row>
    <row r="33">
      <c r="A33" s="10" t="n"/>
      <c r="B33" s="10" t="n"/>
      <c r="C33" s="10" t="n"/>
      <c r="D33" s="8" t="n"/>
      <c r="E33" s="11" t="n"/>
      <c r="F33" s="9" t="n"/>
      <c r="G33" s="9" t="n"/>
      <c r="H33" s="12">
        <f>IF(A33="","",D33*E33)</f>
        <v/>
      </c>
      <c r="I33" s="12">
        <f>IF(A33="","",IF(Rates!$B$6=1,MIN(H33,Rates!$B$5),H33)*(Rates!$B$4+Rates!$B$13))</f>
        <v/>
      </c>
      <c r="J33" s="12">
        <f>IF(A33="","",IF(D33&lt;=Rates!$B$8,D33*Rates!$B$7,0))</f>
        <v/>
      </c>
      <c r="K33" s="12">
        <f>IF(A33="","",H33*Rates!$B$9)</f>
        <v/>
      </c>
      <c r="L33" s="12">
        <f>IF(A33="","",IF(D33&lt;=Rates!$B$11,H33*Rates!$B$10,0))</f>
        <v/>
      </c>
      <c r="M33" s="12">
        <f>IF(A33="","",Rates!$B$12/12)</f>
        <v/>
      </c>
      <c r="N33" s="12">
        <f>IF(A33="","",D33+I33+J33+K33+L33+M33)</f>
        <v/>
      </c>
      <c r="O33" s="13">
        <f>IF(A33="","",MAX(0,MIN(12,IF(G33="",12,G33))-MAX(1,F33)+1))</f>
        <v/>
      </c>
      <c r="P33" s="12">
        <f>IF(A33="","",N33*O33)</f>
        <v/>
      </c>
      <c r="Q33" s="12">
        <f>IF(A33="","",0.12*IF(Rates!$B$6=1,MIN(H33,Rates!$B$5),H33))</f>
        <v/>
      </c>
      <c r="R33" s="12">
        <f>IF(A33="","",IF(D33&lt;=Rates!$B$8,D33*0.0075,0))</f>
        <v/>
      </c>
    </row>
    <row r="34">
      <c r="A34" s="10" t="n"/>
      <c r="B34" s="10" t="n"/>
      <c r="C34" s="10" t="n"/>
      <c r="D34" s="8" t="n"/>
      <c r="E34" s="11" t="n"/>
      <c r="F34" s="9" t="n"/>
      <c r="G34" s="9" t="n"/>
      <c r="H34" s="12">
        <f>IF(A34="","",D34*E34)</f>
        <v/>
      </c>
      <c r="I34" s="12">
        <f>IF(A34="","",IF(Rates!$B$6=1,MIN(H34,Rates!$B$5),H34)*(Rates!$B$4+Rates!$B$13))</f>
        <v/>
      </c>
      <c r="J34" s="12">
        <f>IF(A34="","",IF(D34&lt;=Rates!$B$8,D34*Rates!$B$7,0))</f>
        <v/>
      </c>
      <c r="K34" s="12">
        <f>IF(A34="","",H34*Rates!$B$9)</f>
        <v/>
      </c>
      <c r="L34" s="12">
        <f>IF(A34="","",IF(D34&lt;=Rates!$B$11,H34*Rates!$B$10,0))</f>
        <v/>
      </c>
      <c r="M34" s="12">
        <f>IF(A34="","",Rates!$B$12/12)</f>
        <v/>
      </c>
      <c r="N34" s="12">
        <f>IF(A34="","",D34+I34+J34+K34+L34+M34)</f>
        <v/>
      </c>
      <c r="O34" s="13">
        <f>IF(A34="","",MAX(0,MIN(12,IF(G34="",12,G34))-MAX(1,F34)+1))</f>
        <v/>
      </c>
      <c r="P34" s="12">
        <f>IF(A34="","",N34*O34)</f>
        <v/>
      </c>
      <c r="Q34" s="12">
        <f>IF(A34="","",0.12*IF(Rates!$B$6=1,MIN(H34,Rates!$B$5),H34))</f>
        <v/>
      </c>
      <c r="R34" s="12">
        <f>IF(A34="","",IF(D34&lt;=Rates!$B$8,D34*0.0075,0))</f>
        <v/>
      </c>
    </row>
    <row r="35">
      <c r="A35" s="10" t="n"/>
      <c r="B35" s="10" t="n"/>
      <c r="C35" s="10" t="n"/>
      <c r="D35" s="8" t="n"/>
      <c r="E35" s="11" t="n"/>
      <c r="F35" s="9" t="n"/>
      <c r="G35" s="9" t="n"/>
      <c r="H35" s="12">
        <f>IF(A35="","",D35*E35)</f>
        <v/>
      </c>
      <c r="I35" s="12">
        <f>IF(A35="","",IF(Rates!$B$6=1,MIN(H35,Rates!$B$5),H35)*(Rates!$B$4+Rates!$B$13))</f>
        <v/>
      </c>
      <c r="J35" s="12">
        <f>IF(A35="","",IF(D35&lt;=Rates!$B$8,D35*Rates!$B$7,0))</f>
        <v/>
      </c>
      <c r="K35" s="12">
        <f>IF(A35="","",H35*Rates!$B$9)</f>
        <v/>
      </c>
      <c r="L35" s="12">
        <f>IF(A35="","",IF(D35&lt;=Rates!$B$11,H35*Rates!$B$10,0))</f>
        <v/>
      </c>
      <c r="M35" s="12">
        <f>IF(A35="","",Rates!$B$12/12)</f>
        <v/>
      </c>
      <c r="N35" s="12">
        <f>IF(A35="","",D35+I35+J35+K35+L35+M35)</f>
        <v/>
      </c>
      <c r="O35" s="13">
        <f>IF(A35="","",MAX(0,MIN(12,IF(G35="",12,G35))-MAX(1,F35)+1))</f>
        <v/>
      </c>
      <c r="P35" s="12">
        <f>IF(A35="","",N35*O35)</f>
        <v/>
      </c>
      <c r="Q35" s="12">
        <f>IF(A35="","",0.12*IF(Rates!$B$6=1,MIN(H35,Rates!$B$5),H35))</f>
        <v/>
      </c>
      <c r="R35" s="12">
        <f>IF(A35="","",IF(D35&lt;=Rates!$B$8,D35*0.0075,0))</f>
        <v/>
      </c>
    </row>
    <row r="36">
      <c r="A36" s="10" t="n"/>
      <c r="B36" s="10" t="n"/>
      <c r="C36" s="10" t="n"/>
      <c r="D36" s="8" t="n"/>
      <c r="E36" s="11" t="n"/>
      <c r="F36" s="9" t="n"/>
      <c r="G36" s="9" t="n"/>
      <c r="H36" s="12">
        <f>IF(A36="","",D36*E36)</f>
        <v/>
      </c>
      <c r="I36" s="12">
        <f>IF(A36="","",IF(Rates!$B$6=1,MIN(H36,Rates!$B$5),H36)*(Rates!$B$4+Rates!$B$13))</f>
        <v/>
      </c>
      <c r="J36" s="12">
        <f>IF(A36="","",IF(D36&lt;=Rates!$B$8,D36*Rates!$B$7,0))</f>
        <v/>
      </c>
      <c r="K36" s="12">
        <f>IF(A36="","",H36*Rates!$B$9)</f>
        <v/>
      </c>
      <c r="L36" s="12">
        <f>IF(A36="","",IF(D36&lt;=Rates!$B$11,H36*Rates!$B$10,0))</f>
        <v/>
      </c>
      <c r="M36" s="12">
        <f>IF(A36="","",Rates!$B$12/12)</f>
        <v/>
      </c>
      <c r="N36" s="12">
        <f>IF(A36="","",D36+I36+J36+K36+L36+M36)</f>
        <v/>
      </c>
      <c r="O36" s="13">
        <f>IF(A36="","",MAX(0,MIN(12,IF(G36="",12,G36))-MAX(1,F36)+1))</f>
        <v/>
      </c>
      <c r="P36" s="12">
        <f>IF(A36="","",N36*O36)</f>
        <v/>
      </c>
      <c r="Q36" s="12">
        <f>IF(A36="","",0.12*IF(Rates!$B$6=1,MIN(H36,Rates!$B$5),H36))</f>
        <v/>
      </c>
      <c r="R36" s="12">
        <f>IF(A36="","",IF(D36&lt;=Rates!$B$8,D36*0.0075,0))</f>
        <v/>
      </c>
    </row>
    <row r="37">
      <c r="A37" s="10" t="n"/>
      <c r="B37" s="10" t="n"/>
      <c r="C37" s="10" t="n"/>
      <c r="D37" s="8" t="n"/>
      <c r="E37" s="11" t="n"/>
      <c r="F37" s="9" t="n"/>
      <c r="G37" s="9" t="n"/>
      <c r="H37" s="12">
        <f>IF(A37="","",D37*E37)</f>
        <v/>
      </c>
      <c r="I37" s="12">
        <f>IF(A37="","",IF(Rates!$B$6=1,MIN(H37,Rates!$B$5),H37)*(Rates!$B$4+Rates!$B$13))</f>
        <v/>
      </c>
      <c r="J37" s="12">
        <f>IF(A37="","",IF(D37&lt;=Rates!$B$8,D37*Rates!$B$7,0))</f>
        <v/>
      </c>
      <c r="K37" s="12">
        <f>IF(A37="","",H37*Rates!$B$9)</f>
        <v/>
      </c>
      <c r="L37" s="12">
        <f>IF(A37="","",IF(D37&lt;=Rates!$B$11,H37*Rates!$B$10,0))</f>
        <v/>
      </c>
      <c r="M37" s="12">
        <f>IF(A37="","",Rates!$B$12/12)</f>
        <v/>
      </c>
      <c r="N37" s="12">
        <f>IF(A37="","",D37+I37+J37+K37+L37+M37)</f>
        <v/>
      </c>
      <c r="O37" s="13">
        <f>IF(A37="","",MAX(0,MIN(12,IF(G37="",12,G37))-MAX(1,F37)+1))</f>
        <v/>
      </c>
      <c r="P37" s="12">
        <f>IF(A37="","",N37*O37)</f>
        <v/>
      </c>
      <c r="Q37" s="12">
        <f>IF(A37="","",0.12*IF(Rates!$B$6=1,MIN(H37,Rates!$B$5),H37))</f>
        <v/>
      </c>
      <c r="R37" s="12">
        <f>IF(A37="","",IF(D37&lt;=Rates!$B$8,D37*0.0075,0))</f>
        <v/>
      </c>
    </row>
    <row r="38">
      <c r="A38" s="10" t="n"/>
      <c r="B38" s="10" t="n"/>
      <c r="C38" s="10" t="n"/>
      <c r="D38" s="8" t="n"/>
      <c r="E38" s="11" t="n"/>
      <c r="F38" s="9" t="n"/>
      <c r="G38" s="9" t="n"/>
      <c r="H38" s="12">
        <f>IF(A38="","",D38*E38)</f>
        <v/>
      </c>
      <c r="I38" s="12">
        <f>IF(A38="","",IF(Rates!$B$6=1,MIN(H38,Rates!$B$5),H38)*(Rates!$B$4+Rates!$B$13))</f>
        <v/>
      </c>
      <c r="J38" s="12">
        <f>IF(A38="","",IF(D38&lt;=Rates!$B$8,D38*Rates!$B$7,0))</f>
        <v/>
      </c>
      <c r="K38" s="12">
        <f>IF(A38="","",H38*Rates!$B$9)</f>
        <v/>
      </c>
      <c r="L38" s="12">
        <f>IF(A38="","",IF(D38&lt;=Rates!$B$11,H38*Rates!$B$10,0))</f>
        <v/>
      </c>
      <c r="M38" s="12">
        <f>IF(A38="","",Rates!$B$12/12)</f>
        <v/>
      </c>
      <c r="N38" s="12">
        <f>IF(A38="","",D38+I38+J38+K38+L38+M38)</f>
        <v/>
      </c>
      <c r="O38" s="13">
        <f>IF(A38="","",MAX(0,MIN(12,IF(G38="",12,G38))-MAX(1,F38)+1))</f>
        <v/>
      </c>
      <c r="P38" s="12">
        <f>IF(A38="","",N38*O38)</f>
        <v/>
      </c>
      <c r="Q38" s="12">
        <f>IF(A38="","",0.12*IF(Rates!$B$6=1,MIN(H38,Rates!$B$5),H38))</f>
        <v/>
      </c>
      <c r="R38" s="12">
        <f>IF(A38="","",IF(D38&lt;=Rates!$B$8,D38*0.0075,0))</f>
        <v/>
      </c>
    </row>
    <row r="39">
      <c r="A39" s="10" t="n"/>
      <c r="B39" s="10" t="n"/>
      <c r="C39" s="10" t="n"/>
      <c r="D39" s="8" t="n"/>
      <c r="E39" s="11" t="n"/>
      <c r="F39" s="9" t="n"/>
      <c r="G39" s="9" t="n"/>
      <c r="H39" s="12">
        <f>IF(A39="","",D39*E39)</f>
        <v/>
      </c>
      <c r="I39" s="12">
        <f>IF(A39="","",IF(Rates!$B$6=1,MIN(H39,Rates!$B$5),H39)*(Rates!$B$4+Rates!$B$13))</f>
        <v/>
      </c>
      <c r="J39" s="12">
        <f>IF(A39="","",IF(D39&lt;=Rates!$B$8,D39*Rates!$B$7,0))</f>
        <v/>
      </c>
      <c r="K39" s="12">
        <f>IF(A39="","",H39*Rates!$B$9)</f>
        <v/>
      </c>
      <c r="L39" s="12">
        <f>IF(A39="","",IF(D39&lt;=Rates!$B$11,H39*Rates!$B$10,0))</f>
        <v/>
      </c>
      <c r="M39" s="12">
        <f>IF(A39="","",Rates!$B$12/12)</f>
        <v/>
      </c>
      <c r="N39" s="12">
        <f>IF(A39="","",D39+I39+J39+K39+L39+M39)</f>
        <v/>
      </c>
      <c r="O39" s="13">
        <f>IF(A39="","",MAX(0,MIN(12,IF(G39="",12,G39))-MAX(1,F39)+1))</f>
        <v/>
      </c>
      <c r="P39" s="12">
        <f>IF(A39="","",N39*O39)</f>
        <v/>
      </c>
      <c r="Q39" s="12">
        <f>IF(A39="","",0.12*IF(Rates!$B$6=1,MIN(H39,Rates!$B$5),H39))</f>
        <v/>
      </c>
      <c r="R39" s="12">
        <f>IF(A39="","",IF(D39&lt;=Rates!$B$8,D39*0.0075,0))</f>
        <v/>
      </c>
    </row>
    <row r="40">
      <c r="A40" s="10" t="n"/>
      <c r="B40" s="10" t="n"/>
      <c r="C40" s="10" t="n"/>
      <c r="D40" s="8" t="n"/>
      <c r="E40" s="11" t="n"/>
      <c r="F40" s="9" t="n"/>
      <c r="G40" s="9" t="n"/>
      <c r="H40" s="12">
        <f>IF(A40="","",D40*E40)</f>
        <v/>
      </c>
      <c r="I40" s="12">
        <f>IF(A40="","",IF(Rates!$B$6=1,MIN(H40,Rates!$B$5),H40)*(Rates!$B$4+Rates!$B$13))</f>
        <v/>
      </c>
      <c r="J40" s="12">
        <f>IF(A40="","",IF(D40&lt;=Rates!$B$8,D40*Rates!$B$7,0))</f>
        <v/>
      </c>
      <c r="K40" s="12">
        <f>IF(A40="","",H40*Rates!$B$9)</f>
        <v/>
      </c>
      <c r="L40" s="12">
        <f>IF(A40="","",IF(D40&lt;=Rates!$B$11,H40*Rates!$B$10,0))</f>
        <v/>
      </c>
      <c r="M40" s="12">
        <f>IF(A40="","",Rates!$B$12/12)</f>
        <v/>
      </c>
      <c r="N40" s="12">
        <f>IF(A40="","",D40+I40+J40+K40+L40+M40)</f>
        <v/>
      </c>
      <c r="O40" s="13">
        <f>IF(A40="","",MAX(0,MIN(12,IF(G40="",12,G40))-MAX(1,F40)+1))</f>
        <v/>
      </c>
      <c r="P40" s="12">
        <f>IF(A40="","",N40*O40)</f>
        <v/>
      </c>
      <c r="Q40" s="12">
        <f>IF(A40="","",0.12*IF(Rates!$B$6=1,MIN(H40,Rates!$B$5),H40))</f>
        <v/>
      </c>
      <c r="R40" s="12">
        <f>IF(A40="","",IF(D40&lt;=Rates!$B$8,D40*0.0075,0))</f>
        <v/>
      </c>
    </row>
    <row r="41">
      <c r="A41" s="10" t="n"/>
      <c r="B41" s="10" t="n"/>
      <c r="C41" s="10" t="n"/>
      <c r="D41" s="8" t="n"/>
      <c r="E41" s="11" t="n"/>
      <c r="F41" s="9" t="n"/>
      <c r="G41" s="9" t="n"/>
      <c r="H41" s="12">
        <f>IF(A41="","",D41*E41)</f>
        <v/>
      </c>
      <c r="I41" s="12">
        <f>IF(A41="","",IF(Rates!$B$6=1,MIN(H41,Rates!$B$5),H41)*(Rates!$B$4+Rates!$B$13))</f>
        <v/>
      </c>
      <c r="J41" s="12">
        <f>IF(A41="","",IF(D41&lt;=Rates!$B$8,D41*Rates!$B$7,0))</f>
        <v/>
      </c>
      <c r="K41" s="12">
        <f>IF(A41="","",H41*Rates!$B$9)</f>
        <v/>
      </c>
      <c r="L41" s="12">
        <f>IF(A41="","",IF(D41&lt;=Rates!$B$11,H41*Rates!$B$10,0))</f>
        <v/>
      </c>
      <c r="M41" s="12">
        <f>IF(A41="","",Rates!$B$12/12)</f>
        <v/>
      </c>
      <c r="N41" s="12">
        <f>IF(A41="","",D41+I41+J41+K41+L41+M41)</f>
        <v/>
      </c>
      <c r="O41" s="13">
        <f>IF(A41="","",MAX(0,MIN(12,IF(G41="",12,G41))-MAX(1,F41)+1))</f>
        <v/>
      </c>
      <c r="P41" s="12">
        <f>IF(A41="","",N41*O41)</f>
        <v/>
      </c>
      <c r="Q41" s="12">
        <f>IF(A41="","",0.12*IF(Rates!$B$6=1,MIN(H41,Rates!$B$5),H41))</f>
        <v/>
      </c>
      <c r="R41" s="12">
        <f>IF(A41="","",IF(D41&lt;=Rates!$B$8,D41*0.0075,0))</f>
        <v/>
      </c>
    </row>
    <row r="42">
      <c r="A42" s="10" t="n"/>
      <c r="B42" s="10" t="n"/>
      <c r="C42" s="10" t="n"/>
      <c r="D42" s="8" t="n"/>
      <c r="E42" s="11" t="n"/>
      <c r="F42" s="9" t="n"/>
      <c r="G42" s="9" t="n"/>
      <c r="H42" s="12">
        <f>IF(A42="","",D42*E42)</f>
        <v/>
      </c>
      <c r="I42" s="12">
        <f>IF(A42="","",IF(Rates!$B$6=1,MIN(H42,Rates!$B$5),H42)*(Rates!$B$4+Rates!$B$13))</f>
        <v/>
      </c>
      <c r="J42" s="12">
        <f>IF(A42="","",IF(D42&lt;=Rates!$B$8,D42*Rates!$B$7,0))</f>
        <v/>
      </c>
      <c r="K42" s="12">
        <f>IF(A42="","",H42*Rates!$B$9)</f>
        <v/>
      </c>
      <c r="L42" s="12">
        <f>IF(A42="","",IF(D42&lt;=Rates!$B$11,H42*Rates!$B$10,0))</f>
        <v/>
      </c>
      <c r="M42" s="12">
        <f>IF(A42="","",Rates!$B$12/12)</f>
        <v/>
      </c>
      <c r="N42" s="12">
        <f>IF(A42="","",D42+I42+J42+K42+L42+M42)</f>
        <v/>
      </c>
      <c r="O42" s="13">
        <f>IF(A42="","",MAX(0,MIN(12,IF(G42="",12,G42))-MAX(1,F42)+1))</f>
        <v/>
      </c>
      <c r="P42" s="12">
        <f>IF(A42="","",N42*O42)</f>
        <v/>
      </c>
      <c r="Q42" s="12">
        <f>IF(A42="","",0.12*IF(Rates!$B$6=1,MIN(H42,Rates!$B$5),H42))</f>
        <v/>
      </c>
      <c r="R42" s="12">
        <f>IF(A42="","",IF(D42&lt;=Rates!$B$8,D42*0.0075,0))</f>
        <v/>
      </c>
    </row>
    <row r="43">
      <c r="A43" s="10" t="n"/>
      <c r="B43" s="10" t="n"/>
      <c r="C43" s="10" t="n"/>
      <c r="D43" s="8" t="n"/>
      <c r="E43" s="11" t="n"/>
      <c r="F43" s="9" t="n"/>
      <c r="G43" s="9" t="n"/>
      <c r="H43" s="12">
        <f>IF(A43="","",D43*E43)</f>
        <v/>
      </c>
      <c r="I43" s="12">
        <f>IF(A43="","",IF(Rates!$B$6=1,MIN(H43,Rates!$B$5),H43)*(Rates!$B$4+Rates!$B$13))</f>
        <v/>
      </c>
      <c r="J43" s="12">
        <f>IF(A43="","",IF(D43&lt;=Rates!$B$8,D43*Rates!$B$7,0))</f>
        <v/>
      </c>
      <c r="K43" s="12">
        <f>IF(A43="","",H43*Rates!$B$9)</f>
        <v/>
      </c>
      <c r="L43" s="12">
        <f>IF(A43="","",IF(D43&lt;=Rates!$B$11,H43*Rates!$B$10,0))</f>
        <v/>
      </c>
      <c r="M43" s="12">
        <f>IF(A43="","",Rates!$B$12/12)</f>
        <v/>
      </c>
      <c r="N43" s="12">
        <f>IF(A43="","",D43+I43+J43+K43+L43+M43)</f>
        <v/>
      </c>
      <c r="O43" s="13">
        <f>IF(A43="","",MAX(0,MIN(12,IF(G43="",12,G43))-MAX(1,F43)+1))</f>
        <v/>
      </c>
      <c r="P43" s="12">
        <f>IF(A43="","",N43*O43)</f>
        <v/>
      </c>
      <c r="Q43" s="12">
        <f>IF(A43="","",0.12*IF(Rates!$B$6=1,MIN(H43,Rates!$B$5),H43))</f>
        <v/>
      </c>
      <c r="R43" s="12">
        <f>IF(A43="","",IF(D43&lt;=Rates!$B$8,D43*0.0075,0))</f>
        <v/>
      </c>
    </row>
    <row r="44">
      <c r="A44" s="10" t="n"/>
      <c r="B44" s="10" t="n"/>
      <c r="C44" s="10" t="n"/>
      <c r="D44" s="8" t="n"/>
      <c r="E44" s="11" t="n"/>
      <c r="F44" s="9" t="n"/>
      <c r="G44" s="9" t="n"/>
      <c r="H44" s="12">
        <f>IF(A44="","",D44*E44)</f>
        <v/>
      </c>
      <c r="I44" s="12">
        <f>IF(A44="","",IF(Rates!$B$6=1,MIN(H44,Rates!$B$5),H44)*(Rates!$B$4+Rates!$B$13))</f>
        <v/>
      </c>
      <c r="J44" s="12">
        <f>IF(A44="","",IF(D44&lt;=Rates!$B$8,D44*Rates!$B$7,0))</f>
        <v/>
      </c>
      <c r="K44" s="12">
        <f>IF(A44="","",H44*Rates!$B$9)</f>
        <v/>
      </c>
      <c r="L44" s="12">
        <f>IF(A44="","",IF(D44&lt;=Rates!$B$11,H44*Rates!$B$10,0))</f>
        <v/>
      </c>
      <c r="M44" s="12">
        <f>IF(A44="","",Rates!$B$12/12)</f>
        <v/>
      </c>
      <c r="N44" s="12">
        <f>IF(A44="","",D44+I44+J44+K44+L44+M44)</f>
        <v/>
      </c>
      <c r="O44" s="13">
        <f>IF(A44="","",MAX(0,MIN(12,IF(G44="",12,G44))-MAX(1,F44)+1))</f>
        <v/>
      </c>
      <c r="P44" s="12">
        <f>IF(A44="","",N44*O44)</f>
        <v/>
      </c>
      <c r="Q44" s="12">
        <f>IF(A44="","",0.12*IF(Rates!$B$6=1,MIN(H44,Rates!$B$5),H44))</f>
        <v/>
      </c>
      <c r="R44" s="12">
        <f>IF(A44="","",IF(D44&lt;=Rates!$B$8,D44*0.0075,0))</f>
        <v/>
      </c>
    </row>
    <row r="45">
      <c r="A45" s="10" t="n"/>
      <c r="B45" s="10" t="n"/>
      <c r="C45" s="10" t="n"/>
      <c r="D45" s="8" t="n"/>
      <c r="E45" s="11" t="n"/>
      <c r="F45" s="9" t="n"/>
      <c r="G45" s="9" t="n"/>
      <c r="H45" s="12">
        <f>IF(A45="","",D45*E45)</f>
        <v/>
      </c>
      <c r="I45" s="12">
        <f>IF(A45="","",IF(Rates!$B$6=1,MIN(H45,Rates!$B$5),H45)*(Rates!$B$4+Rates!$B$13))</f>
        <v/>
      </c>
      <c r="J45" s="12">
        <f>IF(A45="","",IF(D45&lt;=Rates!$B$8,D45*Rates!$B$7,0))</f>
        <v/>
      </c>
      <c r="K45" s="12">
        <f>IF(A45="","",H45*Rates!$B$9)</f>
        <v/>
      </c>
      <c r="L45" s="12">
        <f>IF(A45="","",IF(D45&lt;=Rates!$B$11,H45*Rates!$B$10,0))</f>
        <v/>
      </c>
      <c r="M45" s="12">
        <f>IF(A45="","",Rates!$B$12/12)</f>
        <v/>
      </c>
      <c r="N45" s="12">
        <f>IF(A45="","",D45+I45+J45+K45+L45+M45)</f>
        <v/>
      </c>
      <c r="O45" s="13">
        <f>IF(A45="","",MAX(0,MIN(12,IF(G45="",12,G45))-MAX(1,F45)+1))</f>
        <v/>
      </c>
      <c r="P45" s="12">
        <f>IF(A45="","",N45*O45)</f>
        <v/>
      </c>
      <c r="Q45" s="12">
        <f>IF(A45="","",0.12*IF(Rates!$B$6=1,MIN(H45,Rates!$B$5),H45))</f>
        <v/>
      </c>
      <c r="R45" s="12">
        <f>IF(A45="","",IF(D45&lt;=Rates!$B$8,D45*0.0075,0))</f>
        <v/>
      </c>
    </row>
    <row r="46">
      <c r="A46" s="10" t="n"/>
      <c r="B46" s="10" t="n"/>
      <c r="C46" s="10" t="n"/>
      <c r="D46" s="8" t="n"/>
      <c r="E46" s="11" t="n"/>
      <c r="F46" s="9" t="n"/>
      <c r="G46" s="9" t="n"/>
      <c r="H46" s="12">
        <f>IF(A46="","",D46*E46)</f>
        <v/>
      </c>
      <c r="I46" s="12">
        <f>IF(A46="","",IF(Rates!$B$6=1,MIN(H46,Rates!$B$5),H46)*(Rates!$B$4+Rates!$B$13))</f>
        <v/>
      </c>
      <c r="J46" s="12">
        <f>IF(A46="","",IF(D46&lt;=Rates!$B$8,D46*Rates!$B$7,0))</f>
        <v/>
      </c>
      <c r="K46" s="12">
        <f>IF(A46="","",H46*Rates!$B$9)</f>
        <v/>
      </c>
      <c r="L46" s="12">
        <f>IF(A46="","",IF(D46&lt;=Rates!$B$11,H46*Rates!$B$10,0))</f>
        <v/>
      </c>
      <c r="M46" s="12">
        <f>IF(A46="","",Rates!$B$12/12)</f>
        <v/>
      </c>
      <c r="N46" s="12">
        <f>IF(A46="","",D46+I46+J46+K46+L46+M46)</f>
        <v/>
      </c>
      <c r="O46" s="13">
        <f>IF(A46="","",MAX(0,MIN(12,IF(G46="",12,G46))-MAX(1,F46)+1))</f>
        <v/>
      </c>
      <c r="P46" s="12">
        <f>IF(A46="","",N46*O46)</f>
        <v/>
      </c>
      <c r="Q46" s="12">
        <f>IF(A46="","",0.12*IF(Rates!$B$6=1,MIN(H46,Rates!$B$5),H46))</f>
        <v/>
      </c>
      <c r="R46" s="12">
        <f>IF(A46="","",IF(D46&lt;=Rates!$B$8,D46*0.0075,0))</f>
        <v/>
      </c>
    </row>
    <row r="47">
      <c r="A47" s="10" t="n"/>
      <c r="B47" s="10" t="n"/>
      <c r="C47" s="10" t="n"/>
      <c r="D47" s="8" t="n"/>
      <c r="E47" s="11" t="n"/>
      <c r="F47" s="9" t="n"/>
      <c r="G47" s="9" t="n"/>
      <c r="H47" s="12">
        <f>IF(A47="","",D47*E47)</f>
        <v/>
      </c>
      <c r="I47" s="12">
        <f>IF(A47="","",IF(Rates!$B$6=1,MIN(H47,Rates!$B$5),H47)*(Rates!$B$4+Rates!$B$13))</f>
        <v/>
      </c>
      <c r="J47" s="12">
        <f>IF(A47="","",IF(D47&lt;=Rates!$B$8,D47*Rates!$B$7,0))</f>
        <v/>
      </c>
      <c r="K47" s="12">
        <f>IF(A47="","",H47*Rates!$B$9)</f>
        <v/>
      </c>
      <c r="L47" s="12">
        <f>IF(A47="","",IF(D47&lt;=Rates!$B$11,H47*Rates!$B$10,0))</f>
        <v/>
      </c>
      <c r="M47" s="12">
        <f>IF(A47="","",Rates!$B$12/12)</f>
        <v/>
      </c>
      <c r="N47" s="12">
        <f>IF(A47="","",D47+I47+J47+K47+L47+M47)</f>
        <v/>
      </c>
      <c r="O47" s="13">
        <f>IF(A47="","",MAX(0,MIN(12,IF(G47="",12,G47))-MAX(1,F47)+1))</f>
        <v/>
      </c>
      <c r="P47" s="12">
        <f>IF(A47="","",N47*O47)</f>
        <v/>
      </c>
      <c r="Q47" s="12">
        <f>IF(A47="","",0.12*IF(Rates!$B$6=1,MIN(H47,Rates!$B$5),H47))</f>
        <v/>
      </c>
      <c r="R47" s="12">
        <f>IF(A47="","",IF(D47&lt;=Rates!$B$8,D47*0.0075,0))</f>
        <v/>
      </c>
    </row>
    <row r="48">
      <c r="A48" s="10" t="n"/>
      <c r="B48" s="10" t="n"/>
      <c r="C48" s="10" t="n"/>
      <c r="D48" s="8" t="n"/>
      <c r="E48" s="11" t="n"/>
      <c r="F48" s="9" t="n"/>
      <c r="G48" s="9" t="n"/>
      <c r="H48" s="12">
        <f>IF(A48="","",D48*E48)</f>
        <v/>
      </c>
      <c r="I48" s="12">
        <f>IF(A48="","",IF(Rates!$B$6=1,MIN(H48,Rates!$B$5),H48)*(Rates!$B$4+Rates!$B$13))</f>
        <v/>
      </c>
      <c r="J48" s="12">
        <f>IF(A48="","",IF(D48&lt;=Rates!$B$8,D48*Rates!$B$7,0))</f>
        <v/>
      </c>
      <c r="K48" s="12">
        <f>IF(A48="","",H48*Rates!$B$9)</f>
        <v/>
      </c>
      <c r="L48" s="12">
        <f>IF(A48="","",IF(D48&lt;=Rates!$B$11,H48*Rates!$B$10,0))</f>
        <v/>
      </c>
      <c r="M48" s="12">
        <f>IF(A48="","",Rates!$B$12/12)</f>
        <v/>
      </c>
      <c r="N48" s="12">
        <f>IF(A48="","",D48+I48+J48+K48+L48+M48)</f>
        <v/>
      </c>
      <c r="O48" s="13">
        <f>IF(A48="","",MAX(0,MIN(12,IF(G48="",12,G48))-MAX(1,F48)+1))</f>
        <v/>
      </c>
      <c r="P48" s="12">
        <f>IF(A48="","",N48*O48)</f>
        <v/>
      </c>
      <c r="Q48" s="12">
        <f>IF(A48="","",0.12*IF(Rates!$B$6=1,MIN(H48,Rates!$B$5),H48))</f>
        <v/>
      </c>
      <c r="R48" s="12">
        <f>IF(A48="","",IF(D48&lt;=Rates!$B$8,D48*0.0075,0))</f>
        <v/>
      </c>
    </row>
    <row r="49">
      <c r="A49" s="10" t="n"/>
      <c r="B49" s="10" t="n"/>
      <c r="C49" s="10" t="n"/>
      <c r="D49" s="8" t="n"/>
      <c r="E49" s="11" t="n"/>
      <c r="F49" s="9" t="n"/>
      <c r="G49" s="9" t="n"/>
      <c r="H49" s="12">
        <f>IF(A49="","",D49*E49)</f>
        <v/>
      </c>
      <c r="I49" s="12">
        <f>IF(A49="","",IF(Rates!$B$6=1,MIN(H49,Rates!$B$5),H49)*(Rates!$B$4+Rates!$B$13))</f>
        <v/>
      </c>
      <c r="J49" s="12">
        <f>IF(A49="","",IF(D49&lt;=Rates!$B$8,D49*Rates!$B$7,0))</f>
        <v/>
      </c>
      <c r="K49" s="12">
        <f>IF(A49="","",H49*Rates!$B$9)</f>
        <v/>
      </c>
      <c r="L49" s="12">
        <f>IF(A49="","",IF(D49&lt;=Rates!$B$11,H49*Rates!$B$10,0))</f>
        <v/>
      </c>
      <c r="M49" s="12">
        <f>IF(A49="","",Rates!$B$12/12)</f>
        <v/>
      </c>
      <c r="N49" s="12">
        <f>IF(A49="","",D49+I49+J49+K49+L49+M49)</f>
        <v/>
      </c>
      <c r="O49" s="13">
        <f>IF(A49="","",MAX(0,MIN(12,IF(G49="",12,G49))-MAX(1,F49)+1))</f>
        <v/>
      </c>
      <c r="P49" s="12">
        <f>IF(A49="","",N49*O49)</f>
        <v/>
      </c>
      <c r="Q49" s="12">
        <f>IF(A49="","",0.12*IF(Rates!$B$6=1,MIN(H49,Rates!$B$5),H49))</f>
        <v/>
      </c>
      <c r="R49" s="12">
        <f>IF(A49="","",IF(D49&lt;=Rates!$B$8,D49*0.0075,0))</f>
        <v/>
      </c>
    </row>
    <row r="50">
      <c r="A50" s="10" t="n"/>
      <c r="B50" s="10" t="n"/>
      <c r="C50" s="10" t="n"/>
      <c r="D50" s="8" t="n"/>
      <c r="E50" s="11" t="n"/>
      <c r="F50" s="9" t="n"/>
      <c r="G50" s="9" t="n"/>
      <c r="H50" s="12">
        <f>IF(A50="","",D50*E50)</f>
        <v/>
      </c>
      <c r="I50" s="12">
        <f>IF(A50="","",IF(Rates!$B$6=1,MIN(H50,Rates!$B$5),H50)*(Rates!$B$4+Rates!$B$13))</f>
        <v/>
      </c>
      <c r="J50" s="12">
        <f>IF(A50="","",IF(D50&lt;=Rates!$B$8,D50*Rates!$B$7,0))</f>
        <v/>
      </c>
      <c r="K50" s="12">
        <f>IF(A50="","",H50*Rates!$B$9)</f>
        <v/>
      </c>
      <c r="L50" s="12">
        <f>IF(A50="","",IF(D50&lt;=Rates!$B$11,H50*Rates!$B$10,0))</f>
        <v/>
      </c>
      <c r="M50" s="12">
        <f>IF(A50="","",Rates!$B$12/12)</f>
        <v/>
      </c>
      <c r="N50" s="12">
        <f>IF(A50="","",D50+I50+J50+K50+L50+M50)</f>
        <v/>
      </c>
      <c r="O50" s="13">
        <f>IF(A50="","",MAX(0,MIN(12,IF(G50="",12,G50))-MAX(1,F50)+1))</f>
        <v/>
      </c>
      <c r="P50" s="12">
        <f>IF(A50="","",N50*O50)</f>
        <v/>
      </c>
      <c r="Q50" s="12">
        <f>IF(A50="","",0.12*IF(Rates!$B$6=1,MIN(H50,Rates!$B$5),H50))</f>
        <v/>
      </c>
      <c r="R50" s="12">
        <f>IF(A50="","",IF(D50&lt;=Rates!$B$8,D50*0.0075,0))</f>
        <v/>
      </c>
    </row>
    <row r="51">
      <c r="A51" s="10" t="n"/>
      <c r="B51" s="10" t="n"/>
      <c r="C51" s="10" t="n"/>
      <c r="D51" s="8" t="n"/>
      <c r="E51" s="11" t="n"/>
      <c r="F51" s="9" t="n"/>
      <c r="G51" s="9" t="n"/>
      <c r="H51" s="12">
        <f>IF(A51="","",D51*E51)</f>
        <v/>
      </c>
      <c r="I51" s="12">
        <f>IF(A51="","",IF(Rates!$B$6=1,MIN(H51,Rates!$B$5),H51)*(Rates!$B$4+Rates!$B$13))</f>
        <v/>
      </c>
      <c r="J51" s="12">
        <f>IF(A51="","",IF(D51&lt;=Rates!$B$8,D51*Rates!$B$7,0))</f>
        <v/>
      </c>
      <c r="K51" s="12">
        <f>IF(A51="","",H51*Rates!$B$9)</f>
        <v/>
      </c>
      <c r="L51" s="12">
        <f>IF(A51="","",IF(D51&lt;=Rates!$B$11,H51*Rates!$B$10,0))</f>
        <v/>
      </c>
      <c r="M51" s="12">
        <f>IF(A51="","",Rates!$B$12/12)</f>
        <v/>
      </c>
      <c r="N51" s="12">
        <f>IF(A51="","",D51+I51+J51+K51+L51+M51)</f>
        <v/>
      </c>
      <c r="O51" s="13">
        <f>IF(A51="","",MAX(0,MIN(12,IF(G51="",12,G51))-MAX(1,F51)+1))</f>
        <v/>
      </c>
      <c r="P51" s="12">
        <f>IF(A51="","",N51*O51)</f>
        <v/>
      </c>
      <c r="Q51" s="12">
        <f>IF(A51="","",0.12*IF(Rates!$B$6=1,MIN(H51,Rates!$B$5),H51))</f>
        <v/>
      </c>
      <c r="R51" s="12">
        <f>IF(A51="","",IF(D51&lt;=Rates!$B$8,D51*0.0075,0))</f>
        <v/>
      </c>
    </row>
    <row r="52">
      <c r="A52" s="10" t="n"/>
      <c r="B52" s="10" t="n"/>
      <c r="C52" s="10" t="n"/>
      <c r="D52" s="8" t="n"/>
      <c r="E52" s="11" t="n"/>
      <c r="F52" s="9" t="n"/>
      <c r="G52" s="9" t="n"/>
      <c r="H52" s="12">
        <f>IF(A52="","",D52*E52)</f>
        <v/>
      </c>
      <c r="I52" s="12">
        <f>IF(A52="","",IF(Rates!$B$6=1,MIN(H52,Rates!$B$5),H52)*(Rates!$B$4+Rates!$B$13))</f>
        <v/>
      </c>
      <c r="J52" s="12">
        <f>IF(A52="","",IF(D52&lt;=Rates!$B$8,D52*Rates!$B$7,0))</f>
        <v/>
      </c>
      <c r="K52" s="12">
        <f>IF(A52="","",H52*Rates!$B$9)</f>
        <v/>
      </c>
      <c r="L52" s="12">
        <f>IF(A52="","",IF(D52&lt;=Rates!$B$11,H52*Rates!$B$10,0))</f>
        <v/>
      </c>
      <c r="M52" s="12">
        <f>IF(A52="","",Rates!$B$12/12)</f>
        <v/>
      </c>
      <c r="N52" s="12">
        <f>IF(A52="","",D52+I52+J52+K52+L52+M52)</f>
        <v/>
      </c>
      <c r="O52" s="13">
        <f>IF(A52="","",MAX(0,MIN(12,IF(G52="",12,G52))-MAX(1,F52)+1))</f>
        <v/>
      </c>
      <c r="P52" s="12">
        <f>IF(A52="","",N52*O52)</f>
        <v/>
      </c>
      <c r="Q52" s="12">
        <f>IF(A52="","",0.12*IF(Rates!$B$6=1,MIN(H52,Rates!$B$5),H52))</f>
        <v/>
      </c>
      <c r="R52" s="12">
        <f>IF(A52="","",IF(D52&lt;=Rates!$B$8,D52*0.0075,0))</f>
        <v/>
      </c>
    </row>
    <row r="53">
      <c r="A53" s="10" t="n"/>
      <c r="B53" s="10" t="n"/>
      <c r="C53" s="10" t="n"/>
      <c r="D53" s="8" t="n"/>
      <c r="E53" s="11" t="n"/>
      <c r="F53" s="9" t="n"/>
      <c r="G53" s="9" t="n"/>
      <c r="H53" s="12">
        <f>IF(A53="","",D53*E53)</f>
        <v/>
      </c>
      <c r="I53" s="12">
        <f>IF(A53="","",IF(Rates!$B$6=1,MIN(H53,Rates!$B$5),H53)*(Rates!$B$4+Rates!$B$13))</f>
        <v/>
      </c>
      <c r="J53" s="12">
        <f>IF(A53="","",IF(D53&lt;=Rates!$B$8,D53*Rates!$B$7,0))</f>
        <v/>
      </c>
      <c r="K53" s="12">
        <f>IF(A53="","",H53*Rates!$B$9)</f>
        <v/>
      </c>
      <c r="L53" s="12">
        <f>IF(A53="","",IF(D53&lt;=Rates!$B$11,H53*Rates!$B$10,0))</f>
        <v/>
      </c>
      <c r="M53" s="12">
        <f>IF(A53="","",Rates!$B$12/12)</f>
        <v/>
      </c>
      <c r="N53" s="12">
        <f>IF(A53="","",D53+I53+J53+K53+L53+M53)</f>
        <v/>
      </c>
      <c r="O53" s="13">
        <f>IF(A53="","",MAX(0,MIN(12,IF(G53="",12,G53))-MAX(1,F53)+1))</f>
        <v/>
      </c>
      <c r="P53" s="12">
        <f>IF(A53="","",N53*O53)</f>
        <v/>
      </c>
      <c r="Q53" s="12">
        <f>IF(A53="","",0.12*IF(Rates!$B$6=1,MIN(H53,Rates!$B$5),H53))</f>
        <v/>
      </c>
      <c r="R53" s="12">
        <f>IF(A53="","",IF(D53&lt;=Rates!$B$8,D53*0.0075,0))</f>
        <v/>
      </c>
    </row>
    <row r="54">
      <c r="A54" s="10" t="n"/>
      <c r="B54" s="10" t="n"/>
      <c r="C54" s="10" t="n"/>
      <c r="D54" s="8" t="n"/>
      <c r="E54" s="11" t="n"/>
      <c r="F54" s="9" t="n"/>
      <c r="G54" s="9" t="n"/>
      <c r="H54" s="12">
        <f>IF(A54="","",D54*E54)</f>
        <v/>
      </c>
      <c r="I54" s="12">
        <f>IF(A54="","",IF(Rates!$B$6=1,MIN(H54,Rates!$B$5),H54)*(Rates!$B$4+Rates!$B$13))</f>
        <v/>
      </c>
      <c r="J54" s="12">
        <f>IF(A54="","",IF(D54&lt;=Rates!$B$8,D54*Rates!$B$7,0))</f>
        <v/>
      </c>
      <c r="K54" s="12">
        <f>IF(A54="","",H54*Rates!$B$9)</f>
        <v/>
      </c>
      <c r="L54" s="12">
        <f>IF(A54="","",IF(D54&lt;=Rates!$B$11,H54*Rates!$B$10,0))</f>
        <v/>
      </c>
      <c r="M54" s="12">
        <f>IF(A54="","",Rates!$B$12/12)</f>
        <v/>
      </c>
      <c r="N54" s="12">
        <f>IF(A54="","",D54+I54+J54+K54+L54+M54)</f>
        <v/>
      </c>
      <c r="O54" s="13">
        <f>IF(A54="","",MAX(0,MIN(12,IF(G54="",12,G54))-MAX(1,F54)+1))</f>
        <v/>
      </c>
      <c r="P54" s="12">
        <f>IF(A54="","",N54*O54)</f>
        <v/>
      </c>
      <c r="Q54" s="12">
        <f>IF(A54="","",0.12*IF(Rates!$B$6=1,MIN(H54,Rates!$B$5),H54))</f>
        <v/>
      </c>
      <c r="R54" s="12">
        <f>IF(A54="","",IF(D54&lt;=Rates!$B$8,D54*0.0075,0))</f>
        <v/>
      </c>
    </row>
    <row r="55">
      <c r="A55" s="10" t="n"/>
      <c r="B55" s="10" t="n"/>
      <c r="C55" s="10" t="n"/>
      <c r="D55" s="8" t="n"/>
      <c r="E55" s="11" t="n"/>
      <c r="F55" s="9" t="n"/>
      <c r="G55" s="9" t="n"/>
      <c r="H55" s="12">
        <f>IF(A55="","",D55*E55)</f>
        <v/>
      </c>
      <c r="I55" s="12">
        <f>IF(A55="","",IF(Rates!$B$6=1,MIN(H55,Rates!$B$5),H55)*(Rates!$B$4+Rates!$B$13))</f>
        <v/>
      </c>
      <c r="J55" s="12">
        <f>IF(A55="","",IF(D55&lt;=Rates!$B$8,D55*Rates!$B$7,0))</f>
        <v/>
      </c>
      <c r="K55" s="12">
        <f>IF(A55="","",H55*Rates!$B$9)</f>
        <v/>
      </c>
      <c r="L55" s="12">
        <f>IF(A55="","",IF(D55&lt;=Rates!$B$11,H55*Rates!$B$10,0))</f>
        <v/>
      </c>
      <c r="M55" s="12">
        <f>IF(A55="","",Rates!$B$12/12)</f>
        <v/>
      </c>
      <c r="N55" s="12">
        <f>IF(A55="","",D55+I55+J55+K55+L55+M55)</f>
        <v/>
      </c>
      <c r="O55" s="13">
        <f>IF(A55="","",MAX(0,MIN(12,IF(G55="",12,G55))-MAX(1,F55)+1))</f>
        <v/>
      </c>
      <c r="P55" s="12">
        <f>IF(A55="","",N55*O55)</f>
        <v/>
      </c>
      <c r="Q55" s="12">
        <f>IF(A55="","",0.12*IF(Rates!$B$6=1,MIN(H55,Rates!$B$5),H55))</f>
        <v/>
      </c>
      <c r="R55" s="12">
        <f>IF(A55="","",IF(D55&lt;=Rates!$B$8,D55*0.0075,0))</f>
        <v/>
      </c>
    </row>
    <row r="56">
      <c r="A56" s="10" t="n"/>
      <c r="B56" s="10" t="n"/>
      <c r="C56" s="10" t="n"/>
      <c r="D56" s="8" t="n"/>
      <c r="E56" s="11" t="n"/>
      <c r="F56" s="9" t="n"/>
      <c r="G56" s="9" t="n"/>
      <c r="H56" s="12">
        <f>IF(A56="","",D56*E56)</f>
        <v/>
      </c>
      <c r="I56" s="12">
        <f>IF(A56="","",IF(Rates!$B$6=1,MIN(H56,Rates!$B$5),H56)*(Rates!$B$4+Rates!$B$13))</f>
        <v/>
      </c>
      <c r="J56" s="12">
        <f>IF(A56="","",IF(D56&lt;=Rates!$B$8,D56*Rates!$B$7,0))</f>
        <v/>
      </c>
      <c r="K56" s="12">
        <f>IF(A56="","",H56*Rates!$B$9)</f>
        <v/>
      </c>
      <c r="L56" s="12">
        <f>IF(A56="","",IF(D56&lt;=Rates!$B$11,H56*Rates!$B$10,0))</f>
        <v/>
      </c>
      <c r="M56" s="12">
        <f>IF(A56="","",Rates!$B$12/12)</f>
        <v/>
      </c>
      <c r="N56" s="12">
        <f>IF(A56="","",D56+I56+J56+K56+L56+M56)</f>
        <v/>
      </c>
      <c r="O56" s="13">
        <f>IF(A56="","",MAX(0,MIN(12,IF(G56="",12,G56))-MAX(1,F56)+1))</f>
        <v/>
      </c>
      <c r="P56" s="12">
        <f>IF(A56="","",N56*O56)</f>
        <v/>
      </c>
      <c r="Q56" s="12">
        <f>IF(A56="","",0.12*IF(Rates!$B$6=1,MIN(H56,Rates!$B$5),H56))</f>
        <v/>
      </c>
      <c r="R56" s="12">
        <f>IF(A56="","",IF(D56&lt;=Rates!$B$8,D56*0.0075,0))</f>
        <v/>
      </c>
    </row>
    <row r="57">
      <c r="A57" s="10" t="n"/>
      <c r="B57" s="10" t="n"/>
      <c r="C57" s="10" t="n"/>
      <c r="D57" s="8" t="n"/>
      <c r="E57" s="11" t="n"/>
      <c r="F57" s="9" t="n"/>
      <c r="G57" s="9" t="n"/>
      <c r="H57" s="12">
        <f>IF(A57="","",D57*E57)</f>
        <v/>
      </c>
      <c r="I57" s="12">
        <f>IF(A57="","",IF(Rates!$B$6=1,MIN(H57,Rates!$B$5),H57)*(Rates!$B$4+Rates!$B$13))</f>
        <v/>
      </c>
      <c r="J57" s="12">
        <f>IF(A57="","",IF(D57&lt;=Rates!$B$8,D57*Rates!$B$7,0))</f>
        <v/>
      </c>
      <c r="K57" s="12">
        <f>IF(A57="","",H57*Rates!$B$9)</f>
        <v/>
      </c>
      <c r="L57" s="12">
        <f>IF(A57="","",IF(D57&lt;=Rates!$B$11,H57*Rates!$B$10,0))</f>
        <v/>
      </c>
      <c r="M57" s="12">
        <f>IF(A57="","",Rates!$B$12/12)</f>
        <v/>
      </c>
      <c r="N57" s="12">
        <f>IF(A57="","",D57+I57+J57+K57+L57+M57)</f>
        <v/>
      </c>
      <c r="O57" s="13">
        <f>IF(A57="","",MAX(0,MIN(12,IF(G57="",12,G57))-MAX(1,F57)+1))</f>
        <v/>
      </c>
      <c r="P57" s="12">
        <f>IF(A57="","",N57*O57)</f>
        <v/>
      </c>
      <c r="Q57" s="12">
        <f>IF(A57="","",0.12*IF(Rates!$B$6=1,MIN(H57,Rates!$B$5),H57))</f>
        <v/>
      </c>
      <c r="R57" s="12">
        <f>IF(A57="","",IF(D57&lt;=Rates!$B$8,D57*0.0075,0))</f>
        <v/>
      </c>
    </row>
    <row r="58">
      <c r="A58" s="10" t="n"/>
      <c r="B58" s="10" t="n"/>
      <c r="C58" s="10" t="n"/>
      <c r="D58" s="8" t="n"/>
      <c r="E58" s="11" t="n"/>
      <c r="F58" s="9" t="n"/>
      <c r="G58" s="9" t="n"/>
      <c r="H58" s="12">
        <f>IF(A58="","",D58*E58)</f>
        <v/>
      </c>
      <c r="I58" s="12">
        <f>IF(A58="","",IF(Rates!$B$6=1,MIN(H58,Rates!$B$5),H58)*(Rates!$B$4+Rates!$B$13))</f>
        <v/>
      </c>
      <c r="J58" s="12">
        <f>IF(A58="","",IF(D58&lt;=Rates!$B$8,D58*Rates!$B$7,0))</f>
        <v/>
      </c>
      <c r="K58" s="12">
        <f>IF(A58="","",H58*Rates!$B$9)</f>
        <v/>
      </c>
      <c r="L58" s="12">
        <f>IF(A58="","",IF(D58&lt;=Rates!$B$11,H58*Rates!$B$10,0))</f>
        <v/>
      </c>
      <c r="M58" s="12">
        <f>IF(A58="","",Rates!$B$12/12)</f>
        <v/>
      </c>
      <c r="N58" s="12">
        <f>IF(A58="","",D58+I58+J58+K58+L58+M58)</f>
        <v/>
      </c>
      <c r="O58" s="13">
        <f>IF(A58="","",MAX(0,MIN(12,IF(G58="",12,G58))-MAX(1,F58)+1))</f>
        <v/>
      </c>
      <c r="P58" s="12">
        <f>IF(A58="","",N58*O58)</f>
        <v/>
      </c>
      <c r="Q58" s="12">
        <f>IF(A58="","",0.12*IF(Rates!$B$6=1,MIN(H58,Rates!$B$5),H58))</f>
        <v/>
      </c>
      <c r="R58" s="12">
        <f>IF(A58="","",IF(D58&lt;=Rates!$B$8,D58*0.0075,0))</f>
        <v/>
      </c>
    </row>
    <row r="59">
      <c r="A59" s="10" t="n"/>
      <c r="B59" s="10" t="n"/>
      <c r="C59" s="10" t="n"/>
      <c r="D59" s="8" t="n"/>
      <c r="E59" s="11" t="n"/>
      <c r="F59" s="9" t="n"/>
      <c r="G59" s="9" t="n"/>
      <c r="H59" s="12">
        <f>IF(A59="","",D59*E59)</f>
        <v/>
      </c>
      <c r="I59" s="12">
        <f>IF(A59="","",IF(Rates!$B$6=1,MIN(H59,Rates!$B$5),H59)*(Rates!$B$4+Rates!$B$13))</f>
        <v/>
      </c>
      <c r="J59" s="12">
        <f>IF(A59="","",IF(D59&lt;=Rates!$B$8,D59*Rates!$B$7,0))</f>
        <v/>
      </c>
      <c r="K59" s="12">
        <f>IF(A59="","",H59*Rates!$B$9)</f>
        <v/>
      </c>
      <c r="L59" s="12">
        <f>IF(A59="","",IF(D59&lt;=Rates!$B$11,H59*Rates!$B$10,0))</f>
        <v/>
      </c>
      <c r="M59" s="12">
        <f>IF(A59="","",Rates!$B$12/12)</f>
        <v/>
      </c>
      <c r="N59" s="12">
        <f>IF(A59="","",D59+I59+J59+K59+L59+M59)</f>
        <v/>
      </c>
      <c r="O59" s="13">
        <f>IF(A59="","",MAX(0,MIN(12,IF(G59="",12,G59))-MAX(1,F59)+1))</f>
        <v/>
      </c>
      <c r="P59" s="12">
        <f>IF(A59="","",N59*O59)</f>
        <v/>
      </c>
      <c r="Q59" s="12">
        <f>IF(A59="","",0.12*IF(Rates!$B$6=1,MIN(H59,Rates!$B$5),H59))</f>
        <v/>
      </c>
      <c r="R59" s="12">
        <f>IF(A59="","",IF(D59&lt;=Rates!$B$8,D59*0.0075,0))</f>
        <v/>
      </c>
    </row>
    <row r="60">
      <c r="A60" s="10" t="n"/>
      <c r="B60" s="10" t="n"/>
      <c r="C60" s="10" t="n"/>
      <c r="D60" s="8" t="n"/>
      <c r="E60" s="11" t="n"/>
      <c r="F60" s="9" t="n"/>
      <c r="G60" s="9" t="n"/>
      <c r="H60" s="12">
        <f>IF(A60="","",D60*E60)</f>
        <v/>
      </c>
      <c r="I60" s="12">
        <f>IF(A60="","",IF(Rates!$B$6=1,MIN(H60,Rates!$B$5),H60)*(Rates!$B$4+Rates!$B$13))</f>
        <v/>
      </c>
      <c r="J60" s="12">
        <f>IF(A60="","",IF(D60&lt;=Rates!$B$8,D60*Rates!$B$7,0))</f>
        <v/>
      </c>
      <c r="K60" s="12">
        <f>IF(A60="","",H60*Rates!$B$9)</f>
        <v/>
      </c>
      <c r="L60" s="12">
        <f>IF(A60="","",IF(D60&lt;=Rates!$B$11,H60*Rates!$B$10,0))</f>
        <v/>
      </c>
      <c r="M60" s="12">
        <f>IF(A60="","",Rates!$B$12/12)</f>
        <v/>
      </c>
      <c r="N60" s="12">
        <f>IF(A60="","",D60+I60+J60+K60+L60+M60)</f>
        <v/>
      </c>
      <c r="O60" s="13">
        <f>IF(A60="","",MAX(0,MIN(12,IF(G60="",12,G60))-MAX(1,F60)+1))</f>
        <v/>
      </c>
      <c r="P60" s="12">
        <f>IF(A60="","",N60*O60)</f>
        <v/>
      </c>
      <c r="Q60" s="12">
        <f>IF(A60="","",0.12*IF(Rates!$B$6=1,MIN(H60,Rates!$B$5),H60))</f>
        <v/>
      </c>
      <c r="R60" s="12">
        <f>IF(A60="","",IF(D60&lt;=Rates!$B$8,D60*0.0075,0))</f>
        <v/>
      </c>
    </row>
    <row r="61">
      <c r="A61" s="10" t="n"/>
      <c r="B61" s="10" t="n"/>
      <c r="C61" s="10" t="n"/>
      <c r="D61" s="8" t="n"/>
      <c r="E61" s="11" t="n"/>
      <c r="F61" s="9" t="n"/>
      <c r="G61" s="9" t="n"/>
      <c r="H61" s="12">
        <f>IF(A61="","",D61*E61)</f>
        <v/>
      </c>
      <c r="I61" s="12">
        <f>IF(A61="","",IF(Rates!$B$6=1,MIN(H61,Rates!$B$5),H61)*(Rates!$B$4+Rates!$B$13))</f>
        <v/>
      </c>
      <c r="J61" s="12">
        <f>IF(A61="","",IF(D61&lt;=Rates!$B$8,D61*Rates!$B$7,0))</f>
        <v/>
      </c>
      <c r="K61" s="12">
        <f>IF(A61="","",H61*Rates!$B$9)</f>
        <v/>
      </c>
      <c r="L61" s="12">
        <f>IF(A61="","",IF(D61&lt;=Rates!$B$11,H61*Rates!$B$10,0))</f>
        <v/>
      </c>
      <c r="M61" s="12">
        <f>IF(A61="","",Rates!$B$12/12)</f>
        <v/>
      </c>
      <c r="N61" s="12">
        <f>IF(A61="","",D61+I61+J61+K61+L61+M61)</f>
        <v/>
      </c>
      <c r="O61" s="13">
        <f>IF(A61="","",MAX(0,MIN(12,IF(G61="",12,G61))-MAX(1,F61)+1))</f>
        <v/>
      </c>
      <c r="P61" s="12">
        <f>IF(A61="","",N61*O61)</f>
        <v/>
      </c>
      <c r="Q61" s="12">
        <f>IF(A61="","",0.12*IF(Rates!$B$6=1,MIN(H61,Rates!$B$5),H61))</f>
        <v/>
      </c>
      <c r="R61" s="12">
        <f>IF(A61="","",IF(D61&lt;=Rates!$B$8,D61*0.0075,0))</f>
        <v/>
      </c>
    </row>
    <row r="62">
      <c r="A62" s="10" t="n"/>
      <c r="B62" s="10" t="n"/>
      <c r="C62" s="10" t="n"/>
      <c r="D62" s="8" t="n"/>
      <c r="E62" s="11" t="n"/>
      <c r="F62" s="9" t="n"/>
      <c r="G62" s="9" t="n"/>
      <c r="H62" s="12">
        <f>IF(A62="","",D62*E62)</f>
        <v/>
      </c>
      <c r="I62" s="12">
        <f>IF(A62="","",IF(Rates!$B$6=1,MIN(H62,Rates!$B$5),H62)*(Rates!$B$4+Rates!$B$13))</f>
        <v/>
      </c>
      <c r="J62" s="12">
        <f>IF(A62="","",IF(D62&lt;=Rates!$B$8,D62*Rates!$B$7,0))</f>
        <v/>
      </c>
      <c r="K62" s="12">
        <f>IF(A62="","",H62*Rates!$B$9)</f>
        <v/>
      </c>
      <c r="L62" s="12">
        <f>IF(A62="","",IF(D62&lt;=Rates!$B$11,H62*Rates!$B$10,0))</f>
        <v/>
      </c>
      <c r="M62" s="12">
        <f>IF(A62="","",Rates!$B$12/12)</f>
        <v/>
      </c>
      <c r="N62" s="12">
        <f>IF(A62="","",D62+I62+J62+K62+L62+M62)</f>
        <v/>
      </c>
      <c r="O62" s="13">
        <f>IF(A62="","",MAX(0,MIN(12,IF(G62="",12,G62))-MAX(1,F62)+1))</f>
        <v/>
      </c>
      <c r="P62" s="12">
        <f>IF(A62="","",N62*O62)</f>
        <v/>
      </c>
      <c r="Q62" s="12">
        <f>IF(A62="","",0.12*IF(Rates!$B$6=1,MIN(H62,Rates!$B$5),H62))</f>
        <v/>
      </c>
      <c r="R62" s="12">
        <f>IF(A62="","",IF(D62&lt;=Rates!$B$8,D62*0.0075,0))</f>
        <v/>
      </c>
    </row>
    <row r="63">
      <c r="A63" s="10" t="n"/>
      <c r="B63" s="10" t="n"/>
      <c r="C63" s="10" t="n"/>
      <c r="D63" s="8" t="n"/>
      <c r="E63" s="11" t="n"/>
      <c r="F63" s="9" t="n"/>
      <c r="G63" s="9" t="n"/>
      <c r="H63" s="12">
        <f>IF(A63="","",D63*E63)</f>
        <v/>
      </c>
      <c r="I63" s="12">
        <f>IF(A63="","",IF(Rates!$B$6=1,MIN(H63,Rates!$B$5),H63)*(Rates!$B$4+Rates!$B$13))</f>
        <v/>
      </c>
      <c r="J63" s="12">
        <f>IF(A63="","",IF(D63&lt;=Rates!$B$8,D63*Rates!$B$7,0))</f>
        <v/>
      </c>
      <c r="K63" s="12">
        <f>IF(A63="","",H63*Rates!$B$9)</f>
        <v/>
      </c>
      <c r="L63" s="12">
        <f>IF(A63="","",IF(D63&lt;=Rates!$B$11,H63*Rates!$B$10,0))</f>
        <v/>
      </c>
      <c r="M63" s="12">
        <f>IF(A63="","",Rates!$B$12/12)</f>
        <v/>
      </c>
      <c r="N63" s="12">
        <f>IF(A63="","",D63+I63+J63+K63+L63+M63)</f>
        <v/>
      </c>
      <c r="O63" s="13">
        <f>IF(A63="","",MAX(0,MIN(12,IF(G63="",12,G63))-MAX(1,F63)+1))</f>
        <v/>
      </c>
      <c r="P63" s="12">
        <f>IF(A63="","",N63*O63)</f>
        <v/>
      </c>
      <c r="Q63" s="12">
        <f>IF(A63="","",0.12*IF(Rates!$B$6=1,MIN(H63,Rates!$B$5),H63))</f>
        <v/>
      </c>
      <c r="R63" s="12">
        <f>IF(A63="","",IF(D63&lt;=Rates!$B$8,D63*0.0075,0))</f>
        <v/>
      </c>
    </row>
    <row r="64">
      <c r="A64" s="10" t="n"/>
      <c r="B64" s="10" t="n"/>
      <c r="C64" s="10" t="n"/>
      <c r="D64" s="8" t="n"/>
      <c r="E64" s="11" t="n"/>
      <c r="F64" s="9" t="n"/>
      <c r="G64" s="9" t="n"/>
      <c r="H64" s="12">
        <f>IF(A64="","",D64*E64)</f>
        <v/>
      </c>
      <c r="I64" s="12">
        <f>IF(A64="","",IF(Rates!$B$6=1,MIN(H64,Rates!$B$5),H64)*(Rates!$B$4+Rates!$B$13))</f>
        <v/>
      </c>
      <c r="J64" s="12">
        <f>IF(A64="","",IF(D64&lt;=Rates!$B$8,D64*Rates!$B$7,0))</f>
        <v/>
      </c>
      <c r="K64" s="12">
        <f>IF(A64="","",H64*Rates!$B$9)</f>
        <v/>
      </c>
      <c r="L64" s="12">
        <f>IF(A64="","",IF(D64&lt;=Rates!$B$11,H64*Rates!$B$10,0))</f>
        <v/>
      </c>
      <c r="M64" s="12">
        <f>IF(A64="","",Rates!$B$12/12)</f>
        <v/>
      </c>
      <c r="N64" s="12">
        <f>IF(A64="","",D64+I64+J64+K64+L64+M64)</f>
        <v/>
      </c>
      <c r="O64" s="13">
        <f>IF(A64="","",MAX(0,MIN(12,IF(G64="",12,G64))-MAX(1,F64)+1))</f>
        <v/>
      </c>
      <c r="P64" s="12">
        <f>IF(A64="","",N64*O64)</f>
        <v/>
      </c>
      <c r="Q64" s="12">
        <f>IF(A64="","",0.12*IF(Rates!$B$6=1,MIN(H64,Rates!$B$5),H64))</f>
        <v/>
      </c>
      <c r="R64" s="12">
        <f>IF(A64="","",IF(D64&lt;=Rates!$B$8,D64*0.0075,0))</f>
        <v/>
      </c>
    </row>
    <row r="65">
      <c r="A65" s="10" t="n"/>
      <c r="B65" s="10" t="n"/>
      <c r="C65" s="10" t="n"/>
      <c r="D65" s="8" t="n"/>
      <c r="E65" s="11" t="n"/>
      <c r="F65" s="9" t="n"/>
      <c r="G65" s="9" t="n"/>
      <c r="H65" s="12">
        <f>IF(A65="","",D65*E65)</f>
        <v/>
      </c>
      <c r="I65" s="12">
        <f>IF(A65="","",IF(Rates!$B$6=1,MIN(H65,Rates!$B$5),H65)*(Rates!$B$4+Rates!$B$13))</f>
        <v/>
      </c>
      <c r="J65" s="12">
        <f>IF(A65="","",IF(D65&lt;=Rates!$B$8,D65*Rates!$B$7,0))</f>
        <v/>
      </c>
      <c r="K65" s="12">
        <f>IF(A65="","",H65*Rates!$B$9)</f>
        <v/>
      </c>
      <c r="L65" s="12">
        <f>IF(A65="","",IF(D65&lt;=Rates!$B$11,H65*Rates!$B$10,0))</f>
        <v/>
      </c>
      <c r="M65" s="12">
        <f>IF(A65="","",Rates!$B$12/12)</f>
        <v/>
      </c>
      <c r="N65" s="12">
        <f>IF(A65="","",D65+I65+J65+K65+L65+M65)</f>
        <v/>
      </c>
      <c r="O65" s="13">
        <f>IF(A65="","",MAX(0,MIN(12,IF(G65="",12,G65))-MAX(1,F65)+1))</f>
        <v/>
      </c>
      <c r="P65" s="12">
        <f>IF(A65="","",N65*O65)</f>
        <v/>
      </c>
      <c r="Q65" s="12">
        <f>IF(A65="","",0.12*IF(Rates!$B$6=1,MIN(H65,Rates!$B$5),H65))</f>
        <v/>
      </c>
      <c r="R65" s="12">
        <f>IF(A65="","",IF(D65&lt;=Rates!$B$8,D65*0.0075,0))</f>
        <v/>
      </c>
    </row>
    <row r="66">
      <c r="A66" s="10" t="n"/>
      <c r="B66" s="10" t="n"/>
      <c r="C66" s="10" t="n"/>
      <c r="D66" s="8" t="n"/>
      <c r="E66" s="11" t="n"/>
      <c r="F66" s="9" t="n"/>
      <c r="G66" s="9" t="n"/>
      <c r="H66" s="12">
        <f>IF(A66="","",D66*E66)</f>
        <v/>
      </c>
      <c r="I66" s="12">
        <f>IF(A66="","",IF(Rates!$B$6=1,MIN(H66,Rates!$B$5),H66)*(Rates!$B$4+Rates!$B$13))</f>
        <v/>
      </c>
      <c r="J66" s="12">
        <f>IF(A66="","",IF(D66&lt;=Rates!$B$8,D66*Rates!$B$7,0))</f>
        <v/>
      </c>
      <c r="K66" s="12">
        <f>IF(A66="","",H66*Rates!$B$9)</f>
        <v/>
      </c>
      <c r="L66" s="12">
        <f>IF(A66="","",IF(D66&lt;=Rates!$B$11,H66*Rates!$B$10,0))</f>
        <v/>
      </c>
      <c r="M66" s="12">
        <f>IF(A66="","",Rates!$B$12/12)</f>
        <v/>
      </c>
      <c r="N66" s="12">
        <f>IF(A66="","",D66+I66+J66+K66+L66+M66)</f>
        <v/>
      </c>
      <c r="O66" s="13">
        <f>IF(A66="","",MAX(0,MIN(12,IF(G66="",12,G66))-MAX(1,F66)+1))</f>
        <v/>
      </c>
      <c r="P66" s="12">
        <f>IF(A66="","",N66*O66)</f>
        <v/>
      </c>
      <c r="Q66" s="12">
        <f>IF(A66="","",0.12*IF(Rates!$B$6=1,MIN(H66,Rates!$B$5),H66))</f>
        <v/>
      </c>
      <c r="R66" s="12">
        <f>IF(A66="","",IF(D66&lt;=Rates!$B$8,D66*0.0075,0))</f>
        <v/>
      </c>
    </row>
    <row r="67">
      <c r="A67" s="10" t="n"/>
      <c r="B67" s="10" t="n"/>
      <c r="C67" s="10" t="n"/>
      <c r="D67" s="8" t="n"/>
      <c r="E67" s="11" t="n"/>
      <c r="F67" s="9" t="n"/>
      <c r="G67" s="9" t="n"/>
      <c r="H67" s="12">
        <f>IF(A67="","",D67*E67)</f>
        <v/>
      </c>
      <c r="I67" s="12">
        <f>IF(A67="","",IF(Rates!$B$6=1,MIN(H67,Rates!$B$5),H67)*(Rates!$B$4+Rates!$B$13))</f>
        <v/>
      </c>
      <c r="J67" s="12">
        <f>IF(A67="","",IF(D67&lt;=Rates!$B$8,D67*Rates!$B$7,0))</f>
        <v/>
      </c>
      <c r="K67" s="12">
        <f>IF(A67="","",H67*Rates!$B$9)</f>
        <v/>
      </c>
      <c r="L67" s="12">
        <f>IF(A67="","",IF(D67&lt;=Rates!$B$11,H67*Rates!$B$10,0))</f>
        <v/>
      </c>
      <c r="M67" s="12">
        <f>IF(A67="","",Rates!$B$12/12)</f>
        <v/>
      </c>
      <c r="N67" s="12">
        <f>IF(A67="","",D67+I67+J67+K67+L67+M67)</f>
        <v/>
      </c>
      <c r="O67" s="13">
        <f>IF(A67="","",MAX(0,MIN(12,IF(G67="",12,G67))-MAX(1,F67)+1))</f>
        <v/>
      </c>
      <c r="P67" s="12">
        <f>IF(A67="","",N67*O67)</f>
        <v/>
      </c>
      <c r="Q67" s="12">
        <f>IF(A67="","",0.12*IF(Rates!$B$6=1,MIN(H67,Rates!$B$5),H67))</f>
        <v/>
      </c>
      <c r="R67" s="12">
        <f>IF(A67="","",IF(D67&lt;=Rates!$B$8,D67*0.0075,0))</f>
        <v/>
      </c>
    </row>
    <row r="68">
      <c r="A68" s="10" t="n"/>
      <c r="B68" s="10" t="n"/>
      <c r="C68" s="10" t="n"/>
      <c r="D68" s="8" t="n"/>
      <c r="E68" s="11" t="n"/>
      <c r="F68" s="9" t="n"/>
      <c r="G68" s="9" t="n"/>
      <c r="H68" s="12">
        <f>IF(A68="","",D68*E68)</f>
        <v/>
      </c>
      <c r="I68" s="12">
        <f>IF(A68="","",IF(Rates!$B$6=1,MIN(H68,Rates!$B$5),H68)*(Rates!$B$4+Rates!$B$13))</f>
        <v/>
      </c>
      <c r="J68" s="12">
        <f>IF(A68="","",IF(D68&lt;=Rates!$B$8,D68*Rates!$B$7,0))</f>
        <v/>
      </c>
      <c r="K68" s="12">
        <f>IF(A68="","",H68*Rates!$B$9)</f>
        <v/>
      </c>
      <c r="L68" s="12">
        <f>IF(A68="","",IF(D68&lt;=Rates!$B$11,H68*Rates!$B$10,0))</f>
        <v/>
      </c>
      <c r="M68" s="12">
        <f>IF(A68="","",Rates!$B$12/12)</f>
        <v/>
      </c>
      <c r="N68" s="12">
        <f>IF(A68="","",D68+I68+J68+K68+L68+M68)</f>
        <v/>
      </c>
      <c r="O68" s="13">
        <f>IF(A68="","",MAX(0,MIN(12,IF(G68="",12,G68))-MAX(1,F68)+1))</f>
        <v/>
      </c>
      <c r="P68" s="12">
        <f>IF(A68="","",N68*O68)</f>
        <v/>
      </c>
      <c r="Q68" s="12">
        <f>IF(A68="","",0.12*IF(Rates!$B$6=1,MIN(H68,Rates!$B$5),H68))</f>
        <v/>
      </c>
      <c r="R68" s="12">
        <f>IF(A68="","",IF(D68&lt;=Rates!$B$8,D68*0.0075,0))</f>
        <v/>
      </c>
    </row>
    <row r="69">
      <c r="A69" s="10" t="n"/>
      <c r="B69" s="10" t="n"/>
      <c r="C69" s="10" t="n"/>
      <c r="D69" s="8" t="n"/>
      <c r="E69" s="11" t="n"/>
      <c r="F69" s="9" t="n"/>
      <c r="G69" s="9" t="n"/>
      <c r="H69" s="12">
        <f>IF(A69="","",D69*E69)</f>
        <v/>
      </c>
      <c r="I69" s="12">
        <f>IF(A69="","",IF(Rates!$B$6=1,MIN(H69,Rates!$B$5),H69)*(Rates!$B$4+Rates!$B$13))</f>
        <v/>
      </c>
      <c r="J69" s="12">
        <f>IF(A69="","",IF(D69&lt;=Rates!$B$8,D69*Rates!$B$7,0))</f>
        <v/>
      </c>
      <c r="K69" s="12">
        <f>IF(A69="","",H69*Rates!$B$9)</f>
        <v/>
      </c>
      <c r="L69" s="12">
        <f>IF(A69="","",IF(D69&lt;=Rates!$B$11,H69*Rates!$B$10,0))</f>
        <v/>
      </c>
      <c r="M69" s="12">
        <f>IF(A69="","",Rates!$B$12/12)</f>
        <v/>
      </c>
      <c r="N69" s="12">
        <f>IF(A69="","",D69+I69+J69+K69+L69+M69)</f>
        <v/>
      </c>
      <c r="O69" s="13">
        <f>IF(A69="","",MAX(0,MIN(12,IF(G69="",12,G69))-MAX(1,F69)+1))</f>
        <v/>
      </c>
      <c r="P69" s="12">
        <f>IF(A69="","",N69*O69)</f>
        <v/>
      </c>
      <c r="Q69" s="12">
        <f>IF(A69="","",0.12*IF(Rates!$B$6=1,MIN(H69,Rates!$B$5),H69))</f>
        <v/>
      </c>
      <c r="R69" s="12">
        <f>IF(A69="","",IF(D69&lt;=Rates!$B$8,D69*0.0075,0))</f>
        <v/>
      </c>
    </row>
    <row r="70">
      <c r="A70" s="10" t="n"/>
      <c r="B70" s="10" t="n"/>
      <c r="C70" s="10" t="n"/>
      <c r="D70" s="8" t="n"/>
      <c r="E70" s="11" t="n"/>
      <c r="F70" s="9" t="n"/>
      <c r="G70" s="9" t="n"/>
      <c r="H70" s="12">
        <f>IF(A70="","",D70*E70)</f>
        <v/>
      </c>
      <c r="I70" s="12">
        <f>IF(A70="","",IF(Rates!$B$6=1,MIN(H70,Rates!$B$5),H70)*(Rates!$B$4+Rates!$B$13))</f>
        <v/>
      </c>
      <c r="J70" s="12">
        <f>IF(A70="","",IF(D70&lt;=Rates!$B$8,D70*Rates!$B$7,0))</f>
        <v/>
      </c>
      <c r="K70" s="12">
        <f>IF(A70="","",H70*Rates!$B$9)</f>
        <v/>
      </c>
      <c r="L70" s="12">
        <f>IF(A70="","",IF(D70&lt;=Rates!$B$11,H70*Rates!$B$10,0))</f>
        <v/>
      </c>
      <c r="M70" s="12">
        <f>IF(A70="","",Rates!$B$12/12)</f>
        <v/>
      </c>
      <c r="N70" s="12">
        <f>IF(A70="","",D70+I70+J70+K70+L70+M70)</f>
        <v/>
      </c>
      <c r="O70" s="13">
        <f>IF(A70="","",MAX(0,MIN(12,IF(G70="",12,G70))-MAX(1,F70)+1))</f>
        <v/>
      </c>
      <c r="P70" s="12">
        <f>IF(A70="","",N70*O70)</f>
        <v/>
      </c>
      <c r="Q70" s="12">
        <f>IF(A70="","",0.12*IF(Rates!$B$6=1,MIN(H70,Rates!$B$5),H70))</f>
        <v/>
      </c>
      <c r="R70" s="12">
        <f>IF(A70="","",IF(D70&lt;=Rates!$B$8,D70*0.0075,0))</f>
        <v/>
      </c>
    </row>
    <row r="71">
      <c r="A71" s="10" t="n"/>
      <c r="B71" s="10" t="n"/>
      <c r="C71" s="10" t="n"/>
      <c r="D71" s="8" t="n"/>
      <c r="E71" s="11" t="n"/>
      <c r="F71" s="9" t="n"/>
      <c r="G71" s="9" t="n"/>
      <c r="H71" s="12">
        <f>IF(A71="","",D71*E71)</f>
        <v/>
      </c>
      <c r="I71" s="12">
        <f>IF(A71="","",IF(Rates!$B$6=1,MIN(H71,Rates!$B$5),H71)*(Rates!$B$4+Rates!$B$13))</f>
        <v/>
      </c>
      <c r="J71" s="12">
        <f>IF(A71="","",IF(D71&lt;=Rates!$B$8,D71*Rates!$B$7,0))</f>
        <v/>
      </c>
      <c r="K71" s="12">
        <f>IF(A71="","",H71*Rates!$B$9)</f>
        <v/>
      </c>
      <c r="L71" s="12">
        <f>IF(A71="","",IF(D71&lt;=Rates!$B$11,H71*Rates!$B$10,0))</f>
        <v/>
      </c>
      <c r="M71" s="12">
        <f>IF(A71="","",Rates!$B$12/12)</f>
        <v/>
      </c>
      <c r="N71" s="12">
        <f>IF(A71="","",D71+I71+J71+K71+L71+M71)</f>
        <v/>
      </c>
      <c r="O71" s="13">
        <f>IF(A71="","",MAX(0,MIN(12,IF(G71="",12,G71))-MAX(1,F71)+1))</f>
        <v/>
      </c>
      <c r="P71" s="12">
        <f>IF(A71="","",N71*O71)</f>
        <v/>
      </c>
      <c r="Q71" s="12">
        <f>IF(A71="","",0.12*IF(Rates!$B$6=1,MIN(H71,Rates!$B$5),H71))</f>
        <v/>
      </c>
      <c r="R71" s="12">
        <f>IF(A71="","",IF(D71&lt;=Rates!$B$8,D71*0.0075,0))</f>
        <v/>
      </c>
    </row>
    <row r="72">
      <c r="A72" s="10" t="n"/>
      <c r="B72" s="10" t="n"/>
      <c r="C72" s="10" t="n"/>
      <c r="D72" s="8" t="n"/>
      <c r="E72" s="11" t="n"/>
      <c r="F72" s="9" t="n"/>
      <c r="G72" s="9" t="n"/>
      <c r="H72" s="12">
        <f>IF(A72="","",D72*E72)</f>
        <v/>
      </c>
      <c r="I72" s="12">
        <f>IF(A72="","",IF(Rates!$B$6=1,MIN(H72,Rates!$B$5),H72)*(Rates!$B$4+Rates!$B$13))</f>
        <v/>
      </c>
      <c r="J72" s="12">
        <f>IF(A72="","",IF(D72&lt;=Rates!$B$8,D72*Rates!$B$7,0))</f>
        <v/>
      </c>
      <c r="K72" s="12">
        <f>IF(A72="","",H72*Rates!$B$9)</f>
        <v/>
      </c>
      <c r="L72" s="12">
        <f>IF(A72="","",IF(D72&lt;=Rates!$B$11,H72*Rates!$B$10,0))</f>
        <v/>
      </c>
      <c r="M72" s="12">
        <f>IF(A72="","",Rates!$B$12/12)</f>
        <v/>
      </c>
      <c r="N72" s="12">
        <f>IF(A72="","",D72+I72+J72+K72+L72+M72)</f>
        <v/>
      </c>
      <c r="O72" s="13">
        <f>IF(A72="","",MAX(0,MIN(12,IF(G72="",12,G72))-MAX(1,F72)+1))</f>
        <v/>
      </c>
      <c r="P72" s="12">
        <f>IF(A72="","",N72*O72)</f>
        <v/>
      </c>
      <c r="Q72" s="12">
        <f>IF(A72="","",0.12*IF(Rates!$B$6=1,MIN(H72,Rates!$B$5),H72))</f>
        <v/>
      </c>
      <c r="R72" s="12">
        <f>IF(A72="","",IF(D72&lt;=Rates!$B$8,D72*0.0075,0))</f>
        <v/>
      </c>
    </row>
    <row r="73">
      <c r="A73" s="10" t="n"/>
      <c r="B73" s="10" t="n"/>
      <c r="C73" s="10" t="n"/>
      <c r="D73" s="8" t="n"/>
      <c r="E73" s="11" t="n"/>
      <c r="F73" s="9" t="n"/>
      <c r="G73" s="9" t="n"/>
      <c r="H73" s="12">
        <f>IF(A73="","",D73*E73)</f>
        <v/>
      </c>
      <c r="I73" s="12">
        <f>IF(A73="","",IF(Rates!$B$6=1,MIN(H73,Rates!$B$5),H73)*(Rates!$B$4+Rates!$B$13))</f>
        <v/>
      </c>
      <c r="J73" s="12">
        <f>IF(A73="","",IF(D73&lt;=Rates!$B$8,D73*Rates!$B$7,0))</f>
        <v/>
      </c>
      <c r="K73" s="12">
        <f>IF(A73="","",H73*Rates!$B$9)</f>
        <v/>
      </c>
      <c r="L73" s="12">
        <f>IF(A73="","",IF(D73&lt;=Rates!$B$11,H73*Rates!$B$10,0))</f>
        <v/>
      </c>
      <c r="M73" s="12">
        <f>IF(A73="","",Rates!$B$12/12)</f>
        <v/>
      </c>
      <c r="N73" s="12">
        <f>IF(A73="","",D73+I73+J73+K73+L73+M73)</f>
        <v/>
      </c>
      <c r="O73" s="13">
        <f>IF(A73="","",MAX(0,MIN(12,IF(G73="",12,G73))-MAX(1,F73)+1))</f>
        <v/>
      </c>
      <c r="P73" s="12">
        <f>IF(A73="","",N73*O73)</f>
        <v/>
      </c>
      <c r="Q73" s="12">
        <f>IF(A73="","",0.12*IF(Rates!$B$6=1,MIN(H73,Rates!$B$5),H73))</f>
        <v/>
      </c>
      <c r="R73" s="12">
        <f>IF(A73="","",IF(D73&lt;=Rates!$B$8,D73*0.0075,0))</f>
        <v/>
      </c>
    </row>
    <row r="74">
      <c r="A74" s="10" t="n"/>
      <c r="B74" s="10" t="n"/>
      <c r="C74" s="10" t="n"/>
      <c r="D74" s="8" t="n"/>
      <c r="E74" s="11" t="n"/>
      <c r="F74" s="9" t="n"/>
      <c r="G74" s="9" t="n"/>
      <c r="H74" s="12">
        <f>IF(A74="","",D74*E74)</f>
        <v/>
      </c>
      <c r="I74" s="12">
        <f>IF(A74="","",IF(Rates!$B$6=1,MIN(H74,Rates!$B$5),H74)*(Rates!$B$4+Rates!$B$13))</f>
        <v/>
      </c>
      <c r="J74" s="12">
        <f>IF(A74="","",IF(D74&lt;=Rates!$B$8,D74*Rates!$B$7,0))</f>
        <v/>
      </c>
      <c r="K74" s="12">
        <f>IF(A74="","",H74*Rates!$B$9)</f>
        <v/>
      </c>
      <c r="L74" s="12">
        <f>IF(A74="","",IF(D74&lt;=Rates!$B$11,H74*Rates!$B$10,0))</f>
        <v/>
      </c>
      <c r="M74" s="12">
        <f>IF(A74="","",Rates!$B$12/12)</f>
        <v/>
      </c>
      <c r="N74" s="12">
        <f>IF(A74="","",D74+I74+J74+K74+L74+M74)</f>
        <v/>
      </c>
      <c r="O74" s="13">
        <f>IF(A74="","",MAX(0,MIN(12,IF(G74="",12,G74))-MAX(1,F74)+1))</f>
        <v/>
      </c>
      <c r="P74" s="12">
        <f>IF(A74="","",N74*O74)</f>
        <v/>
      </c>
      <c r="Q74" s="12">
        <f>IF(A74="","",0.12*IF(Rates!$B$6=1,MIN(H74,Rates!$B$5),H74))</f>
        <v/>
      </c>
      <c r="R74" s="12">
        <f>IF(A74="","",IF(D74&lt;=Rates!$B$8,D74*0.0075,0))</f>
        <v/>
      </c>
    </row>
    <row r="75">
      <c r="A75" s="10" t="n"/>
      <c r="B75" s="10" t="n"/>
      <c r="C75" s="10" t="n"/>
      <c r="D75" s="8" t="n"/>
      <c r="E75" s="11" t="n"/>
      <c r="F75" s="9" t="n"/>
      <c r="G75" s="9" t="n"/>
      <c r="H75" s="12">
        <f>IF(A75="","",D75*E75)</f>
        <v/>
      </c>
      <c r="I75" s="12">
        <f>IF(A75="","",IF(Rates!$B$6=1,MIN(H75,Rates!$B$5),H75)*(Rates!$B$4+Rates!$B$13))</f>
        <v/>
      </c>
      <c r="J75" s="12">
        <f>IF(A75="","",IF(D75&lt;=Rates!$B$8,D75*Rates!$B$7,0))</f>
        <v/>
      </c>
      <c r="K75" s="12">
        <f>IF(A75="","",H75*Rates!$B$9)</f>
        <v/>
      </c>
      <c r="L75" s="12">
        <f>IF(A75="","",IF(D75&lt;=Rates!$B$11,H75*Rates!$B$10,0))</f>
        <v/>
      </c>
      <c r="M75" s="12">
        <f>IF(A75="","",Rates!$B$12/12)</f>
        <v/>
      </c>
      <c r="N75" s="12">
        <f>IF(A75="","",D75+I75+J75+K75+L75+M75)</f>
        <v/>
      </c>
      <c r="O75" s="13">
        <f>IF(A75="","",MAX(0,MIN(12,IF(G75="",12,G75))-MAX(1,F75)+1))</f>
        <v/>
      </c>
      <c r="P75" s="12">
        <f>IF(A75="","",N75*O75)</f>
        <v/>
      </c>
      <c r="Q75" s="12">
        <f>IF(A75="","",0.12*IF(Rates!$B$6=1,MIN(H75,Rates!$B$5),H75))</f>
        <v/>
      </c>
      <c r="R75" s="12">
        <f>IF(A75="","",IF(D75&lt;=Rates!$B$8,D75*0.0075,0))</f>
        <v/>
      </c>
    </row>
    <row r="76">
      <c r="A76" s="10" t="n"/>
      <c r="B76" s="10" t="n"/>
      <c r="C76" s="10" t="n"/>
      <c r="D76" s="8" t="n"/>
      <c r="E76" s="11" t="n"/>
      <c r="F76" s="9" t="n"/>
      <c r="G76" s="9" t="n"/>
      <c r="H76" s="12">
        <f>IF(A76="","",D76*E76)</f>
        <v/>
      </c>
      <c r="I76" s="12">
        <f>IF(A76="","",IF(Rates!$B$6=1,MIN(H76,Rates!$B$5),H76)*(Rates!$B$4+Rates!$B$13))</f>
        <v/>
      </c>
      <c r="J76" s="12">
        <f>IF(A76="","",IF(D76&lt;=Rates!$B$8,D76*Rates!$B$7,0))</f>
        <v/>
      </c>
      <c r="K76" s="12">
        <f>IF(A76="","",H76*Rates!$B$9)</f>
        <v/>
      </c>
      <c r="L76" s="12">
        <f>IF(A76="","",IF(D76&lt;=Rates!$B$11,H76*Rates!$B$10,0))</f>
        <v/>
      </c>
      <c r="M76" s="12">
        <f>IF(A76="","",Rates!$B$12/12)</f>
        <v/>
      </c>
      <c r="N76" s="12">
        <f>IF(A76="","",D76+I76+J76+K76+L76+M76)</f>
        <v/>
      </c>
      <c r="O76" s="13">
        <f>IF(A76="","",MAX(0,MIN(12,IF(G76="",12,G76))-MAX(1,F76)+1))</f>
        <v/>
      </c>
      <c r="P76" s="12">
        <f>IF(A76="","",N76*O76)</f>
        <v/>
      </c>
      <c r="Q76" s="12">
        <f>IF(A76="","",0.12*IF(Rates!$B$6=1,MIN(H76,Rates!$B$5),H76))</f>
        <v/>
      </c>
      <c r="R76" s="12">
        <f>IF(A76="","",IF(D76&lt;=Rates!$B$8,D76*0.0075,0))</f>
        <v/>
      </c>
    </row>
    <row r="77">
      <c r="A77" s="10" t="n"/>
      <c r="B77" s="10" t="n"/>
      <c r="C77" s="10" t="n"/>
      <c r="D77" s="8" t="n"/>
      <c r="E77" s="11" t="n"/>
      <c r="F77" s="9" t="n"/>
      <c r="G77" s="9" t="n"/>
      <c r="H77" s="12">
        <f>IF(A77="","",D77*E77)</f>
        <v/>
      </c>
      <c r="I77" s="12">
        <f>IF(A77="","",IF(Rates!$B$6=1,MIN(H77,Rates!$B$5),H77)*(Rates!$B$4+Rates!$B$13))</f>
        <v/>
      </c>
      <c r="J77" s="12">
        <f>IF(A77="","",IF(D77&lt;=Rates!$B$8,D77*Rates!$B$7,0))</f>
        <v/>
      </c>
      <c r="K77" s="12">
        <f>IF(A77="","",H77*Rates!$B$9)</f>
        <v/>
      </c>
      <c r="L77" s="12">
        <f>IF(A77="","",IF(D77&lt;=Rates!$B$11,H77*Rates!$B$10,0))</f>
        <v/>
      </c>
      <c r="M77" s="12">
        <f>IF(A77="","",Rates!$B$12/12)</f>
        <v/>
      </c>
      <c r="N77" s="12">
        <f>IF(A77="","",D77+I77+J77+K77+L77+M77)</f>
        <v/>
      </c>
      <c r="O77" s="13">
        <f>IF(A77="","",MAX(0,MIN(12,IF(G77="",12,G77))-MAX(1,F77)+1))</f>
        <v/>
      </c>
      <c r="P77" s="12">
        <f>IF(A77="","",N77*O77)</f>
        <v/>
      </c>
      <c r="Q77" s="12">
        <f>IF(A77="","",0.12*IF(Rates!$B$6=1,MIN(H77,Rates!$B$5),H77))</f>
        <v/>
      </c>
      <c r="R77" s="12">
        <f>IF(A77="","",IF(D77&lt;=Rates!$B$8,D77*0.0075,0))</f>
        <v/>
      </c>
    </row>
    <row r="78">
      <c r="A78" s="10" t="n"/>
      <c r="B78" s="10" t="n"/>
      <c r="C78" s="10" t="n"/>
      <c r="D78" s="8" t="n"/>
      <c r="E78" s="11" t="n"/>
      <c r="F78" s="9" t="n"/>
      <c r="G78" s="9" t="n"/>
      <c r="H78" s="12">
        <f>IF(A78="","",D78*E78)</f>
        <v/>
      </c>
      <c r="I78" s="12">
        <f>IF(A78="","",IF(Rates!$B$6=1,MIN(H78,Rates!$B$5),H78)*(Rates!$B$4+Rates!$B$13))</f>
        <v/>
      </c>
      <c r="J78" s="12">
        <f>IF(A78="","",IF(D78&lt;=Rates!$B$8,D78*Rates!$B$7,0))</f>
        <v/>
      </c>
      <c r="K78" s="12">
        <f>IF(A78="","",H78*Rates!$B$9)</f>
        <v/>
      </c>
      <c r="L78" s="12">
        <f>IF(A78="","",IF(D78&lt;=Rates!$B$11,H78*Rates!$B$10,0))</f>
        <v/>
      </c>
      <c r="M78" s="12">
        <f>IF(A78="","",Rates!$B$12/12)</f>
        <v/>
      </c>
      <c r="N78" s="12">
        <f>IF(A78="","",D78+I78+J78+K78+L78+M78)</f>
        <v/>
      </c>
      <c r="O78" s="13">
        <f>IF(A78="","",MAX(0,MIN(12,IF(G78="",12,G78))-MAX(1,F78)+1))</f>
        <v/>
      </c>
      <c r="P78" s="12">
        <f>IF(A78="","",N78*O78)</f>
        <v/>
      </c>
      <c r="Q78" s="12">
        <f>IF(A78="","",0.12*IF(Rates!$B$6=1,MIN(H78,Rates!$B$5),H78))</f>
        <v/>
      </c>
      <c r="R78" s="12">
        <f>IF(A78="","",IF(D78&lt;=Rates!$B$8,D78*0.0075,0))</f>
        <v/>
      </c>
    </row>
    <row r="79">
      <c r="A79" s="10" t="n"/>
      <c r="B79" s="10" t="n"/>
      <c r="C79" s="10" t="n"/>
      <c r="D79" s="8" t="n"/>
      <c r="E79" s="11" t="n"/>
      <c r="F79" s="9" t="n"/>
      <c r="G79" s="9" t="n"/>
      <c r="H79" s="12">
        <f>IF(A79="","",D79*E79)</f>
        <v/>
      </c>
      <c r="I79" s="12">
        <f>IF(A79="","",IF(Rates!$B$6=1,MIN(H79,Rates!$B$5),H79)*(Rates!$B$4+Rates!$B$13))</f>
        <v/>
      </c>
      <c r="J79" s="12">
        <f>IF(A79="","",IF(D79&lt;=Rates!$B$8,D79*Rates!$B$7,0))</f>
        <v/>
      </c>
      <c r="K79" s="12">
        <f>IF(A79="","",H79*Rates!$B$9)</f>
        <v/>
      </c>
      <c r="L79" s="12">
        <f>IF(A79="","",IF(D79&lt;=Rates!$B$11,H79*Rates!$B$10,0))</f>
        <v/>
      </c>
      <c r="M79" s="12">
        <f>IF(A79="","",Rates!$B$12/12)</f>
        <v/>
      </c>
      <c r="N79" s="12">
        <f>IF(A79="","",D79+I79+J79+K79+L79+M79)</f>
        <v/>
      </c>
      <c r="O79" s="13">
        <f>IF(A79="","",MAX(0,MIN(12,IF(G79="",12,G79))-MAX(1,F79)+1))</f>
        <v/>
      </c>
      <c r="P79" s="12">
        <f>IF(A79="","",N79*O79)</f>
        <v/>
      </c>
      <c r="Q79" s="12">
        <f>IF(A79="","",0.12*IF(Rates!$B$6=1,MIN(H79,Rates!$B$5),H79))</f>
        <v/>
      </c>
      <c r="R79" s="12">
        <f>IF(A79="","",IF(D79&lt;=Rates!$B$8,D79*0.0075,0))</f>
        <v/>
      </c>
    </row>
    <row r="80">
      <c r="A80" s="10" t="n"/>
      <c r="B80" s="10" t="n"/>
      <c r="C80" s="10" t="n"/>
      <c r="D80" s="8" t="n"/>
      <c r="E80" s="11" t="n"/>
      <c r="F80" s="9" t="n"/>
      <c r="G80" s="9" t="n"/>
      <c r="H80" s="12">
        <f>IF(A80="","",D80*E80)</f>
        <v/>
      </c>
      <c r="I80" s="12">
        <f>IF(A80="","",IF(Rates!$B$6=1,MIN(H80,Rates!$B$5),H80)*(Rates!$B$4+Rates!$B$13))</f>
        <v/>
      </c>
      <c r="J80" s="12">
        <f>IF(A80="","",IF(D80&lt;=Rates!$B$8,D80*Rates!$B$7,0))</f>
        <v/>
      </c>
      <c r="K80" s="12">
        <f>IF(A80="","",H80*Rates!$B$9)</f>
        <v/>
      </c>
      <c r="L80" s="12">
        <f>IF(A80="","",IF(D80&lt;=Rates!$B$11,H80*Rates!$B$10,0))</f>
        <v/>
      </c>
      <c r="M80" s="12">
        <f>IF(A80="","",Rates!$B$12/12)</f>
        <v/>
      </c>
      <c r="N80" s="12">
        <f>IF(A80="","",D80+I80+J80+K80+L80+M80)</f>
        <v/>
      </c>
      <c r="O80" s="13">
        <f>IF(A80="","",MAX(0,MIN(12,IF(G80="",12,G80))-MAX(1,F80)+1))</f>
        <v/>
      </c>
      <c r="P80" s="12">
        <f>IF(A80="","",N80*O80)</f>
        <v/>
      </c>
      <c r="Q80" s="12">
        <f>IF(A80="","",0.12*IF(Rates!$B$6=1,MIN(H80,Rates!$B$5),H80))</f>
        <v/>
      </c>
      <c r="R80" s="12">
        <f>IF(A80="","",IF(D80&lt;=Rates!$B$8,D80*0.0075,0))</f>
        <v/>
      </c>
    </row>
    <row r="81">
      <c r="A81" s="10" t="n"/>
      <c r="B81" s="10" t="n"/>
      <c r="C81" s="10" t="n"/>
      <c r="D81" s="8" t="n"/>
      <c r="E81" s="11" t="n"/>
      <c r="F81" s="9" t="n"/>
      <c r="G81" s="9" t="n"/>
      <c r="H81" s="12">
        <f>IF(A81="","",D81*E81)</f>
        <v/>
      </c>
      <c r="I81" s="12">
        <f>IF(A81="","",IF(Rates!$B$6=1,MIN(H81,Rates!$B$5),H81)*(Rates!$B$4+Rates!$B$13))</f>
        <v/>
      </c>
      <c r="J81" s="12">
        <f>IF(A81="","",IF(D81&lt;=Rates!$B$8,D81*Rates!$B$7,0))</f>
        <v/>
      </c>
      <c r="K81" s="12">
        <f>IF(A81="","",H81*Rates!$B$9)</f>
        <v/>
      </c>
      <c r="L81" s="12">
        <f>IF(A81="","",IF(D81&lt;=Rates!$B$11,H81*Rates!$B$10,0))</f>
        <v/>
      </c>
      <c r="M81" s="12">
        <f>IF(A81="","",Rates!$B$12/12)</f>
        <v/>
      </c>
      <c r="N81" s="12">
        <f>IF(A81="","",D81+I81+J81+K81+L81+M81)</f>
        <v/>
      </c>
      <c r="O81" s="13">
        <f>IF(A81="","",MAX(0,MIN(12,IF(G81="",12,G81))-MAX(1,F81)+1))</f>
        <v/>
      </c>
      <c r="P81" s="12">
        <f>IF(A81="","",N81*O81)</f>
        <v/>
      </c>
      <c r="Q81" s="12">
        <f>IF(A81="","",0.12*IF(Rates!$B$6=1,MIN(H81,Rates!$B$5),H81))</f>
        <v/>
      </c>
      <c r="R81" s="12">
        <f>IF(A81="","",IF(D81&lt;=Rates!$B$8,D81*0.0075,0))</f>
        <v/>
      </c>
    </row>
    <row r="82">
      <c r="A82" s="10" t="n"/>
      <c r="B82" s="10" t="n"/>
      <c r="C82" s="10" t="n"/>
      <c r="D82" s="8" t="n"/>
      <c r="E82" s="11" t="n"/>
      <c r="F82" s="9" t="n"/>
      <c r="G82" s="9" t="n"/>
      <c r="H82" s="12">
        <f>IF(A82="","",D82*E82)</f>
        <v/>
      </c>
      <c r="I82" s="12">
        <f>IF(A82="","",IF(Rates!$B$6=1,MIN(H82,Rates!$B$5),H82)*(Rates!$B$4+Rates!$B$13))</f>
        <v/>
      </c>
      <c r="J82" s="12">
        <f>IF(A82="","",IF(D82&lt;=Rates!$B$8,D82*Rates!$B$7,0))</f>
        <v/>
      </c>
      <c r="K82" s="12">
        <f>IF(A82="","",H82*Rates!$B$9)</f>
        <v/>
      </c>
      <c r="L82" s="12">
        <f>IF(A82="","",IF(D82&lt;=Rates!$B$11,H82*Rates!$B$10,0))</f>
        <v/>
      </c>
      <c r="M82" s="12">
        <f>IF(A82="","",Rates!$B$12/12)</f>
        <v/>
      </c>
      <c r="N82" s="12">
        <f>IF(A82="","",D82+I82+J82+K82+L82+M82)</f>
        <v/>
      </c>
      <c r="O82" s="13">
        <f>IF(A82="","",MAX(0,MIN(12,IF(G82="",12,G82))-MAX(1,F82)+1))</f>
        <v/>
      </c>
      <c r="P82" s="12">
        <f>IF(A82="","",N82*O82)</f>
        <v/>
      </c>
      <c r="Q82" s="12">
        <f>IF(A82="","",0.12*IF(Rates!$B$6=1,MIN(H82,Rates!$B$5),H82))</f>
        <v/>
      </c>
      <c r="R82" s="12">
        <f>IF(A82="","",IF(D82&lt;=Rates!$B$8,D82*0.0075,0))</f>
        <v/>
      </c>
    </row>
    <row r="83">
      <c r="A83" s="10" t="n"/>
      <c r="B83" s="10" t="n"/>
      <c r="C83" s="10" t="n"/>
      <c r="D83" s="8" t="n"/>
      <c r="E83" s="11" t="n"/>
      <c r="F83" s="9" t="n"/>
      <c r="G83" s="9" t="n"/>
      <c r="H83" s="12">
        <f>IF(A83="","",D83*E83)</f>
        <v/>
      </c>
      <c r="I83" s="12">
        <f>IF(A83="","",IF(Rates!$B$6=1,MIN(H83,Rates!$B$5),H83)*(Rates!$B$4+Rates!$B$13))</f>
        <v/>
      </c>
      <c r="J83" s="12">
        <f>IF(A83="","",IF(D83&lt;=Rates!$B$8,D83*Rates!$B$7,0))</f>
        <v/>
      </c>
      <c r="K83" s="12">
        <f>IF(A83="","",H83*Rates!$B$9)</f>
        <v/>
      </c>
      <c r="L83" s="12">
        <f>IF(A83="","",IF(D83&lt;=Rates!$B$11,H83*Rates!$B$10,0))</f>
        <v/>
      </c>
      <c r="M83" s="12">
        <f>IF(A83="","",Rates!$B$12/12)</f>
        <v/>
      </c>
      <c r="N83" s="12">
        <f>IF(A83="","",D83+I83+J83+K83+L83+M83)</f>
        <v/>
      </c>
      <c r="O83" s="13">
        <f>IF(A83="","",MAX(0,MIN(12,IF(G83="",12,G83))-MAX(1,F83)+1))</f>
        <v/>
      </c>
      <c r="P83" s="12">
        <f>IF(A83="","",N83*O83)</f>
        <v/>
      </c>
      <c r="Q83" s="12">
        <f>IF(A83="","",0.12*IF(Rates!$B$6=1,MIN(H83,Rates!$B$5),H83))</f>
        <v/>
      </c>
      <c r="R83" s="12">
        <f>IF(A83="","",IF(D83&lt;=Rates!$B$8,D83*0.0075,0))</f>
        <v/>
      </c>
    </row>
    <row r="84">
      <c r="A84" s="10" t="n"/>
      <c r="B84" s="10" t="n"/>
      <c r="C84" s="10" t="n"/>
      <c r="D84" s="8" t="n"/>
      <c r="E84" s="11" t="n"/>
      <c r="F84" s="9" t="n"/>
      <c r="G84" s="9" t="n"/>
      <c r="H84" s="12">
        <f>IF(A84="","",D84*E84)</f>
        <v/>
      </c>
      <c r="I84" s="12">
        <f>IF(A84="","",IF(Rates!$B$6=1,MIN(H84,Rates!$B$5),H84)*(Rates!$B$4+Rates!$B$13))</f>
        <v/>
      </c>
      <c r="J84" s="12">
        <f>IF(A84="","",IF(D84&lt;=Rates!$B$8,D84*Rates!$B$7,0))</f>
        <v/>
      </c>
      <c r="K84" s="12">
        <f>IF(A84="","",H84*Rates!$B$9)</f>
        <v/>
      </c>
      <c r="L84" s="12">
        <f>IF(A84="","",IF(D84&lt;=Rates!$B$11,H84*Rates!$B$10,0))</f>
        <v/>
      </c>
      <c r="M84" s="12">
        <f>IF(A84="","",Rates!$B$12/12)</f>
        <v/>
      </c>
      <c r="N84" s="12">
        <f>IF(A84="","",D84+I84+J84+K84+L84+M84)</f>
        <v/>
      </c>
      <c r="O84" s="13">
        <f>IF(A84="","",MAX(0,MIN(12,IF(G84="",12,G84))-MAX(1,F84)+1))</f>
        <v/>
      </c>
      <c r="P84" s="12">
        <f>IF(A84="","",N84*O84)</f>
        <v/>
      </c>
      <c r="Q84" s="12">
        <f>IF(A84="","",0.12*IF(Rates!$B$6=1,MIN(H84,Rates!$B$5),H84))</f>
        <v/>
      </c>
      <c r="R84" s="12">
        <f>IF(A84="","",IF(D84&lt;=Rates!$B$8,D84*0.0075,0))</f>
        <v/>
      </c>
    </row>
    <row r="85">
      <c r="A85" s="10" t="n"/>
      <c r="B85" s="10" t="n"/>
      <c r="C85" s="10" t="n"/>
      <c r="D85" s="8" t="n"/>
      <c r="E85" s="11" t="n"/>
      <c r="F85" s="9" t="n"/>
      <c r="G85" s="9" t="n"/>
      <c r="H85" s="12">
        <f>IF(A85="","",D85*E85)</f>
        <v/>
      </c>
      <c r="I85" s="12">
        <f>IF(A85="","",IF(Rates!$B$6=1,MIN(H85,Rates!$B$5),H85)*(Rates!$B$4+Rates!$B$13))</f>
        <v/>
      </c>
      <c r="J85" s="12">
        <f>IF(A85="","",IF(D85&lt;=Rates!$B$8,D85*Rates!$B$7,0))</f>
        <v/>
      </c>
      <c r="K85" s="12">
        <f>IF(A85="","",H85*Rates!$B$9)</f>
        <v/>
      </c>
      <c r="L85" s="12">
        <f>IF(A85="","",IF(D85&lt;=Rates!$B$11,H85*Rates!$B$10,0))</f>
        <v/>
      </c>
      <c r="M85" s="12">
        <f>IF(A85="","",Rates!$B$12/12)</f>
        <v/>
      </c>
      <c r="N85" s="12">
        <f>IF(A85="","",D85+I85+J85+K85+L85+M85)</f>
        <v/>
      </c>
      <c r="O85" s="13">
        <f>IF(A85="","",MAX(0,MIN(12,IF(G85="",12,G85))-MAX(1,F85)+1))</f>
        <v/>
      </c>
      <c r="P85" s="12">
        <f>IF(A85="","",N85*O85)</f>
        <v/>
      </c>
      <c r="Q85" s="12">
        <f>IF(A85="","",0.12*IF(Rates!$B$6=1,MIN(H85,Rates!$B$5),H85))</f>
        <v/>
      </c>
      <c r="R85" s="12">
        <f>IF(A85="","",IF(D85&lt;=Rates!$B$8,D85*0.0075,0))</f>
        <v/>
      </c>
    </row>
    <row r="86">
      <c r="A86" s="10" t="n"/>
      <c r="B86" s="10" t="n"/>
      <c r="C86" s="10" t="n"/>
      <c r="D86" s="8" t="n"/>
      <c r="E86" s="11" t="n"/>
      <c r="F86" s="9" t="n"/>
      <c r="G86" s="9" t="n"/>
      <c r="H86" s="12">
        <f>IF(A86="","",D86*E86)</f>
        <v/>
      </c>
      <c r="I86" s="12">
        <f>IF(A86="","",IF(Rates!$B$6=1,MIN(H86,Rates!$B$5),H86)*(Rates!$B$4+Rates!$B$13))</f>
        <v/>
      </c>
      <c r="J86" s="12">
        <f>IF(A86="","",IF(D86&lt;=Rates!$B$8,D86*Rates!$B$7,0))</f>
        <v/>
      </c>
      <c r="K86" s="12">
        <f>IF(A86="","",H86*Rates!$B$9)</f>
        <v/>
      </c>
      <c r="L86" s="12">
        <f>IF(A86="","",IF(D86&lt;=Rates!$B$11,H86*Rates!$B$10,0))</f>
        <v/>
      </c>
      <c r="M86" s="12">
        <f>IF(A86="","",Rates!$B$12/12)</f>
        <v/>
      </c>
      <c r="N86" s="12">
        <f>IF(A86="","",D86+I86+J86+K86+L86+M86)</f>
        <v/>
      </c>
      <c r="O86" s="13">
        <f>IF(A86="","",MAX(0,MIN(12,IF(G86="",12,G86))-MAX(1,F86)+1))</f>
        <v/>
      </c>
      <c r="P86" s="12">
        <f>IF(A86="","",N86*O86)</f>
        <v/>
      </c>
      <c r="Q86" s="12">
        <f>IF(A86="","",0.12*IF(Rates!$B$6=1,MIN(H86,Rates!$B$5),H86))</f>
        <v/>
      </c>
      <c r="R86" s="12">
        <f>IF(A86="","",IF(D86&lt;=Rates!$B$8,D86*0.0075,0))</f>
        <v/>
      </c>
    </row>
    <row r="87">
      <c r="A87" s="10" t="n"/>
      <c r="B87" s="10" t="n"/>
      <c r="C87" s="10" t="n"/>
      <c r="D87" s="8" t="n"/>
      <c r="E87" s="11" t="n"/>
      <c r="F87" s="9" t="n"/>
      <c r="G87" s="9" t="n"/>
      <c r="H87" s="12">
        <f>IF(A87="","",D87*E87)</f>
        <v/>
      </c>
      <c r="I87" s="12">
        <f>IF(A87="","",IF(Rates!$B$6=1,MIN(H87,Rates!$B$5),H87)*(Rates!$B$4+Rates!$B$13))</f>
        <v/>
      </c>
      <c r="J87" s="12">
        <f>IF(A87="","",IF(D87&lt;=Rates!$B$8,D87*Rates!$B$7,0))</f>
        <v/>
      </c>
      <c r="K87" s="12">
        <f>IF(A87="","",H87*Rates!$B$9)</f>
        <v/>
      </c>
      <c r="L87" s="12">
        <f>IF(A87="","",IF(D87&lt;=Rates!$B$11,H87*Rates!$B$10,0))</f>
        <v/>
      </c>
      <c r="M87" s="12">
        <f>IF(A87="","",Rates!$B$12/12)</f>
        <v/>
      </c>
      <c r="N87" s="12">
        <f>IF(A87="","",D87+I87+J87+K87+L87+M87)</f>
        <v/>
      </c>
      <c r="O87" s="13">
        <f>IF(A87="","",MAX(0,MIN(12,IF(G87="",12,G87))-MAX(1,F87)+1))</f>
        <v/>
      </c>
      <c r="P87" s="12">
        <f>IF(A87="","",N87*O87)</f>
        <v/>
      </c>
      <c r="Q87" s="12">
        <f>IF(A87="","",0.12*IF(Rates!$B$6=1,MIN(H87,Rates!$B$5),H87))</f>
        <v/>
      </c>
      <c r="R87" s="12">
        <f>IF(A87="","",IF(D87&lt;=Rates!$B$8,D87*0.0075,0))</f>
        <v/>
      </c>
    </row>
    <row r="88">
      <c r="A88" s="10" t="n"/>
      <c r="B88" s="10" t="n"/>
      <c r="C88" s="10" t="n"/>
      <c r="D88" s="8" t="n"/>
      <c r="E88" s="11" t="n"/>
      <c r="F88" s="9" t="n"/>
      <c r="G88" s="9" t="n"/>
      <c r="H88" s="12">
        <f>IF(A88="","",D88*E88)</f>
        <v/>
      </c>
      <c r="I88" s="12">
        <f>IF(A88="","",IF(Rates!$B$6=1,MIN(H88,Rates!$B$5),H88)*(Rates!$B$4+Rates!$B$13))</f>
        <v/>
      </c>
      <c r="J88" s="12">
        <f>IF(A88="","",IF(D88&lt;=Rates!$B$8,D88*Rates!$B$7,0))</f>
        <v/>
      </c>
      <c r="K88" s="12">
        <f>IF(A88="","",H88*Rates!$B$9)</f>
        <v/>
      </c>
      <c r="L88" s="12">
        <f>IF(A88="","",IF(D88&lt;=Rates!$B$11,H88*Rates!$B$10,0))</f>
        <v/>
      </c>
      <c r="M88" s="12">
        <f>IF(A88="","",Rates!$B$12/12)</f>
        <v/>
      </c>
      <c r="N88" s="12">
        <f>IF(A88="","",D88+I88+J88+K88+L88+M88)</f>
        <v/>
      </c>
      <c r="O88" s="13">
        <f>IF(A88="","",MAX(0,MIN(12,IF(G88="",12,G88))-MAX(1,F88)+1))</f>
        <v/>
      </c>
      <c r="P88" s="12">
        <f>IF(A88="","",N88*O88)</f>
        <v/>
      </c>
      <c r="Q88" s="12">
        <f>IF(A88="","",0.12*IF(Rates!$B$6=1,MIN(H88,Rates!$B$5),H88))</f>
        <v/>
      </c>
      <c r="R88" s="12">
        <f>IF(A88="","",IF(D88&lt;=Rates!$B$8,D88*0.0075,0))</f>
        <v/>
      </c>
    </row>
    <row r="89">
      <c r="A89" s="10" t="n"/>
      <c r="B89" s="10" t="n"/>
      <c r="C89" s="10" t="n"/>
      <c r="D89" s="8" t="n"/>
      <c r="E89" s="11" t="n"/>
      <c r="F89" s="9" t="n"/>
      <c r="G89" s="9" t="n"/>
      <c r="H89" s="12">
        <f>IF(A89="","",D89*E89)</f>
        <v/>
      </c>
      <c r="I89" s="12">
        <f>IF(A89="","",IF(Rates!$B$6=1,MIN(H89,Rates!$B$5),H89)*(Rates!$B$4+Rates!$B$13))</f>
        <v/>
      </c>
      <c r="J89" s="12">
        <f>IF(A89="","",IF(D89&lt;=Rates!$B$8,D89*Rates!$B$7,0))</f>
        <v/>
      </c>
      <c r="K89" s="12">
        <f>IF(A89="","",H89*Rates!$B$9)</f>
        <v/>
      </c>
      <c r="L89" s="12">
        <f>IF(A89="","",IF(D89&lt;=Rates!$B$11,H89*Rates!$B$10,0))</f>
        <v/>
      </c>
      <c r="M89" s="12">
        <f>IF(A89="","",Rates!$B$12/12)</f>
        <v/>
      </c>
      <c r="N89" s="12">
        <f>IF(A89="","",D89+I89+J89+K89+L89+M89)</f>
        <v/>
      </c>
      <c r="O89" s="13">
        <f>IF(A89="","",MAX(0,MIN(12,IF(G89="",12,G89))-MAX(1,F89)+1))</f>
        <v/>
      </c>
      <c r="P89" s="12">
        <f>IF(A89="","",N89*O89)</f>
        <v/>
      </c>
      <c r="Q89" s="12">
        <f>IF(A89="","",0.12*IF(Rates!$B$6=1,MIN(H89,Rates!$B$5),H89))</f>
        <v/>
      </c>
      <c r="R89" s="12">
        <f>IF(A89="","",IF(D89&lt;=Rates!$B$8,D89*0.0075,0))</f>
        <v/>
      </c>
    </row>
    <row r="90">
      <c r="A90" s="10" t="n"/>
      <c r="B90" s="10" t="n"/>
      <c r="C90" s="10" t="n"/>
      <c r="D90" s="8" t="n"/>
      <c r="E90" s="11" t="n"/>
      <c r="F90" s="9" t="n"/>
      <c r="G90" s="9" t="n"/>
      <c r="H90" s="12">
        <f>IF(A90="","",D90*E90)</f>
        <v/>
      </c>
      <c r="I90" s="12">
        <f>IF(A90="","",IF(Rates!$B$6=1,MIN(H90,Rates!$B$5),H90)*(Rates!$B$4+Rates!$B$13))</f>
        <v/>
      </c>
      <c r="J90" s="12">
        <f>IF(A90="","",IF(D90&lt;=Rates!$B$8,D90*Rates!$B$7,0))</f>
        <v/>
      </c>
      <c r="K90" s="12">
        <f>IF(A90="","",H90*Rates!$B$9)</f>
        <v/>
      </c>
      <c r="L90" s="12">
        <f>IF(A90="","",IF(D90&lt;=Rates!$B$11,H90*Rates!$B$10,0))</f>
        <v/>
      </c>
      <c r="M90" s="12">
        <f>IF(A90="","",Rates!$B$12/12)</f>
        <v/>
      </c>
      <c r="N90" s="12">
        <f>IF(A90="","",D90+I90+J90+K90+L90+M90)</f>
        <v/>
      </c>
      <c r="O90" s="13">
        <f>IF(A90="","",MAX(0,MIN(12,IF(G90="",12,G90))-MAX(1,F90)+1))</f>
        <v/>
      </c>
      <c r="P90" s="12">
        <f>IF(A90="","",N90*O90)</f>
        <v/>
      </c>
      <c r="Q90" s="12">
        <f>IF(A90="","",0.12*IF(Rates!$B$6=1,MIN(H90,Rates!$B$5),H90))</f>
        <v/>
      </c>
      <c r="R90" s="12">
        <f>IF(A90="","",IF(D90&lt;=Rates!$B$8,D90*0.0075,0))</f>
        <v/>
      </c>
    </row>
    <row r="91">
      <c r="A91" s="10" t="n"/>
      <c r="B91" s="10" t="n"/>
      <c r="C91" s="10" t="n"/>
      <c r="D91" s="8" t="n"/>
      <c r="E91" s="11" t="n"/>
      <c r="F91" s="9" t="n"/>
      <c r="G91" s="9" t="n"/>
      <c r="H91" s="12">
        <f>IF(A91="","",D91*E91)</f>
        <v/>
      </c>
      <c r="I91" s="12">
        <f>IF(A91="","",IF(Rates!$B$6=1,MIN(H91,Rates!$B$5),H91)*(Rates!$B$4+Rates!$B$13))</f>
        <v/>
      </c>
      <c r="J91" s="12">
        <f>IF(A91="","",IF(D91&lt;=Rates!$B$8,D91*Rates!$B$7,0))</f>
        <v/>
      </c>
      <c r="K91" s="12">
        <f>IF(A91="","",H91*Rates!$B$9)</f>
        <v/>
      </c>
      <c r="L91" s="12">
        <f>IF(A91="","",IF(D91&lt;=Rates!$B$11,H91*Rates!$B$10,0))</f>
        <v/>
      </c>
      <c r="M91" s="12">
        <f>IF(A91="","",Rates!$B$12/12)</f>
        <v/>
      </c>
      <c r="N91" s="12">
        <f>IF(A91="","",D91+I91+J91+K91+L91+M91)</f>
        <v/>
      </c>
      <c r="O91" s="13">
        <f>IF(A91="","",MAX(0,MIN(12,IF(G91="",12,G91))-MAX(1,F91)+1))</f>
        <v/>
      </c>
      <c r="P91" s="12">
        <f>IF(A91="","",N91*O91)</f>
        <v/>
      </c>
      <c r="Q91" s="12">
        <f>IF(A91="","",0.12*IF(Rates!$B$6=1,MIN(H91,Rates!$B$5),H91))</f>
        <v/>
      </c>
      <c r="R91" s="12">
        <f>IF(A91="","",IF(D91&lt;=Rates!$B$8,D91*0.0075,0))</f>
        <v/>
      </c>
    </row>
    <row r="92">
      <c r="A92" s="10" t="n"/>
      <c r="B92" s="10" t="n"/>
      <c r="C92" s="10" t="n"/>
      <c r="D92" s="8" t="n"/>
      <c r="E92" s="11" t="n"/>
      <c r="F92" s="9" t="n"/>
      <c r="G92" s="9" t="n"/>
      <c r="H92" s="12">
        <f>IF(A92="","",D92*E92)</f>
        <v/>
      </c>
      <c r="I92" s="12">
        <f>IF(A92="","",IF(Rates!$B$6=1,MIN(H92,Rates!$B$5),H92)*(Rates!$B$4+Rates!$B$13))</f>
        <v/>
      </c>
      <c r="J92" s="12">
        <f>IF(A92="","",IF(D92&lt;=Rates!$B$8,D92*Rates!$B$7,0))</f>
        <v/>
      </c>
      <c r="K92" s="12">
        <f>IF(A92="","",H92*Rates!$B$9)</f>
        <v/>
      </c>
      <c r="L92" s="12">
        <f>IF(A92="","",IF(D92&lt;=Rates!$B$11,H92*Rates!$B$10,0))</f>
        <v/>
      </c>
      <c r="M92" s="12">
        <f>IF(A92="","",Rates!$B$12/12)</f>
        <v/>
      </c>
      <c r="N92" s="12">
        <f>IF(A92="","",D92+I92+J92+K92+L92+M92)</f>
        <v/>
      </c>
      <c r="O92" s="13">
        <f>IF(A92="","",MAX(0,MIN(12,IF(G92="",12,G92))-MAX(1,F92)+1))</f>
        <v/>
      </c>
      <c r="P92" s="12">
        <f>IF(A92="","",N92*O92)</f>
        <v/>
      </c>
      <c r="Q92" s="12">
        <f>IF(A92="","",0.12*IF(Rates!$B$6=1,MIN(H92,Rates!$B$5),H92))</f>
        <v/>
      </c>
      <c r="R92" s="12">
        <f>IF(A92="","",IF(D92&lt;=Rates!$B$8,D92*0.0075,0))</f>
        <v/>
      </c>
    </row>
    <row r="93">
      <c r="A93" s="10" t="n"/>
      <c r="B93" s="10" t="n"/>
      <c r="C93" s="10" t="n"/>
      <c r="D93" s="8" t="n"/>
      <c r="E93" s="11" t="n"/>
      <c r="F93" s="9" t="n"/>
      <c r="G93" s="9" t="n"/>
      <c r="H93" s="12">
        <f>IF(A93="","",D93*E93)</f>
        <v/>
      </c>
      <c r="I93" s="12">
        <f>IF(A93="","",IF(Rates!$B$6=1,MIN(H93,Rates!$B$5),H93)*(Rates!$B$4+Rates!$B$13))</f>
        <v/>
      </c>
      <c r="J93" s="12">
        <f>IF(A93="","",IF(D93&lt;=Rates!$B$8,D93*Rates!$B$7,0))</f>
        <v/>
      </c>
      <c r="K93" s="12">
        <f>IF(A93="","",H93*Rates!$B$9)</f>
        <v/>
      </c>
      <c r="L93" s="12">
        <f>IF(A93="","",IF(D93&lt;=Rates!$B$11,H93*Rates!$B$10,0))</f>
        <v/>
      </c>
      <c r="M93" s="12">
        <f>IF(A93="","",Rates!$B$12/12)</f>
        <v/>
      </c>
      <c r="N93" s="12">
        <f>IF(A93="","",D93+I93+J93+K93+L93+M93)</f>
        <v/>
      </c>
      <c r="O93" s="13">
        <f>IF(A93="","",MAX(0,MIN(12,IF(G93="",12,G93))-MAX(1,F93)+1))</f>
        <v/>
      </c>
      <c r="P93" s="12">
        <f>IF(A93="","",N93*O93)</f>
        <v/>
      </c>
      <c r="Q93" s="12">
        <f>IF(A93="","",0.12*IF(Rates!$B$6=1,MIN(H93,Rates!$B$5),H93))</f>
        <v/>
      </c>
      <c r="R93" s="12">
        <f>IF(A93="","",IF(D93&lt;=Rates!$B$8,D93*0.0075,0))</f>
        <v/>
      </c>
    </row>
    <row r="94">
      <c r="A94" s="10" t="n"/>
      <c r="B94" s="10" t="n"/>
      <c r="C94" s="10" t="n"/>
      <c r="D94" s="8" t="n"/>
      <c r="E94" s="11" t="n"/>
      <c r="F94" s="9" t="n"/>
      <c r="G94" s="9" t="n"/>
      <c r="H94" s="12">
        <f>IF(A94="","",D94*E94)</f>
        <v/>
      </c>
      <c r="I94" s="12">
        <f>IF(A94="","",IF(Rates!$B$6=1,MIN(H94,Rates!$B$5),H94)*(Rates!$B$4+Rates!$B$13))</f>
        <v/>
      </c>
      <c r="J94" s="12">
        <f>IF(A94="","",IF(D94&lt;=Rates!$B$8,D94*Rates!$B$7,0))</f>
        <v/>
      </c>
      <c r="K94" s="12">
        <f>IF(A94="","",H94*Rates!$B$9)</f>
        <v/>
      </c>
      <c r="L94" s="12">
        <f>IF(A94="","",IF(D94&lt;=Rates!$B$11,H94*Rates!$B$10,0))</f>
        <v/>
      </c>
      <c r="M94" s="12">
        <f>IF(A94="","",Rates!$B$12/12)</f>
        <v/>
      </c>
      <c r="N94" s="12">
        <f>IF(A94="","",D94+I94+J94+K94+L94+M94)</f>
        <v/>
      </c>
      <c r="O94" s="13">
        <f>IF(A94="","",MAX(0,MIN(12,IF(G94="",12,G94))-MAX(1,F94)+1))</f>
        <v/>
      </c>
      <c r="P94" s="12">
        <f>IF(A94="","",N94*O94)</f>
        <v/>
      </c>
      <c r="Q94" s="12">
        <f>IF(A94="","",0.12*IF(Rates!$B$6=1,MIN(H94,Rates!$B$5),H94))</f>
        <v/>
      </c>
      <c r="R94" s="12">
        <f>IF(A94="","",IF(D94&lt;=Rates!$B$8,D94*0.0075,0))</f>
        <v/>
      </c>
    </row>
    <row r="95">
      <c r="A95" s="10" t="n"/>
      <c r="B95" s="10" t="n"/>
      <c r="C95" s="10" t="n"/>
      <c r="D95" s="8" t="n"/>
      <c r="E95" s="11" t="n"/>
      <c r="F95" s="9" t="n"/>
      <c r="G95" s="9" t="n"/>
      <c r="H95" s="12">
        <f>IF(A95="","",D95*E95)</f>
        <v/>
      </c>
      <c r="I95" s="12">
        <f>IF(A95="","",IF(Rates!$B$6=1,MIN(H95,Rates!$B$5),H95)*(Rates!$B$4+Rates!$B$13))</f>
        <v/>
      </c>
      <c r="J95" s="12">
        <f>IF(A95="","",IF(D95&lt;=Rates!$B$8,D95*Rates!$B$7,0))</f>
        <v/>
      </c>
      <c r="K95" s="12">
        <f>IF(A95="","",H95*Rates!$B$9)</f>
        <v/>
      </c>
      <c r="L95" s="12">
        <f>IF(A95="","",IF(D95&lt;=Rates!$B$11,H95*Rates!$B$10,0))</f>
        <v/>
      </c>
      <c r="M95" s="12">
        <f>IF(A95="","",Rates!$B$12/12)</f>
        <v/>
      </c>
      <c r="N95" s="12">
        <f>IF(A95="","",D95+I95+J95+K95+L95+M95)</f>
        <v/>
      </c>
      <c r="O95" s="13">
        <f>IF(A95="","",MAX(0,MIN(12,IF(G95="",12,G95))-MAX(1,F95)+1))</f>
        <v/>
      </c>
      <c r="P95" s="12">
        <f>IF(A95="","",N95*O95)</f>
        <v/>
      </c>
      <c r="Q95" s="12">
        <f>IF(A95="","",0.12*IF(Rates!$B$6=1,MIN(H95,Rates!$B$5),H95))</f>
        <v/>
      </c>
      <c r="R95" s="12">
        <f>IF(A95="","",IF(D95&lt;=Rates!$B$8,D95*0.0075,0))</f>
        <v/>
      </c>
    </row>
    <row r="96">
      <c r="A96" s="10" t="n"/>
      <c r="B96" s="10" t="n"/>
      <c r="C96" s="10" t="n"/>
      <c r="D96" s="8" t="n"/>
      <c r="E96" s="11" t="n"/>
      <c r="F96" s="9" t="n"/>
      <c r="G96" s="9" t="n"/>
      <c r="H96" s="12">
        <f>IF(A96="","",D96*E96)</f>
        <v/>
      </c>
      <c r="I96" s="12">
        <f>IF(A96="","",IF(Rates!$B$6=1,MIN(H96,Rates!$B$5),H96)*(Rates!$B$4+Rates!$B$13))</f>
        <v/>
      </c>
      <c r="J96" s="12">
        <f>IF(A96="","",IF(D96&lt;=Rates!$B$8,D96*Rates!$B$7,0))</f>
        <v/>
      </c>
      <c r="K96" s="12">
        <f>IF(A96="","",H96*Rates!$B$9)</f>
        <v/>
      </c>
      <c r="L96" s="12">
        <f>IF(A96="","",IF(D96&lt;=Rates!$B$11,H96*Rates!$B$10,0))</f>
        <v/>
      </c>
      <c r="M96" s="12">
        <f>IF(A96="","",Rates!$B$12/12)</f>
        <v/>
      </c>
      <c r="N96" s="12">
        <f>IF(A96="","",D96+I96+J96+K96+L96+M96)</f>
        <v/>
      </c>
      <c r="O96" s="13">
        <f>IF(A96="","",MAX(0,MIN(12,IF(G96="",12,G96))-MAX(1,F96)+1))</f>
        <v/>
      </c>
      <c r="P96" s="12">
        <f>IF(A96="","",N96*O96)</f>
        <v/>
      </c>
      <c r="Q96" s="12">
        <f>IF(A96="","",0.12*IF(Rates!$B$6=1,MIN(H96,Rates!$B$5),H96))</f>
        <v/>
      </c>
      <c r="R96" s="12">
        <f>IF(A96="","",IF(D96&lt;=Rates!$B$8,D96*0.0075,0))</f>
        <v/>
      </c>
    </row>
    <row r="97">
      <c r="A97" s="10" t="n"/>
      <c r="B97" s="10" t="n"/>
      <c r="C97" s="10" t="n"/>
      <c r="D97" s="8" t="n"/>
      <c r="E97" s="11" t="n"/>
      <c r="F97" s="9" t="n"/>
      <c r="G97" s="9" t="n"/>
      <c r="H97" s="12">
        <f>IF(A97="","",D97*E97)</f>
        <v/>
      </c>
      <c r="I97" s="12">
        <f>IF(A97="","",IF(Rates!$B$6=1,MIN(H97,Rates!$B$5),H97)*(Rates!$B$4+Rates!$B$13))</f>
        <v/>
      </c>
      <c r="J97" s="12">
        <f>IF(A97="","",IF(D97&lt;=Rates!$B$8,D97*Rates!$B$7,0))</f>
        <v/>
      </c>
      <c r="K97" s="12">
        <f>IF(A97="","",H97*Rates!$B$9)</f>
        <v/>
      </c>
      <c r="L97" s="12">
        <f>IF(A97="","",IF(D97&lt;=Rates!$B$11,H97*Rates!$B$10,0))</f>
        <v/>
      </c>
      <c r="M97" s="12">
        <f>IF(A97="","",Rates!$B$12/12)</f>
        <v/>
      </c>
      <c r="N97" s="12">
        <f>IF(A97="","",D97+I97+J97+K97+L97+M97)</f>
        <v/>
      </c>
      <c r="O97" s="13">
        <f>IF(A97="","",MAX(0,MIN(12,IF(G97="",12,G97))-MAX(1,F97)+1))</f>
        <v/>
      </c>
      <c r="P97" s="12">
        <f>IF(A97="","",N97*O97)</f>
        <v/>
      </c>
      <c r="Q97" s="12">
        <f>IF(A97="","",0.12*IF(Rates!$B$6=1,MIN(H97,Rates!$B$5),H97))</f>
        <v/>
      </c>
      <c r="R97" s="12">
        <f>IF(A97="","",IF(D97&lt;=Rates!$B$8,D97*0.0075,0))</f>
        <v/>
      </c>
    </row>
    <row r="98">
      <c r="A98" s="10" t="n"/>
      <c r="B98" s="10" t="n"/>
      <c r="C98" s="10" t="n"/>
      <c r="D98" s="8" t="n"/>
      <c r="E98" s="11" t="n"/>
      <c r="F98" s="9" t="n"/>
      <c r="G98" s="9" t="n"/>
      <c r="H98" s="12">
        <f>IF(A98="","",D98*E98)</f>
        <v/>
      </c>
      <c r="I98" s="12">
        <f>IF(A98="","",IF(Rates!$B$6=1,MIN(H98,Rates!$B$5),H98)*(Rates!$B$4+Rates!$B$13))</f>
        <v/>
      </c>
      <c r="J98" s="12">
        <f>IF(A98="","",IF(D98&lt;=Rates!$B$8,D98*Rates!$B$7,0))</f>
        <v/>
      </c>
      <c r="K98" s="12">
        <f>IF(A98="","",H98*Rates!$B$9)</f>
        <v/>
      </c>
      <c r="L98" s="12">
        <f>IF(A98="","",IF(D98&lt;=Rates!$B$11,H98*Rates!$B$10,0))</f>
        <v/>
      </c>
      <c r="M98" s="12">
        <f>IF(A98="","",Rates!$B$12/12)</f>
        <v/>
      </c>
      <c r="N98" s="12">
        <f>IF(A98="","",D98+I98+J98+K98+L98+M98)</f>
        <v/>
      </c>
      <c r="O98" s="13">
        <f>IF(A98="","",MAX(0,MIN(12,IF(G98="",12,G98))-MAX(1,F98)+1))</f>
        <v/>
      </c>
      <c r="P98" s="12">
        <f>IF(A98="","",N98*O98)</f>
        <v/>
      </c>
      <c r="Q98" s="12">
        <f>IF(A98="","",0.12*IF(Rates!$B$6=1,MIN(H98,Rates!$B$5),H98))</f>
        <v/>
      </c>
      <c r="R98" s="12">
        <f>IF(A98="","",IF(D98&lt;=Rates!$B$8,D98*0.0075,0))</f>
        <v/>
      </c>
    </row>
    <row r="99">
      <c r="A99" s="10" t="n"/>
      <c r="B99" s="10" t="n"/>
      <c r="C99" s="10" t="n"/>
      <c r="D99" s="8" t="n"/>
      <c r="E99" s="11" t="n"/>
      <c r="F99" s="9" t="n"/>
      <c r="G99" s="9" t="n"/>
      <c r="H99" s="12">
        <f>IF(A99="","",D99*E99)</f>
        <v/>
      </c>
      <c r="I99" s="12">
        <f>IF(A99="","",IF(Rates!$B$6=1,MIN(H99,Rates!$B$5),H99)*(Rates!$B$4+Rates!$B$13))</f>
        <v/>
      </c>
      <c r="J99" s="12">
        <f>IF(A99="","",IF(D99&lt;=Rates!$B$8,D99*Rates!$B$7,0))</f>
        <v/>
      </c>
      <c r="K99" s="12">
        <f>IF(A99="","",H99*Rates!$B$9)</f>
        <v/>
      </c>
      <c r="L99" s="12">
        <f>IF(A99="","",IF(D99&lt;=Rates!$B$11,H99*Rates!$B$10,0))</f>
        <v/>
      </c>
      <c r="M99" s="12">
        <f>IF(A99="","",Rates!$B$12/12)</f>
        <v/>
      </c>
      <c r="N99" s="12">
        <f>IF(A99="","",D99+I99+J99+K99+L99+M99)</f>
        <v/>
      </c>
      <c r="O99" s="13">
        <f>IF(A99="","",MAX(0,MIN(12,IF(G99="",12,G99))-MAX(1,F99)+1))</f>
        <v/>
      </c>
      <c r="P99" s="12">
        <f>IF(A99="","",N99*O99)</f>
        <v/>
      </c>
      <c r="Q99" s="12">
        <f>IF(A99="","",0.12*IF(Rates!$B$6=1,MIN(H99,Rates!$B$5),H99))</f>
        <v/>
      </c>
      <c r="R99" s="12">
        <f>IF(A99="","",IF(D99&lt;=Rates!$B$8,D99*0.0075,0))</f>
        <v/>
      </c>
    </row>
    <row r="100">
      <c r="A100" s="10" t="n"/>
      <c r="B100" s="10" t="n"/>
      <c r="C100" s="10" t="n"/>
      <c r="D100" s="8" t="n"/>
      <c r="E100" s="11" t="n"/>
      <c r="F100" s="9" t="n"/>
      <c r="G100" s="9" t="n"/>
      <c r="H100" s="12">
        <f>IF(A100="","",D100*E100)</f>
        <v/>
      </c>
      <c r="I100" s="12">
        <f>IF(A100="","",IF(Rates!$B$6=1,MIN(H100,Rates!$B$5),H100)*(Rates!$B$4+Rates!$B$13))</f>
        <v/>
      </c>
      <c r="J100" s="12">
        <f>IF(A100="","",IF(D100&lt;=Rates!$B$8,D100*Rates!$B$7,0))</f>
        <v/>
      </c>
      <c r="K100" s="12">
        <f>IF(A100="","",H100*Rates!$B$9)</f>
        <v/>
      </c>
      <c r="L100" s="12">
        <f>IF(A100="","",IF(D100&lt;=Rates!$B$11,H100*Rates!$B$10,0))</f>
        <v/>
      </c>
      <c r="M100" s="12">
        <f>IF(A100="","",Rates!$B$12/12)</f>
        <v/>
      </c>
      <c r="N100" s="12">
        <f>IF(A100="","",D100+I100+J100+K100+L100+M100)</f>
        <v/>
      </c>
      <c r="O100" s="13">
        <f>IF(A100="","",MAX(0,MIN(12,IF(G100="",12,G100))-MAX(1,F100)+1))</f>
        <v/>
      </c>
      <c r="P100" s="12">
        <f>IF(A100="","",N100*O100)</f>
        <v/>
      </c>
      <c r="Q100" s="12">
        <f>IF(A100="","",0.12*IF(Rates!$B$6=1,MIN(H100,Rates!$B$5),H100))</f>
        <v/>
      </c>
      <c r="R100" s="12">
        <f>IF(A100="","",IF(D100&lt;=Rates!$B$8,D100*0.0075,0))</f>
        <v/>
      </c>
    </row>
    <row r="101">
      <c r="A101" s="10" t="n"/>
      <c r="B101" s="10" t="n"/>
      <c r="C101" s="10" t="n"/>
      <c r="D101" s="8" t="n"/>
      <c r="E101" s="11" t="n"/>
      <c r="F101" s="9" t="n"/>
      <c r="G101" s="9" t="n"/>
      <c r="H101" s="12">
        <f>IF(A101="","",D101*E101)</f>
        <v/>
      </c>
      <c r="I101" s="12">
        <f>IF(A101="","",IF(Rates!$B$6=1,MIN(H101,Rates!$B$5),H101)*(Rates!$B$4+Rates!$B$13))</f>
        <v/>
      </c>
      <c r="J101" s="12">
        <f>IF(A101="","",IF(D101&lt;=Rates!$B$8,D101*Rates!$B$7,0))</f>
        <v/>
      </c>
      <c r="K101" s="12">
        <f>IF(A101="","",H101*Rates!$B$9)</f>
        <v/>
      </c>
      <c r="L101" s="12">
        <f>IF(A101="","",IF(D101&lt;=Rates!$B$11,H101*Rates!$B$10,0))</f>
        <v/>
      </c>
      <c r="M101" s="12">
        <f>IF(A101="","",Rates!$B$12/12)</f>
        <v/>
      </c>
      <c r="N101" s="12">
        <f>IF(A101="","",D101+I101+J101+K101+L101+M101)</f>
        <v/>
      </c>
      <c r="O101" s="13">
        <f>IF(A101="","",MAX(0,MIN(12,IF(G101="",12,G101))-MAX(1,F101)+1))</f>
        <v/>
      </c>
      <c r="P101" s="12">
        <f>IF(A101="","",N101*O101)</f>
        <v/>
      </c>
      <c r="Q101" s="12">
        <f>IF(A101="","",0.12*IF(Rates!$B$6=1,MIN(H101,Rates!$B$5),H101))</f>
        <v/>
      </c>
      <c r="R101" s="12">
        <f>IF(A101="","",IF(D101&lt;=Rates!$B$8,D101*0.0075,0))</f>
        <v/>
      </c>
    </row>
    <row r="102">
      <c r="A102" s="10" t="n"/>
      <c r="B102" s="10" t="n"/>
      <c r="C102" s="10" t="n"/>
      <c r="D102" s="8" t="n"/>
      <c r="E102" s="11" t="n"/>
      <c r="F102" s="9" t="n"/>
      <c r="G102" s="9" t="n"/>
      <c r="H102" s="12">
        <f>IF(A102="","",D102*E102)</f>
        <v/>
      </c>
      <c r="I102" s="12">
        <f>IF(A102="","",IF(Rates!$B$6=1,MIN(H102,Rates!$B$5),H102)*(Rates!$B$4+Rates!$B$13))</f>
        <v/>
      </c>
      <c r="J102" s="12">
        <f>IF(A102="","",IF(D102&lt;=Rates!$B$8,D102*Rates!$B$7,0))</f>
        <v/>
      </c>
      <c r="K102" s="12">
        <f>IF(A102="","",H102*Rates!$B$9)</f>
        <v/>
      </c>
      <c r="L102" s="12">
        <f>IF(A102="","",IF(D102&lt;=Rates!$B$11,H102*Rates!$B$10,0))</f>
        <v/>
      </c>
      <c r="M102" s="12">
        <f>IF(A102="","",Rates!$B$12/12)</f>
        <v/>
      </c>
      <c r="N102" s="12">
        <f>IF(A102="","",D102+I102+J102+K102+L102+M102)</f>
        <v/>
      </c>
      <c r="O102" s="13">
        <f>IF(A102="","",MAX(0,MIN(12,IF(G102="",12,G102))-MAX(1,F102)+1))</f>
        <v/>
      </c>
      <c r="P102" s="12">
        <f>IF(A102="","",N102*O102)</f>
        <v/>
      </c>
      <c r="Q102" s="12">
        <f>IF(A102="","",0.12*IF(Rates!$B$6=1,MIN(H102,Rates!$B$5),H102))</f>
        <v/>
      </c>
      <c r="R102" s="12">
        <f>IF(A102="","",IF(D102&lt;=Rates!$B$8,D102*0.0075,0))</f>
        <v/>
      </c>
    </row>
    <row r="103">
      <c r="A103" s="10" t="n"/>
      <c r="B103" s="10" t="n"/>
      <c r="C103" s="10" t="n"/>
      <c r="D103" s="8" t="n"/>
      <c r="E103" s="11" t="n"/>
      <c r="F103" s="9" t="n"/>
      <c r="G103" s="9" t="n"/>
      <c r="H103" s="12">
        <f>IF(A103="","",D103*E103)</f>
        <v/>
      </c>
      <c r="I103" s="12">
        <f>IF(A103="","",IF(Rates!$B$6=1,MIN(H103,Rates!$B$5),H103)*(Rates!$B$4+Rates!$B$13))</f>
        <v/>
      </c>
      <c r="J103" s="12">
        <f>IF(A103="","",IF(D103&lt;=Rates!$B$8,D103*Rates!$B$7,0))</f>
        <v/>
      </c>
      <c r="K103" s="12">
        <f>IF(A103="","",H103*Rates!$B$9)</f>
        <v/>
      </c>
      <c r="L103" s="12">
        <f>IF(A103="","",IF(D103&lt;=Rates!$B$11,H103*Rates!$B$10,0))</f>
        <v/>
      </c>
      <c r="M103" s="12">
        <f>IF(A103="","",Rates!$B$12/12)</f>
        <v/>
      </c>
      <c r="N103" s="12">
        <f>IF(A103="","",D103+I103+J103+K103+L103+M103)</f>
        <v/>
      </c>
      <c r="O103" s="13">
        <f>IF(A103="","",MAX(0,MIN(12,IF(G103="",12,G103))-MAX(1,F103)+1))</f>
        <v/>
      </c>
      <c r="P103" s="12">
        <f>IF(A103="","",N103*O103)</f>
        <v/>
      </c>
      <c r="Q103" s="12">
        <f>IF(A103="","",0.12*IF(Rates!$B$6=1,MIN(H103,Rates!$B$5),H103))</f>
        <v/>
      </c>
      <c r="R103" s="12">
        <f>IF(A103="","",IF(D103&lt;=Rates!$B$8,D103*0.0075,0))</f>
        <v/>
      </c>
    </row>
    <row r="104">
      <c r="A104" s="10" t="n"/>
      <c r="B104" s="10" t="n"/>
      <c r="C104" s="10" t="n"/>
      <c r="D104" s="8" t="n"/>
      <c r="E104" s="11" t="n"/>
      <c r="F104" s="9" t="n"/>
      <c r="G104" s="9" t="n"/>
      <c r="H104" s="12">
        <f>IF(A104="","",D104*E104)</f>
        <v/>
      </c>
      <c r="I104" s="12">
        <f>IF(A104="","",IF(Rates!$B$6=1,MIN(H104,Rates!$B$5),H104)*(Rates!$B$4+Rates!$B$13))</f>
        <v/>
      </c>
      <c r="J104" s="12">
        <f>IF(A104="","",IF(D104&lt;=Rates!$B$8,D104*Rates!$B$7,0))</f>
        <v/>
      </c>
      <c r="K104" s="12">
        <f>IF(A104="","",H104*Rates!$B$9)</f>
        <v/>
      </c>
      <c r="L104" s="12">
        <f>IF(A104="","",IF(D104&lt;=Rates!$B$11,H104*Rates!$B$10,0))</f>
        <v/>
      </c>
      <c r="M104" s="12">
        <f>IF(A104="","",Rates!$B$12/12)</f>
        <v/>
      </c>
      <c r="N104" s="12">
        <f>IF(A104="","",D104+I104+J104+K104+L104+M104)</f>
        <v/>
      </c>
      <c r="O104" s="13">
        <f>IF(A104="","",MAX(0,MIN(12,IF(G104="",12,G104))-MAX(1,F104)+1))</f>
        <v/>
      </c>
      <c r="P104" s="12">
        <f>IF(A104="","",N104*O104)</f>
        <v/>
      </c>
      <c r="Q104" s="12">
        <f>IF(A104="","",0.12*IF(Rates!$B$6=1,MIN(H104,Rates!$B$5),H104))</f>
        <v/>
      </c>
      <c r="R104" s="12">
        <f>IF(A104="","",IF(D104&lt;=Rates!$B$8,D104*0.0075,0))</f>
        <v/>
      </c>
    </row>
    <row r="105">
      <c r="A105" s="10" t="n"/>
      <c r="B105" s="10" t="n"/>
      <c r="C105" s="10" t="n"/>
      <c r="D105" s="8" t="n"/>
      <c r="E105" s="11" t="n"/>
      <c r="F105" s="9" t="n"/>
      <c r="G105" s="9" t="n"/>
      <c r="H105" s="12">
        <f>IF(A105="","",D105*E105)</f>
        <v/>
      </c>
      <c r="I105" s="12">
        <f>IF(A105="","",IF(Rates!$B$6=1,MIN(H105,Rates!$B$5),H105)*(Rates!$B$4+Rates!$B$13))</f>
        <v/>
      </c>
      <c r="J105" s="12">
        <f>IF(A105="","",IF(D105&lt;=Rates!$B$8,D105*Rates!$B$7,0))</f>
        <v/>
      </c>
      <c r="K105" s="12">
        <f>IF(A105="","",H105*Rates!$B$9)</f>
        <v/>
      </c>
      <c r="L105" s="12">
        <f>IF(A105="","",IF(D105&lt;=Rates!$B$11,H105*Rates!$B$10,0))</f>
        <v/>
      </c>
      <c r="M105" s="12">
        <f>IF(A105="","",Rates!$B$12/12)</f>
        <v/>
      </c>
      <c r="N105" s="12">
        <f>IF(A105="","",D105+I105+J105+K105+L105+M105)</f>
        <v/>
      </c>
      <c r="O105" s="13">
        <f>IF(A105="","",MAX(0,MIN(12,IF(G105="",12,G105))-MAX(1,F105)+1))</f>
        <v/>
      </c>
      <c r="P105" s="12">
        <f>IF(A105="","",N105*O105)</f>
        <v/>
      </c>
      <c r="Q105" s="12">
        <f>IF(A105="","",0.12*IF(Rates!$B$6=1,MIN(H105,Rates!$B$5),H105))</f>
        <v/>
      </c>
      <c r="R105" s="12">
        <f>IF(A105="","",IF(D105&lt;=Rates!$B$8,D105*0.0075,0))</f>
        <v/>
      </c>
    </row>
    <row r="106">
      <c r="A106" s="10" t="n"/>
      <c r="B106" s="10" t="n"/>
      <c r="C106" s="10" t="n"/>
      <c r="D106" s="8" t="n"/>
      <c r="E106" s="11" t="n"/>
      <c r="F106" s="9" t="n"/>
      <c r="G106" s="9" t="n"/>
      <c r="H106" s="12">
        <f>IF(A106="","",D106*E106)</f>
        <v/>
      </c>
      <c r="I106" s="12">
        <f>IF(A106="","",IF(Rates!$B$6=1,MIN(H106,Rates!$B$5),H106)*(Rates!$B$4+Rates!$B$13))</f>
        <v/>
      </c>
      <c r="J106" s="12">
        <f>IF(A106="","",IF(D106&lt;=Rates!$B$8,D106*Rates!$B$7,0))</f>
        <v/>
      </c>
      <c r="K106" s="12">
        <f>IF(A106="","",H106*Rates!$B$9)</f>
        <v/>
      </c>
      <c r="L106" s="12">
        <f>IF(A106="","",IF(D106&lt;=Rates!$B$11,H106*Rates!$B$10,0))</f>
        <v/>
      </c>
      <c r="M106" s="12">
        <f>IF(A106="","",Rates!$B$12/12)</f>
        <v/>
      </c>
      <c r="N106" s="12">
        <f>IF(A106="","",D106+I106+J106+K106+L106+M106)</f>
        <v/>
      </c>
      <c r="O106" s="13">
        <f>IF(A106="","",MAX(0,MIN(12,IF(G106="",12,G106))-MAX(1,F106)+1))</f>
        <v/>
      </c>
      <c r="P106" s="12">
        <f>IF(A106="","",N106*O106)</f>
        <v/>
      </c>
      <c r="Q106" s="12">
        <f>IF(A106="","",0.12*IF(Rates!$B$6=1,MIN(H106,Rates!$B$5),H106))</f>
        <v/>
      </c>
      <c r="R106" s="12">
        <f>IF(A106="","",IF(D106&lt;=Rates!$B$8,D106*0.0075,0))</f>
        <v/>
      </c>
    </row>
    <row r="107">
      <c r="A107" s="10" t="n"/>
      <c r="B107" s="10" t="n"/>
      <c r="C107" s="10" t="n"/>
      <c r="D107" s="8" t="n"/>
      <c r="E107" s="11" t="n"/>
      <c r="F107" s="9" t="n"/>
      <c r="G107" s="9" t="n"/>
      <c r="H107" s="12">
        <f>IF(A107="","",D107*E107)</f>
        <v/>
      </c>
      <c r="I107" s="12">
        <f>IF(A107="","",IF(Rates!$B$6=1,MIN(H107,Rates!$B$5),H107)*(Rates!$B$4+Rates!$B$13))</f>
        <v/>
      </c>
      <c r="J107" s="12">
        <f>IF(A107="","",IF(D107&lt;=Rates!$B$8,D107*Rates!$B$7,0))</f>
        <v/>
      </c>
      <c r="K107" s="12">
        <f>IF(A107="","",H107*Rates!$B$9)</f>
        <v/>
      </c>
      <c r="L107" s="12">
        <f>IF(A107="","",IF(D107&lt;=Rates!$B$11,H107*Rates!$B$10,0))</f>
        <v/>
      </c>
      <c r="M107" s="12">
        <f>IF(A107="","",Rates!$B$12/12)</f>
        <v/>
      </c>
      <c r="N107" s="12">
        <f>IF(A107="","",D107+I107+J107+K107+L107+M107)</f>
        <v/>
      </c>
      <c r="O107" s="13">
        <f>IF(A107="","",MAX(0,MIN(12,IF(G107="",12,G107))-MAX(1,F107)+1))</f>
        <v/>
      </c>
      <c r="P107" s="12">
        <f>IF(A107="","",N107*O107)</f>
        <v/>
      </c>
      <c r="Q107" s="12">
        <f>IF(A107="","",0.12*IF(Rates!$B$6=1,MIN(H107,Rates!$B$5),H107))</f>
        <v/>
      </c>
      <c r="R107" s="12">
        <f>IF(A107="","",IF(D107&lt;=Rates!$B$8,D107*0.0075,0))</f>
        <v/>
      </c>
    </row>
    <row r="108">
      <c r="A108" s="10" t="n"/>
      <c r="B108" s="10" t="n"/>
      <c r="C108" s="10" t="n"/>
      <c r="D108" s="8" t="n"/>
      <c r="E108" s="11" t="n"/>
      <c r="F108" s="9" t="n"/>
      <c r="G108" s="9" t="n"/>
      <c r="H108" s="12">
        <f>IF(A108="","",D108*E108)</f>
        <v/>
      </c>
      <c r="I108" s="12">
        <f>IF(A108="","",IF(Rates!$B$6=1,MIN(H108,Rates!$B$5),H108)*(Rates!$B$4+Rates!$B$13))</f>
        <v/>
      </c>
      <c r="J108" s="12">
        <f>IF(A108="","",IF(D108&lt;=Rates!$B$8,D108*Rates!$B$7,0))</f>
        <v/>
      </c>
      <c r="K108" s="12">
        <f>IF(A108="","",H108*Rates!$B$9)</f>
        <v/>
      </c>
      <c r="L108" s="12">
        <f>IF(A108="","",IF(D108&lt;=Rates!$B$11,H108*Rates!$B$10,0))</f>
        <v/>
      </c>
      <c r="M108" s="12">
        <f>IF(A108="","",Rates!$B$12/12)</f>
        <v/>
      </c>
      <c r="N108" s="12">
        <f>IF(A108="","",D108+I108+J108+K108+L108+M108)</f>
        <v/>
      </c>
      <c r="O108" s="13">
        <f>IF(A108="","",MAX(0,MIN(12,IF(G108="",12,G108))-MAX(1,F108)+1))</f>
        <v/>
      </c>
      <c r="P108" s="12">
        <f>IF(A108="","",N108*O108)</f>
        <v/>
      </c>
      <c r="Q108" s="12">
        <f>IF(A108="","",0.12*IF(Rates!$B$6=1,MIN(H108,Rates!$B$5),H108))</f>
        <v/>
      </c>
      <c r="R108" s="12">
        <f>IF(A108="","",IF(D108&lt;=Rates!$B$8,D108*0.0075,0))</f>
        <v/>
      </c>
    </row>
    <row r="109">
      <c r="A109" s="10" t="n"/>
      <c r="B109" s="10" t="n"/>
      <c r="C109" s="10" t="n"/>
      <c r="D109" s="8" t="n"/>
      <c r="E109" s="11" t="n"/>
      <c r="F109" s="9" t="n"/>
      <c r="G109" s="9" t="n"/>
      <c r="H109" s="12">
        <f>IF(A109="","",D109*E109)</f>
        <v/>
      </c>
      <c r="I109" s="12">
        <f>IF(A109="","",IF(Rates!$B$6=1,MIN(H109,Rates!$B$5),H109)*(Rates!$B$4+Rates!$B$13))</f>
        <v/>
      </c>
      <c r="J109" s="12">
        <f>IF(A109="","",IF(D109&lt;=Rates!$B$8,D109*Rates!$B$7,0))</f>
        <v/>
      </c>
      <c r="K109" s="12">
        <f>IF(A109="","",H109*Rates!$B$9)</f>
        <v/>
      </c>
      <c r="L109" s="12">
        <f>IF(A109="","",IF(D109&lt;=Rates!$B$11,H109*Rates!$B$10,0))</f>
        <v/>
      </c>
      <c r="M109" s="12">
        <f>IF(A109="","",Rates!$B$12/12)</f>
        <v/>
      </c>
      <c r="N109" s="12">
        <f>IF(A109="","",D109+I109+J109+K109+L109+M109)</f>
        <v/>
      </c>
      <c r="O109" s="13">
        <f>IF(A109="","",MAX(0,MIN(12,IF(G109="",12,G109))-MAX(1,F109)+1))</f>
        <v/>
      </c>
      <c r="P109" s="12">
        <f>IF(A109="","",N109*O109)</f>
        <v/>
      </c>
      <c r="Q109" s="12">
        <f>IF(A109="","",0.12*IF(Rates!$B$6=1,MIN(H109,Rates!$B$5),H109))</f>
        <v/>
      </c>
      <c r="R109" s="12">
        <f>IF(A109="","",IF(D109&lt;=Rates!$B$8,D109*0.0075,0))</f>
        <v/>
      </c>
    </row>
    <row r="110">
      <c r="A110" s="10" t="n"/>
      <c r="B110" s="10" t="n"/>
      <c r="C110" s="10" t="n"/>
      <c r="D110" s="8" t="n"/>
      <c r="E110" s="11" t="n"/>
      <c r="F110" s="9" t="n"/>
      <c r="G110" s="9" t="n"/>
      <c r="H110" s="12">
        <f>IF(A110="","",D110*E110)</f>
        <v/>
      </c>
      <c r="I110" s="12">
        <f>IF(A110="","",IF(Rates!$B$6=1,MIN(H110,Rates!$B$5),H110)*(Rates!$B$4+Rates!$B$13))</f>
        <v/>
      </c>
      <c r="J110" s="12">
        <f>IF(A110="","",IF(D110&lt;=Rates!$B$8,D110*Rates!$B$7,0))</f>
        <v/>
      </c>
      <c r="K110" s="12">
        <f>IF(A110="","",H110*Rates!$B$9)</f>
        <v/>
      </c>
      <c r="L110" s="12">
        <f>IF(A110="","",IF(D110&lt;=Rates!$B$11,H110*Rates!$B$10,0))</f>
        <v/>
      </c>
      <c r="M110" s="12">
        <f>IF(A110="","",Rates!$B$12/12)</f>
        <v/>
      </c>
      <c r="N110" s="12">
        <f>IF(A110="","",D110+I110+J110+K110+L110+M110)</f>
        <v/>
      </c>
      <c r="O110" s="13">
        <f>IF(A110="","",MAX(0,MIN(12,IF(G110="",12,G110))-MAX(1,F110)+1))</f>
        <v/>
      </c>
      <c r="P110" s="12">
        <f>IF(A110="","",N110*O110)</f>
        <v/>
      </c>
      <c r="Q110" s="12">
        <f>IF(A110="","",0.12*IF(Rates!$B$6=1,MIN(H110,Rates!$B$5),H110))</f>
        <v/>
      </c>
      <c r="R110" s="12">
        <f>IF(A110="","",IF(D110&lt;=Rates!$B$8,D110*0.0075,0))</f>
        <v/>
      </c>
    </row>
    <row r="111">
      <c r="A111" s="10" t="n"/>
      <c r="B111" s="10" t="n"/>
      <c r="C111" s="10" t="n"/>
      <c r="D111" s="8" t="n"/>
      <c r="E111" s="11" t="n"/>
      <c r="F111" s="9" t="n"/>
      <c r="G111" s="9" t="n"/>
      <c r="H111" s="12">
        <f>IF(A111="","",D111*E111)</f>
        <v/>
      </c>
      <c r="I111" s="12">
        <f>IF(A111="","",IF(Rates!$B$6=1,MIN(H111,Rates!$B$5),H111)*(Rates!$B$4+Rates!$B$13))</f>
        <v/>
      </c>
      <c r="J111" s="12">
        <f>IF(A111="","",IF(D111&lt;=Rates!$B$8,D111*Rates!$B$7,0))</f>
        <v/>
      </c>
      <c r="K111" s="12">
        <f>IF(A111="","",H111*Rates!$B$9)</f>
        <v/>
      </c>
      <c r="L111" s="12">
        <f>IF(A111="","",IF(D111&lt;=Rates!$B$11,H111*Rates!$B$10,0))</f>
        <v/>
      </c>
      <c r="M111" s="12">
        <f>IF(A111="","",Rates!$B$12/12)</f>
        <v/>
      </c>
      <c r="N111" s="12">
        <f>IF(A111="","",D111+I111+J111+K111+L111+M111)</f>
        <v/>
      </c>
      <c r="O111" s="13">
        <f>IF(A111="","",MAX(0,MIN(12,IF(G111="",12,G111))-MAX(1,F111)+1))</f>
        <v/>
      </c>
      <c r="P111" s="12">
        <f>IF(A111="","",N111*O111)</f>
        <v/>
      </c>
      <c r="Q111" s="12">
        <f>IF(A111="","",0.12*IF(Rates!$B$6=1,MIN(H111,Rates!$B$5),H111))</f>
        <v/>
      </c>
      <c r="R111" s="12">
        <f>IF(A111="","",IF(D111&lt;=Rates!$B$8,D111*0.0075,0))</f>
        <v/>
      </c>
    </row>
    <row r="112">
      <c r="A112" s="10" t="n"/>
      <c r="B112" s="10" t="n"/>
      <c r="C112" s="10" t="n"/>
      <c r="D112" s="8" t="n"/>
      <c r="E112" s="11" t="n"/>
      <c r="F112" s="9" t="n"/>
      <c r="G112" s="9" t="n"/>
      <c r="H112" s="12">
        <f>IF(A112="","",D112*E112)</f>
        <v/>
      </c>
      <c r="I112" s="12">
        <f>IF(A112="","",IF(Rates!$B$6=1,MIN(H112,Rates!$B$5),H112)*(Rates!$B$4+Rates!$B$13))</f>
        <v/>
      </c>
      <c r="J112" s="12">
        <f>IF(A112="","",IF(D112&lt;=Rates!$B$8,D112*Rates!$B$7,0))</f>
        <v/>
      </c>
      <c r="K112" s="12">
        <f>IF(A112="","",H112*Rates!$B$9)</f>
        <v/>
      </c>
      <c r="L112" s="12">
        <f>IF(A112="","",IF(D112&lt;=Rates!$B$11,H112*Rates!$B$10,0))</f>
        <v/>
      </c>
      <c r="M112" s="12">
        <f>IF(A112="","",Rates!$B$12/12)</f>
        <v/>
      </c>
      <c r="N112" s="12">
        <f>IF(A112="","",D112+I112+J112+K112+L112+M112)</f>
        <v/>
      </c>
      <c r="O112" s="13">
        <f>IF(A112="","",MAX(0,MIN(12,IF(G112="",12,G112))-MAX(1,F112)+1))</f>
        <v/>
      </c>
      <c r="P112" s="12">
        <f>IF(A112="","",N112*O112)</f>
        <v/>
      </c>
      <c r="Q112" s="12">
        <f>IF(A112="","",0.12*IF(Rates!$B$6=1,MIN(H112,Rates!$B$5),H112))</f>
        <v/>
      </c>
      <c r="R112" s="12">
        <f>IF(A112="","",IF(D112&lt;=Rates!$B$8,D112*0.0075,0))</f>
        <v/>
      </c>
    </row>
    <row r="113">
      <c r="A113" s="10" t="n"/>
      <c r="B113" s="10" t="n"/>
      <c r="C113" s="10" t="n"/>
      <c r="D113" s="8" t="n"/>
      <c r="E113" s="11" t="n"/>
      <c r="F113" s="9" t="n"/>
      <c r="G113" s="9" t="n"/>
      <c r="H113" s="12">
        <f>IF(A113="","",D113*E113)</f>
        <v/>
      </c>
      <c r="I113" s="12">
        <f>IF(A113="","",IF(Rates!$B$6=1,MIN(H113,Rates!$B$5),H113)*(Rates!$B$4+Rates!$B$13))</f>
        <v/>
      </c>
      <c r="J113" s="12">
        <f>IF(A113="","",IF(D113&lt;=Rates!$B$8,D113*Rates!$B$7,0))</f>
        <v/>
      </c>
      <c r="K113" s="12">
        <f>IF(A113="","",H113*Rates!$B$9)</f>
        <v/>
      </c>
      <c r="L113" s="12">
        <f>IF(A113="","",IF(D113&lt;=Rates!$B$11,H113*Rates!$B$10,0))</f>
        <v/>
      </c>
      <c r="M113" s="12">
        <f>IF(A113="","",Rates!$B$12/12)</f>
        <v/>
      </c>
      <c r="N113" s="12">
        <f>IF(A113="","",D113+I113+J113+K113+L113+M113)</f>
        <v/>
      </c>
      <c r="O113" s="13">
        <f>IF(A113="","",MAX(0,MIN(12,IF(G113="",12,G113))-MAX(1,F113)+1))</f>
        <v/>
      </c>
      <c r="P113" s="12">
        <f>IF(A113="","",N113*O113)</f>
        <v/>
      </c>
      <c r="Q113" s="12">
        <f>IF(A113="","",0.12*IF(Rates!$B$6=1,MIN(H113,Rates!$B$5),H113))</f>
        <v/>
      </c>
      <c r="R113" s="12">
        <f>IF(A113="","",IF(D113&lt;=Rates!$B$8,D113*0.0075,0))</f>
        <v/>
      </c>
    </row>
    <row r="114">
      <c r="A114" s="10" t="n"/>
      <c r="B114" s="10" t="n"/>
      <c r="C114" s="10" t="n"/>
      <c r="D114" s="8" t="n"/>
      <c r="E114" s="11" t="n"/>
      <c r="F114" s="9" t="n"/>
      <c r="G114" s="9" t="n"/>
      <c r="H114" s="12">
        <f>IF(A114="","",D114*E114)</f>
        <v/>
      </c>
      <c r="I114" s="12">
        <f>IF(A114="","",IF(Rates!$B$6=1,MIN(H114,Rates!$B$5),H114)*(Rates!$B$4+Rates!$B$13))</f>
        <v/>
      </c>
      <c r="J114" s="12">
        <f>IF(A114="","",IF(D114&lt;=Rates!$B$8,D114*Rates!$B$7,0))</f>
        <v/>
      </c>
      <c r="K114" s="12">
        <f>IF(A114="","",H114*Rates!$B$9)</f>
        <v/>
      </c>
      <c r="L114" s="12">
        <f>IF(A114="","",IF(D114&lt;=Rates!$B$11,H114*Rates!$B$10,0))</f>
        <v/>
      </c>
      <c r="M114" s="12">
        <f>IF(A114="","",Rates!$B$12/12)</f>
        <v/>
      </c>
      <c r="N114" s="12">
        <f>IF(A114="","",D114+I114+J114+K114+L114+M114)</f>
        <v/>
      </c>
      <c r="O114" s="13">
        <f>IF(A114="","",MAX(0,MIN(12,IF(G114="",12,G114))-MAX(1,F114)+1))</f>
        <v/>
      </c>
      <c r="P114" s="12">
        <f>IF(A114="","",N114*O114)</f>
        <v/>
      </c>
      <c r="Q114" s="12">
        <f>IF(A114="","",0.12*IF(Rates!$B$6=1,MIN(H114,Rates!$B$5),H114))</f>
        <v/>
      </c>
      <c r="R114" s="12">
        <f>IF(A114="","",IF(D114&lt;=Rates!$B$8,D114*0.0075,0))</f>
        <v/>
      </c>
    </row>
    <row r="115">
      <c r="A115" s="10" t="n"/>
      <c r="B115" s="10" t="n"/>
      <c r="C115" s="10" t="n"/>
      <c r="D115" s="8" t="n"/>
      <c r="E115" s="11" t="n"/>
      <c r="F115" s="9" t="n"/>
      <c r="G115" s="9" t="n"/>
      <c r="H115" s="12">
        <f>IF(A115="","",D115*E115)</f>
        <v/>
      </c>
      <c r="I115" s="12">
        <f>IF(A115="","",IF(Rates!$B$6=1,MIN(H115,Rates!$B$5),H115)*(Rates!$B$4+Rates!$B$13))</f>
        <v/>
      </c>
      <c r="J115" s="12">
        <f>IF(A115="","",IF(D115&lt;=Rates!$B$8,D115*Rates!$B$7,0))</f>
        <v/>
      </c>
      <c r="K115" s="12">
        <f>IF(A115="","",H115*Rates!$B$9)</f>
        <v/>
      </c>
      <c r="L115" s="12">
        <f>IF(A115="","",IF(D115&lt;=Rates!$B$11,H115*Rates!$B$10,0))</f>
        <v/>
      </c>
      <c r="M115" s="12">
        <f>IF(A115="","",Rates!$B$12/12)</f>
        <v/>
      </c>
      <c r="N115" s="12">
        <f>IF(A115="","",D115+I115+J115+K115+L115+M115)</f>
        <v/>
      </c>
      <c r="O115" s="13">
        <f>IF(A115="","",MAX(0,MIN(12,IF(G115="",12,G115))-MAX(1,F115)+1))</f>
        <v/>
      </c>
      <c r="P115" s="12">
        <f>IF(A115="","",N115*O115)</f>
        <v/>
      </c>
      <c r="Q115" s="12">
        <f>IF(A115="","",0.12*IF(Rates!$B$6=1,MIN(H115,Rates!$B$5),H115))</f>
        <v/>
      </c>
      <c r="R115" s="12">
        <f>IF(A115="","",IF(D115&lt;=Rates!$B$8,D115*0.0075,0))</f>
        <v/>
      </c>
    </row>
    <row r="116">
      <c r="A116" s="10" t="n"/>
      <c r="B116" s="10" t="n"/>
      <c r="C116" s="10" t="n"/>
      <c r="D116" s="8" t="n"/>
      <c r="E116" s="11" t="n"/>
      <c r="F116" s="9" t="n"/>
      <c r="G116" s="9" t="n"/>
      <c r="H116" s="12">
        <f>IF(A116="","",D116*E116)</f>
        <v/>
      </c>
      <c r="I116" s="12">
        <f>IF(A116="","",IF(Rates!$B$6=1,MIN(H116,Rates!$B$5),H116)*(Rates!$B$4+Rates!$B$13))</f>
        <v/>
      </c>
      <c r="J116" s="12">
        <f>IF(A116="","",IF(D116&lt;=Rates!$B$8,D116*Rates!$B$7,0))</f>
        <v/>
      </c>
      <c r="K116" s="12">
        <f>IF(A116="","",H116*Rates!$B$9)</f>
        <v/>
      </c>
      <c r="L116" s="12">
        <f>IF(A116="","",IF(D116&lt;=Rates!$B$11,H116*Rates!$B$10,0))</f>
        <v/>
      </c>
      <c r="M116" s="12">
        <f>IF(A116="","",Rates!$B$12/12)</f>
        <v/>
      </c>
      <c r="N116" s="12">
        <f>IF(A116="","",D116+I116+J116+K116+L116+M116)</f>
        <v/>
      </c>
      <c r="O116" s="13">
        <f>IF(A116="","",MAX(0,MIN(12,IF(G116="",12,G116))-MAX(1,F116)+1))</f>
        <v/>
      </c>
      <c r="P116" s="12">
        <f>IF(A116="","",N116*O116)</f>
        <v/>
      </c>
      <c r="Q116" s="12">
        <f>IF(A116="","",0.12*IF(Rates!$B$6=1,MIN(H116,Rates!$B$5),H116))</f>
        <v/>
      </c>
      <c r="R116" s="12">
        <f>IF(A116="","",IF(D116&lt;=Rates!$B$8,D116*0.0075,0))</f>
        <v/>
      </c>
    </row>
    <row r="117">
      <c r="A117" s="10" t="n"/>
      <c r="B117" s="10" t="n"/>
      <c r="C117" s="10" t="n"/>
      <c r="D117" s="8" t="n"/>
      <c r="E117" s="11" t="n"/>
      <c r="F117" s="9" t="n"/>
      <c r="G117" s="9" t="n"/>
      <c r="H117" s="12">
        <f>IF(A117="","",D117*E117)</f>
        <v/>
      </c>
      <c r="I117" s="12">
        <f>IF(A117="","",IF(Rates!$B$6=1,MIN(H117,Rates!$B$5),H117)*(Rates!$B$4+Rates!$B$13))</f>
        <v/>
      </c>
      <c r="J117" s="12">
        <f>IF(A117="","",IF(D117&lt;=Rates!$B$8,D117*Rates!$B$7,0))</f>
        <v/>
      </c>
      <c r="K117" s="12">
        <f>IF(A117="","",H117*Rates!$B$9)</f>
        <v/>
      </c>
      <c r="L117" s="12">
        <f>IF(A117="","",IF(D117&lt;=Rates!$B$11,H117*Rates!$B$10,0))</f>
        <v/>
      </c>
      <c r="M117" s="12">
        <f>IF(A117="","",Rates!$B$12/12)</f>
        <v/>
      </c>
      <c r="N117" s="12">
        <f>IF(A117="","",D117+I117+J117+K117+L117+M117)</f>
        <v/>
      </c>
      <c r="O117" s="13">
        <f>IF(A117="","",MAX(0,MIN(12,IF(G117="",12,G117))-MAX(1,F117)+1))</f>
        <v/>
      </c>
      <c r="P117" s="12">
        <f>IF(A117="","",N117*O117)</f>
        <v/>
      </c>
      <c r="Q117" s="12">
        <f>IF(A117="","",0.12*IF(Rates!$B$6=1,MIN(H117,Rates!$B$5),H117))</f>
        <v/>
      </c>
      <c r="R117" s="12">
        <f>IF(A117="","",IF(D117&lt;=Rates!$B$8,D117*0.0075,0))</f>
        <v/>
      </c>
    </row>
    <row r="118">
      <c r="A118" s="10" t="n"/>
      <c r="B118" s="10" t="n"/>
      <c r="C118" s="10" t="n"/>
      <c r="D118" s="8" t="n"/>
      <c r="E118" s="11" t="n"/>
      <c r="F118" s="9" t="n"/>
      <c r="G118" s="9" t="n"/>
      <c r="H118" s="12">
        <f>IF(A118="","",D118*E118)</f>
        <v/>
      </c>
      <c r="I118" s="12">
        <f>IF(A118="","",IF(Rates!$B$6=1,MIN(H118,Rates!$B$5),H118)*(Rates!$B$4+Rates!$B$13))</f>
        <v/>
      </c>
      <c r="J118" s="12">
        <f>IF(A118="","",IF(D118&lt;=Rates!$B$8,D118*Rates!$B$7,0))</f>
        <v/>
      </c>
      <c r="K118" s="12">
        <f>IF(A118="","",H118*Rates!$B$9)</f>
        <v/>
      </c>
      <c r="L118" s="12">
        <f>IF(A118="","",IF(D118&lt;=Rates!$B$11,H118*Rates!$B$10,0))</f>
        <v/>
      </c>
      <c r="M118" s="12">
        <f>IF(A118="","",Rates!$B$12/12)</f>
        <v/>
      </c>
      <c r="N118" s="12">
        <f>IF(A118="","",D118+I118+J118+K118+L118+M118)</f>
        <v/>
      </c>
      <c r="O118" s="13">
        <f>IF(A118="","",MAX(0,MIN(12,IF(G118="",12,G118))-MAX(1,F118)+1))</f>
        <v/>
      </c>
      <c r="P118" s="12">
        <f>IF(A118="","",N118*O118)</f>
        <v/>
      </c>
      <c r="Q118" s="12">
        <f>IF(A118="","",0.12*IF(Rates!$B$6=1,MIN(H118,Rates!$B$5),H118))</f>
        <v/>
      </c>
      <c r="R118" s="12">
        <f>IF(A118="","",IF(D118&lt;=Rates!$B$8,D118*0.0075,0))</f>
        <v/>
      </c>
    </row>
    <row r="119">
      <c r="A119" s="10" t="n"/>
      <c r="B119" s="10" t="n"/>
      <c r="C119" s="10" t="n"/>
      <c r="D119" s="8" t="n"/>
      <c r="E119" s="11" t="n"/>
      <c r="F119" s="9" t="n"/>
      <c r="G119" s="9" t="n"/>
      <c r="H119" s="12">
        <f>IF(A119="","",D119*E119)</f>
        <v/>
      </c>
      <c r="I119" s="12">
        <f>IF(A119="","",IF(Rates!$B$6=1,MIN(H119,Rates!$B$5),H119)*(Rates!$B$4+Rates!$B$13))</f>
        <v/>
      </c>
      <c r="J119" s="12">
        <f>IF(A119="","",IF(D119&lt;=Rates!$B$8,D119*Rates!$B$7,0))</f>
        <v/>
      </c>
      <c r="K119" s="12">
        <f>IF(A119="","",H119*Rates!$B$9)</f>
        <v/>
      </c>
      <c r="L119" s="12">
        <f>IF(A119="","",IF(D119&lt;=Rates!$B$11,H119*Rates!$B$10,0))</f>
        <v/>
      </c>
      <c r="M119" s="12">
        <f>IF(A119="","",Rates!$B$12/12)</f>
        <v/>
      </c>
      <c r="N119" s="12">
        <f>IF(A119="","",D119+I119+J119+K119+L119+M119)</f>
        <v/>
      </c>
      <c r="O119" s="13">
        <f>IF(A119="","",MAX(0,MIN(12,IF(G119="",12,G119))-MAX(1,F119)+1))</f>
        <v/>
      </c>
      <c r="P119" s="12">
        <f>IF(A119="","",N119*O119)</f>
        <v/>
      </c>
      <c r="Q119" s="12">
        <f>IF(A119="","",0.12*IF(Rates!$B$6=1,MIN(H119,Rates!$B$5),H119))</f>
        <v/>
      </c>
      <c r="R119" s="12">
        <f>IF(A119="","",IF(D119&lt;=Rates!$B$8,D119*0.0075,0))</f>
        <v/>
      </c>
    </row>
    <row r="120">
      <c r="A120" s="10" t="n"/>
      <c r="B120" s="10" t="n"/>
      <c r="C120" s="10" t="n"/>
      <c r="D120" s="8" t="n"/>
      <c r="E120" s="11" t="n"/>
      <c r="F120" s="9" t="n"/>
      <c r="G120" s="9" t="n"/>
      <c r="H120" s="12">
        <f>IF(A120="","",D120*E120)</f>
        <v/>
      </c>
      <c r="I120" s="12">
        <f>IF(A120="","",IF(Rates!$B$6=1,MIN(H120,Rates!$B$5),H120)*(Rates!$B$4+Rates!$B$13))</f>
        <v/>
      </c>
      <c r="J120" s="12">
        <f>IF(A120="","",IF(D120&lt;=Rates!$B$8,D120*Rates!$B$7,0))</f>
        <v/>
      </c>
      <c r="K120" s="12">
        <f>IF(A120="","",H120*Rates!$B$9)</f>
        <v/>
      </c>
      <c r="L120" s="12">
        <f>IF(A120="","",IF(D120&lt;=Rates!$B$11,H120*Rates!$B$10,0))</f>
        <v/>
      </c>
      <c r="M120" s="12">
        <f>IF(A120="","",Rates!$B$12/12)</f>
        <v/>
      </c>
      <c r="N120" s="12">
        <f>IF(A120="","",D120+I120+J120+K120+L120+M120)</f>
        <v/>
      </c>
      <c r="O120" s="13">
        <f>IF(A120="","",MAX(0,MIN(12,IF(G120="",12,G120))-MAX(1,F120)+1))</f>
        <v/>
      </c>
      <c r="P120" s="12">
        <f>IF(A120="","",N120*O120)</f>
        <v/>
      </c>
      <c r="Q120" s="12">
        <f>IF(A120="","",0.12*IF(Rates!$B$6=1,MIN(H120,Rates!$B$5),H120))</f>
        <v/>
      </c>
      <c r="R120" s="12">
        <f>IF(A120="","",IF(D120&lt;=Rates!$B$8,D120*0.0075,0))</f>
        <v/>
      </c>
    </row>
    <row r="121">
      <c r="A121" s="10" t="n"/>
      <c r="B121" s="10" t="n"/>
      <c r="C121" s="10" t="n"/>
      <c r="D121" s="8" t="n"/>
      <c r="E121" s="11" t="n"/>
      <c r="F121" s="9" t="n"/>
      <c r="G121" s="9" t="n"/>
      <c r="H121" s="12">
        <f>IF(A121="","",D121*E121)</f>
        <v/>
      </c>
      <c r="I121" s="12">
        <f>IF(A121="","",IF(Rates!$B$6=1,MIN(H121,Rates!$B$5),H121)*(Rates!$B$4+Rates!$B$13))</f>
        <v/>
      </c>
      <c r="J121" s="12">
        <f>IF(A121="","",IF(D121&lt;=Rates!$B$8,D121*Rates!$B$7,0))</f>
        <v/>
      </c>
      <c r="K121" s="12">
        <f>IF(A121="","",H121*Rates!$B$9)</f>
        <v/>
      </c>
      <c r="L121" s="12">
        <f>IF(A121="","",IF(D121&lt;=Rates!$B$11,H121*Rates!$B$10,0))</f>
        <v/>
      </c>
      <c r="M121" s="12">
        <f>IF(A121="","",Rates!$B$12/12)</f>
        <v/>
      </c>
      <c r="N121" s="12">
        <f>IF(A121="","",D121+I121+J121+K121+L121+M121)</f>
        <v/>
      </c>
      <c r="O121" s="13">
        <f>IF(A121="","",MAX(0,MIN(12,IF(G121="",12,G121))-MAX(1,F121)+1))</f>
        <v/>
      </c>
      <c r="P121" s="12">
        <f>IF(A121="","",N121*O121)</f>
        <v/>
      </c>
      <c r="Q121" s="12">
        <f>IF(A121="","",0.12*IF(Rates!$B$6=1,MIN(H121,Rates!$B$5),H121))</f>
        <v/>
      </c>
      <c r="R121" s="12">
        <f>IF(A121="","",IF(D121&lt;=Rates!$B$8,D121*0.0075,0))</f>
        <v/>
      </c>
    </row>
    <row r="122">
      <c r="A122" s="10" t="n"/>
      <c r="B122" s="10" t="n"/>
      <c r="C122" s="10" t="n"/>
      <c r="D122" s="8" t="n"/>
      <c r="E122" s="11" t="n"/>
      <c r="F122" s="9" t="n"/>
      <c r="G122" s="9" t="n"/>
      <c r="H122" s="12">
        <f>IF(A122="","",D122*E122)</f>
        <v/>
      </c>
      <c r="I122" s="12">
        <f>IF(A122="","",IF(Rates!$B$6=1,MIN(H122,Rates!$B$5),H122)*(Rates!$B$4+Rates!$B$13))</f>
        <v/>
      </c>
      <c r="J122" s="12">
        <f>IF(A122="","",IF(D122&lt;=Rates!$B$8,D122*Rates!$B$7,0))</f>
        <v/>
      </c>
      <c r="K122" s="12">
        <f>IF(A122="","",H122*Rates!$B$9)</f>
        <v/>
      </c>
      <c r="L122" s="12">
        <f>IF(A122="","",IF(D122&lt;=Rates!$B$11,H122*Rates!$B$10,0))</f>
        <v/>
      </c>
      <c r="M122" s="12">
        <f>IF(A122="","",Rates!$B$12/12)</f>
        <v/>
      </c>
      <c r="N122" s="12">
        <f>IF(A122="","",D122+I122+J122+K122+L122+M122)</f>
        <v/>
      </c>
      <c r="O122" s="13">
        <f>IF(A122="","",MAX(0,MIN(12,IF(G122="",12,G122))-MAX(1,F122)+1))</f>
        <v/>
      </c>
      <c r="P122" s="12">
        <f>IF(A122="","",N122*O122)</f>
        <v/>
      </c>
      <c r="Q122" s="12">
        <f>IF(A122="","",0.12*IF(Rates!$B$6=1,MIN(H122,Rates!$B$5),H122))</f>
        <v/>
      </c>
      <c r="R122" s="12">
        <f>IF(A122="","",IF(D122&lt;=Rates!$B$8,D122*0.0075,0))</f>
        <v/>
      </c>
    </row>
    <row r="123">
      <c r="A123" s="10" t="n"/>
      <c r="B123" s="10" t="n"/>
      <c r="C123" s="10" t="n"/>
      <c r="D123" s="8" t="n"/>
      <c r="E123" s="11" t="n"/>
      <c r="F123" s="9" t="n"/>
      <c r="G123" s="9" t="n"/>
      <c r="H123" s="12">
        <f>IF(A123="","",D123*E123)</f>
        <v/>
      </c>
      <c r="I123" s="12">
        <f>IF(A123="","",IF(Rates!$B$6=1,MIN(H123,Rates!$B$5),H123)*(Rates!$B$4+Rates!$B$13))</f>
        <v/>
      </c>
      <c r="J123" s="12">
        <f>IF(A123="","",IF(D123&lt;=Rates!$B$8,D123*Rates!$B$7,0))</f>
        <v/>
      </c>
      <c r="K123" s="12">
        <f>IF(A123="","",H123*Rates!$B$9)</f>
        <v/>
      </c>
      <c r="L123" s="12">
        <f>IF(A123="","",IF(D123&lt;=Rates!$B$11,H123*Rates!$B$10,0))</f>
        <v/>
      </c>
      <c r="M123" s="12">
        <f>IF(A123="","",Rates!$B$12/12)</f>
        <v/>
      </c>
      <c r="N123" s="12">
        <f>IF(A123="","",D123+I123+J123+K123+L123+M123)</f>
        <v/>
      </c>
      <c r="O123" s="13">
        <f>IF(A123="","",MAX(0,MIN(12,IF(G123="",12,G123))-MAX(1,F123)+1))</f>
        <v/>
      </c>
      <c r="P123" s="12">
        <f>IF(A123="","",N123*O123)</f>
        <v/>
      </c>
      <c r="Q123" s="12">
        <f>IF(A123="","",0.12*IF(Rates!$B$6=1,MIN(H123,Rates!$B$5),H123))</f>
        <v/>
      </c>
      <c r="R123" s="12">
        <f>IF(A123="","",IF(D123&lt;=Rates!$B$8,D123*0.0075,0))</f>
        <v/>
      </c>
    </row>
    <row r="124">
      <c r="A124" s="10" t="n"/>
      <c r="B124" s="10" t="n"/>
      <c r="C124" s="10" t="n"/>
      <c r="D124" s="8" t="n"/>
      <c r="E124" s="11" t="n"/>
      <c r="F124" s="9" t="n"/>
      <c r="G124" s="9" t="n"/>
      <c r="H124" s="12">
        <f>IF(A124="","",D124*E124)</f>
        <v/>
      </c>
      <c r="I124" s="12">
        <f>IF(A124="","",IF(Rates!$B$6=1,MIN(H124,Rates!$B$5),H124)*(Rates!$B$4+Rates!$B$13))</f>
        <v/>
      </c>
      <c r="J124" s="12">
        <f>IF(A124="","",IF(D124&lt;=Rates!$B$8,D124*Rates!$B$7,0))</f>
        <v/>
      </c>
      <c r="K124" s="12">
        <f>IF(A124="","",H124*Rates!$B$9)</f>
        <v/>
      </c>
      <c r="L124" s="12">
        <f>IF(A124="","",IF(D124&lt;=Rates!$B$11,H124*Rates!$B$10,0))</f>
        <v/>
      </c>
      <c r="M124" s="12">
        <f>IF(A124="","",Rates!$B$12/12)</f>
        <v/>
      </c>
      <c r="N124" s="12">
        <f>IF(A124="","",D124+I124+J124+K124+L124+M124)</f>
        <v/>
      </c>
      <c r="O124" s="13">
        <f>IF(A124="","",MAX(0,MIN(12,IF(G124="",12,G124))-MAX(1,F124)+1))</f>
        <v/>
      </c>
      <c r="P124" s="12">
        <f>IF(A124="","",N124*O124)</f>
        <v/>
      </c>
      <c r="Q124" s="12">
        <f>IF(A124="","",0.12*IF(Rates!$B$6=1,MIN(H124,Rates!$B$5),H124))</f>
        <v/>
      </c>
      <c r="R124" s="12">
        <f>IF(A124="","",IF(D124&lt;=Rates!$B$8,D124*0.0075,0))</f>
        <v/>
      </c>
    </row>
    <row r="125">
      <c r="A125" s="10" t="n"/>
      <c r="B125" s="10" t="n"/>
      <c r="C125" s="10" t="n"/>
      <c r="D125" s="8" t="n"/>
      <c r="E125" s="11" t="n"/>
      <c r="F125" s="9" t="n"/>
      <c r="G125" s="9" t="n"/>
      <c r="H125" s="12">
        <f>IF(A125="","",D125*E125)</f>
        <v/>
      </c>
      <c r="I125" s="12">
        <f>IF(A125="","",IF(Rates!$B$6=1,MIN(H125,Rates!$B$5),H125)*(Rates!$B$4+Rates!$B$13))</f>
        <v/>
      </c>
      <c r="J125" s="12">
        <f>IF(A125="","",IF(D125&lt;=Rates!$B$8,D125*Rates!$B$7,0))</f>
        <v/>
      </c>
      <c r="K125" s="12">
        <f>IF(A125="","",H125*Rates!$B$9)</f>
        <v/>
      </c>
      <c r="L125" s="12">
        <f>IF(A125="","",IF(D125&lt;=Rates!$B$11,H125*Rates!$B$10,0))</f>
        <v/>
      </c>
      <c r="M125" s="12">
        <f>IF(A125="","",Rates!$B$12/12)</f>
        <v/>
      </c>
      <c r="N125" s="12">
        <f>IF(A125="","",D125+I125+J125+K125+L125+M125)</f>
        <v/>
      </c>
      <c r="O125" s="13">
        <f>IF(A125="","",MAX(0,MIN(12,IF(G125="",12,G125))-MAX(1,F125)+1))</f>
        <v/>
      </c>
      <c r="P125" s="12">
        <f>IF(A125="","",N125*O125)</f>
        <v/>
      </c>
      <c r="Q125" s="12">
        <f>IF(A125="","",0.12*IF(Rates!$B$6=1,MIN(H125,Rates!$B$5),H125))</f>
        <v/>
      </c>
      <c r="R125" s="12">
        <f>IF(A125="","",IF(D125&lt;=Rates!$B$8,D125*0.0075,0))</f>
        <v/>
      </c>
    </row>
    <row r="126">
      <c r="A126" s="10" t="n"/>
      <c r="B126" s="10" t="n"/>
      <c r="C126" s="10" t="n"/>
      <c r="D126" s="8" t="n"/>
      <c r="E126" s="11" t="n"/>
      <c r="F126" s="9" t="n"/>
      <c r="G126" s="9" t="n"/>
      <c r="H126" s="12">
        <f>IF(A126="","",D126*E126)</f>
        <v/>
      </c>
      <c r="I126" s="12">
        <f>IF(A126="","",IF(Rates!$B$6=1,MIN(H126,Rates!$B$5),H126)*(Rates!$B$4+Rates!$B$13))</f>
        <v/>
      </c>
      <c r="J126" s="12">
        <f>IF(A126="","",IF(D126&lt;=Rates!$B$8,D126*Rates!$B$7,0))</f>
        <v/>
      </c>
      <c r="K126" s="12">
        <f>IF(A126="","",H126*Rates!$B$9)</f>
        <v/>
      </c>
      <c r="L126" s="12">
        <f>IF(A126="","",IF(D126&lt;=Rates!$B$11,H126*Rates!$B$10,0))</f>
        <v/>
      </c>
      <c r="M126" s="12">
        <f>IF(A126="","",Rates!$B$12/12)</f>
        <v/>
      </c>
      <c r="N126" s="12">
        <f>IF(A126="","",D126+I126+J126+K126+L126+M126)</f>
        <v/>
      </c>
      <c r="O126" s="13">
        <f>IF(A126="","",MAX(0,MIN(12,IF(G126="",12,G126))-MAX(1,F126)+1))</f>
        <v/>
      </c>
      <c r="P126" s="12">
        <f>IF(A126="","",N126*O126)</f>
        <v/>
      </c>
      <c r="Q126" s="12">
        <f>IF(A126="","",0.12*IF(Rates!$B$6=1,MIN(H126,Rates!$B$5),H126))</f>
        <v/>
      </c>
      <c r="R126" s="12">
        <f>IF(A126="","",IF(D126&lt;=Rates!$B$8,D126*0.0075,0))</f>
        <v/>
      </c>
    </row>
    <row r="127">
      <c r="A127" s="10" t="n"/>
      <c r="B127" s="10" t="n"/>
      <c r="C127" s="10" t="n"/>
      <c r="D127" s="8" t="n"/>
      <c r="E127" s="11" t="n"/>
      <c r="F127" s="9" t="n"/>
      <c r="G127" s="9" t="n"/>
      <c r="H127" s="12">
        <f>IF(A127="","",D127*E127)</f>
        <v/>
      </c>
      <c r="I127" s="12">
        <f>IF(A127="","",IF(Rates!$B$6=1,MIN(H127,Rates!$B$5),H127)*(Rates!$B$4+Rates!$B$13))</f>
        <v/>
      </c>
      <c r="J127" s="12">
        <f>IF(A127="","",IF(D127&lt;=Rates!$B$8,D127*Rates!$B$7,0))</f>
        <v/>
      </c>
      <c r="K127" s="12">
        <f>IF(A127="","",H127*Rates!$B$9)</f>
        <v/>
      </c>
      <c r="L127" s="12">
        <f>IF(A127="","",IF(D127&lt;=Rates!$B$11,H127*Rates!$B$10,0))</f>
        <v/>
      </c>
      <c r="M127" s="12">
        <f>IF(A127="","",Rates!$B$12/12)</f>
        <v/>
      </c>
      <c r="N127" s="12">
        <f>IF(A127="","",D127+I127+J127+K127+L127+M127)</f>
        <v/>
      </c>
      <c r="O127" s="13">
        <f>IF(A127="","",MAX(0,MIN(12,IF(G127="",12,G127))-MAX(1,F127)+1))</f>
        <v/>
      </c>
      <c r="P127" s="12">
        <f>IF(A127="","",N127*O127)</f>
        <v/>
      </c>
      <c r="Q127" s="12">
        <f>IF(A127="","",0.12*IF(Rates!$B$6=1,MIN(H127,Rates!$B$5),H127))</f>
        <v/>
      </c>
      <c r="R127" s="12">
        <f>IF(A127="","",IF(D127&lt;=Rates!$B$8,D127*0.0075,0))</f>
        <v/>
      </c>
    </row>
    <row r="128">
      <c r="A128" s="10" t="n"/>
      <c r="B128" s="10" t="n"/>
      <c r="C128" s="10" t="n"/>
      <c r="D128" s="8" t="n"/>
      <c r="E128" s="11" t="n"/>
      <c r="F128" s="9" t="n"/>
      <c r="G128" s="9" t="n"/>
      <c r="H128" s="12">
        <f>IF(A128="","",D128*E128)</f>
        <v/>
      </c>
      <c r="I128" s="12">
        <f>IF(A128="","",IF(Rates!$B$6=1,MIN(H128,Rates!$B$5),H128)*(Rates!$B$4+Rates!$B$13))</f>
        <v/>
      </c>
      <c r="J128" s="12">
        <f>IF(A128="","",IF(D128&lt;=Rates!$B$8,D128*Rates!$B$7,0))</f>
        <v/>
      </c>
      <c r="K128" s="12">
        <f>IF(A128="","",H128*Rates!$B$9)</f>
        <v/>
      </c>
      <c r="L128" s="12">
        <f>IF(A128="","",IF(D128&lt;=Rates!$B$11,H128*Rates!$B$10,0))</f>
        <v/>
      </c>
      <c r="M128" s="12">
        <f>IF(A128="","",Rates!$B$12/12)</f>
        <v/>
      </c>
      <c r="N128" s="12">
        <f>IF(A128="","",D128+I128+J128+K128+L128+M128)</f>
        <v/>
      </c>
      <c r="O128" s="13">
        <f>IF(A128="","",MAX(0,MIN(12,IF(G128="",12,G128))-MAX(1,F128)+1))</f>
        <v/>
      </c>
      <c r="P128" s="12">
        <f>IF(A128="","",N128*O128)</f>
        <v/>
      </c>
      <c r="Q128" s="12">
        <f>IF(A128="","",0.12*IF(Rates!$B$6=1,MIN(H128,Rates!$B$5),H128))</f>
        <v/>
      </c>
      <c r="R128" s="12">
        <f>IF(A128="","",IF(D128&lt;=Rates!$B$8,D128*0.0075,0))</f>
        <v/>
      </c>
    </row>
    <row r="129">
      <c r="A129" s="10" t="n"/>
      <c r="B129" s="10" t="n"/>
      <c r="C129" s="10" t="n"/>
      <c r="D129" s="8" t="n"/>
      <c r="E129" s="11" t="n"/>
      <c r="F129" s="9" t="n"/>
      <c r="G129" s="9" t="n"/>
      <c r="H129" s="12">
        <f>IF(A129="","",D129*E129)</f>
        <v/>
      </c>
      <c r="I129" s="12">
        <f>IF(A129="","",IF(Rates!$B$6=1,MIN(H129,Rates!$B$5),H129)*(Rates!$B$4+Rates!$B$13))</f>
        <v/>
      </c>
      <c r="J129" s="12">
        <f>IF(A129="","",IF(D129&lt;=Rates!$B$8,D129*Rates!$B$7,0))</f>
        <v/>
      </c>
      <c r="K129" s="12">
        <f>IF(A129="","",H129*Rates!$B$9)</f>
        <v/>
      </c>
      <c r="L129" s="12">
        <f>IF(A129="","",IF(D129&lt;=Rates!$B$11,H129*Rates!$B$10,0))</f>
        <v/>
      </c>
      <c r="M129" s="12">
        <f>IF(A129="","",Rates!$B$12/12)</f>
        <v/>
      </c>
      <c r="N129" s="12">
        <f>IF(A129="","",D129+I129+J129+K129+L129+M129)</f>
        <v/>
      </c>
      <c r="O129" s="13">
        <f>IF(A129="","",MAX(0,MIN(12,IF(G129="",12,G129))-MAX(1,F129)+1))</f>
        <v/>
      </c>
      <c r="P129" s="12">
        <f>IF(A129="","",N129*O129)</f>
        <v/>
      </c>
      <c r="Q129" s="12">
        <f>IF(A129="","",0.12*IF(Rates!$B$6=1,MIN(H129,Rates!$B$5),H129))</f>
        <v/>
      </c>
      <c r="R129" s="12">
        <f>IF(A129="","",IF(D129&lt;=Rates!$B$8,D129*0.0075,0))</f>
        <v/>
      </c>
    </row>
    <row r="130">
      <c r="A130" s="10" t="n"/>
      <c r="B130" s="10" t="n"/>
      <c r="C130" s="10" t="n"/>
      <c r="D130" s="8" t="n"/>
      <c r="E130" s="11" t="n"/>
      <c r="F130" s="9" t="n"/>
      <c r="G130" s="9" t="n"/>
      <c r="H130" s="12">
        <f>IF(A130="","",D130*E130)</f>
        <v/>
      </c>
      <c r="I130" s="12">
        <f>IF(A130="","",IF(Rates!$B$6=1,MIN(H130,Rates!$B$5),H130)*(Rates!$B$4+Rates!$B$13))</f>
        <v/>
      </c>
      <c r="J130" s="12">
        <f>IF(A130="","",IF(D130&lt;=Rates!$B$8,D130*Rates!$B$7,0))</f>
        <v/>
      </c>
      <c r="K130" s="12">
        <f>IF(A130="","",H130*Rates!$B$9)</f>
        <v/>
      </c>
      <c r="L130" s="12">
        <f>IF(A130="","",IF(D130&lt;=Rates!$B$11,H130*Rates!$B$10,0))</f>
        <v/>
      </c>
      <c r="M130" s="12">
        <f>IF(A130="","",Rates!$B$12/12)</f>
        <v/>
      </c>
      <c r="N130" s="12">
        <f>IF(A130="","",D130+I130+J130+K130+L130+M130)</f>
        <v/>
      </c>
      <c r="O130" s="13">
        <f>IF(A130="","",MAX(0,MIN(12,IF(G130="",12,G130))-MAX(1,F130)+1))</f>
        <v/>
      </c>
      <c r="P130" s="12">
        <f>IF(A130="","",N130*O130)</f>
        <v/>
      </c>
      <c r="Q130" s="12">
        <f>IF(A130="","",0.12*IF(Rates!$B$6=1,MIN(H130,Rates!$B$5),H130))</f>
        <v/>
      </c>
      <c r="R130" s="12">
        <f>IF(A130="","",IF(D130&lt;=Rates!$B$8,D130*0.0075,0))</f>
        <v/>
      </c>
    </row>
    <row r="131">
      <c r="A131" s="10" t="n"/>
      <c r="B131" s="10" t="n"/>
      <c r="C131" s="10" t="n"/>
      <c r="D131" s="8" t="n"/>
      <c r="E131" s="11" t="n"/>
      <c r="F131" s="9" t="n"/>
      <c r="G131" s="9" t="n"/>
      <c r="H131" s="12">
        <f>IF(A131="","",D131*E131)</f>
        <v/>
      </c>
      <c r="I131" s="12">
        <f>IF(A131="","",IF(Rates!$B$6=1,MIN(H131,Rates!$B$5),H131)*(Rates!$B$4+Rates!$B$13))</f>
        <v/>
      </c>
      <c r="J131" s="12">
        <f>IF(A131="","",IF(D131&lt;=Rates!$B$8,D131*Rates!$B$7,0))</f>
        <v/>
      </c>
      <c r="K131" s="12">
        <f>IF(A131="","",H131*Rates!$B$9)</f>
        <v/>
      </c>
      <c r="L131" s="12">
        <f>IF(A131="","",IF(D131&lt;=Rates!$B$11,H131*Rates!$B$10,0))</f>
        <v/>
      </c>
      <c r="M131" s="12">
        <f>IF(A131="","",Rates!$B$12/12)</f>
        <v/>
      </c>
      <c r="N131" s="12">
        <f>IF(A131="","",D131+I131+J131+K131+L131+M131)</f>
        <v/>
      </c>
      <c r="O131" s="13">
        <f>IF(A131="","",MAX(0,MIN(12,IF(G131="",12,G131))-MAX(1,F131)+1))</f>
        <v/>
      </c>
      <c r="P131" s="12">
        <f>IF(A131="","",N131*O131)</f>
        <v/>
      </c>
      <c r="Q131" s="12">
        <f>IF(A131="","",0.12*IF(Rates!$B$6=1,MIN(H131,Rates!$B$5),H131))</f>
        <v/>
      </c>
      <c r="R131" s="12">
        <f>IF(A131="","",IF(D131&lt;=Rates!$B$8,D131*0.0075,0))</f>
        <v/>
      </c>
    </row>
    <row r="132">
      <c r="A132" s="10" t="n"/>
      <c r="B132" s="10" t="n"/>
      <c r="C132" s="10" t="n"/>
      <c r="D132" s="8" t="n"/>
      <c r="E132" s="11" t="n"/>
      <c r="F132" s="9" t="n"/>
      <c r="G132" s="9" t="n"/>
      <c r="H132" s="12">
        <f>IF(A132="","",D132*E132)</f>
        <v/>
      </c>
      <c r="I132" s="12">
        <f>IF(A132="","",IF(Rates!$B$6=1,MIN(H132,Rates!$B$5),H132)*(Rates!$B$4+Rates!$B$13))</f>
        <v/>
      </c>
      <c r="J132" s="12">
        <f>IF(A132="","",IF(D132&lt;=Rates!$B$8,D132*Rates!$B$7,0))</f>
        <v/>
      </c>
      <c r="K132" s="12">
        <f>IF(A132="","",H132*Rates!$B$9)</f>
        <v/>
      </c>
      <c r="L132" s="12">
        <f>IF(A132="","",IF(D132&lt;=Rates!$B$11,H132*Rates!$B$10,0))</f>
        <v/>
      </c>
      <c r="M132" s="12">
        <f>IF(A132="","",Rates!$B$12/12)</f>
        <v/>
      </c>
      <c r="N132" s="12">
        <f>IF(A132="","",D132+I132+J132+K132+L132+M132)</f>
        <v/>
      </c>
      <c r="O132" s="13">
        <f>IF(A132="","",MAX(0,MIN(12,IF(G132="",12,G132))-MAX(1,F132)+1))</f>
        <v/>
      </c>
      <c r="P132" s="12">
        <f>IF(A132="","",N132*O132)</f>
        <v/>
      </c>
      <c r="Q132" s="12">
        <f>IF(A132="","",0.12*IF(Rates!$B$6=1,MIN(H132,Rates!$B$5),H132))</f>
        <v/>
      </c>
      <c r="R132" s="12">
        <f>IF(A132="","",IF(D132&lt;=Rates!$B$8,D132*0.0075,0))</f>
        <v/>
      </c>
    </row>
    <row r="133">
      <c r="A133" s="10" t="n"/>
      <c r="B133" s="10" t="n"/>
      <c r="C133" s="10" t="n"/>
      <c r="D133" s="8" t="n"/>
      <c r="E133" s="11" t="n"/>
      <c r="F133" s="9" t="n"/>
      <c r="G133" s="9" t="n"/>
      <c r="H133" s="12">
        <f>IF(A133="","",D133*E133)</f>
        <v/>
      </c>
      <c r="I133" s="12">
        <f>IF(A133="","",IF(Rates!$B$6=1,MIN(H133,Rates!$B$5),H133)*(Rates!$B$4+Rates!$B$13))</f>
        <v/>
      </c>
      <c r="J133" s="12">
        <f>IF(A133="","",IF(D133&lt;=Rates!$B$8,D133*Rates!$B$7,0))</f>
        <v/>
      </c>
      <c r="K133" s="12">
        <f>IF(A133="","",H133*Rates!$B$9)</f>
        <v/>
      </c>
      <c r="L133" s="12">
        <f>IF(A133="","",IF(D133&lt;=Rates!$B$11,H133*Rates!$B$10,0))</f>
        <v/>
      </c>
      <c r="M133" s="12">
        <f>IF(A133="","",Rates!$B$12/12)</f>
        <v/>
      </c>
      <c r="N133" s="12">
        <f>IF(A133="","",D133+I133+J133+K133+L133+M133)</f>
        <v/>
      </c>
      <c r="O133" s="13">
        <f>IF(A133="","",MAX(0,MIN(12,IF(G133="",12,G133))-MAX(1,F133)+1))</f>
        <v/>
      </c>
      <c r="P133" s="12">
        <f>IF(A133="","",N133*O133)</f>
        <v/>
      </c>
      <c r="Q133" s="12">
        <f>IF(A133="","",0.12*IF(Rates!$B$6=1,MIN(H133,Rates!$B$5),H133))</f>
        <v/>
      </c>
      <c r="R133" s="12">
        <f>IF(A133="","",IF(D133&lt;=Rates!$B$8,D133*0.0075,0))</f>
        <v/>
      </c>
    </row>
    <row r="134">
      <c r="A134" s="10" t="n"/>
      <c r="B134" s="10" t="n"/>
      <c r="C134" s="10" t="n"/>
      <c r="D134" s="8" t="n"/>
      <c r="E134" s="11" t="n"/>
      <c r="F134" s="9" t="n"/>
      <c r="G134" s="9" t="n"/>
      <c r="H134" s="12">
        <f>IF(A134="","",D134*E134)</f>
        <v/>
      </c>
      <c r="I134" s="12">
        <f>IF(A134="","",IF(Rates!$B$6=1,MIN(H134,Rates!$B$5),H134)*(Rates!$B$4+Rates!$B$13))</f>
        <v/>
      </c>
      <c r="J134" s="12">
        <f>IF(A134="","",IF(D134&lt;=Rates!$B$8,D134*Rates!$B$7,0))</f>
        <v/>
      </c>
      <c r="K134" s="12">
        <f>IF(A134="","",H134*Rates!$B$9)</f>
        <v/>
      </c>
      <c r="L134" s="12">
        <f>IF(A134="","",IF(D134&lt;=Rates!$B$11,H134*Rates!$B$10,0))</f>
        <v/>
      </c>
      <c r="M134" s="12">
        <f>IF(A134="","",Rates!$B$12/12)</f>
        <v/>
      </c>
      <c r="N134" s="12">
        <f>IF(A134="","",D134+I134+J134+K134+L134+M134)</f>
        <v/>
      </c>
      <c r="O134" s="13">
        <f>IF(A134="","",MAX(0,MIN(12,IF(G134="",12,G134))-MAX(1,F134)+1))</f>
        <v/>
      </c>
      <c r="P134" s="12">
        <f>IF(A134="","",N134*O134)</f>
        <v/>
      </c>
      <c r="Q134" s="12">
        <f>IF(A134="","",0.12*IF(Rates!$B$6=1,MIN(H134,Rates!$B$5),H134))</f>
        <v/>
      </c>
      <c r="R134" s="12">
        <f>IF(A134="","",IF(D134&lt;=Rates!$B$8,D134*0.0075,0))</f>
        <v/>
      </c>
    </row>
    <row r="135">
      <c r="A135" s="10" t="n"/>
      <c r="B135" s="10" t="n"/>
      <c r="C135" s="10" t="n"/>
      <c r="D135" s="8" t="n"/>
      <c r="E135" s="11" t="n"/>
      <c r="F135" s="9" t="n"/>
      <c r="G135" s="9" t="n"/>
      <c r="H135" s="12">
        <f>IF(A135="","",D135*E135)</f>
        <v/>
      </c>
      <c r="I135" s="12">
        <f>IF(A135="","",IF(Rates!$B$6=1,MIN(H135,Rates!$B$5),H135)*(Rates!$B$4+Rates!$B$13))</f>
        <v/>
      </c>
      <c r="J135" s="12">
        <f>IF(A135="","",IF(D135&lt;=Rates!$B$8,D135*Rates!$B$7,0))</f>
        <v/>
      </c>
      <c r="K135" s="12">
        <f>IF(A135="","",H135*Rates!$B$9)</f>
        <v/>
      </c>
      <c r="L135" s="12">
        <f>IF(A135="","",IF(D135&lt;=Rates!$B$11,H135*Rates!$B$10,0))</f>
        <v/>
      </c>
      <c r="M135" s="12">
        <f>IF(A135="","",Rates!$B$12/12)</f>
        <v/>
      </c>
      <c r="N135" s="12">
        <f>IF(A135="","",D135+I135+J135+K135+L135+M135)</f>
        <v/>
      </c>
      <c r="O135" s="13">
        <f>IF(A135="","",MAX(0,MIN(12,IF(G135="",12,G135))-MAX(1,F135)+1))</f>
        <v/>
      </c>
      <c r="P135" s="12">
        <f>IF(A135="","",N135*O135)</f>
        <v/>
      </c>
      <c r="Q135" s="12">
        <f>IF(A135="","",0.12*IF(Rates!$B$6=1,MIN(H135,Rates!$B$5),H135))</f>
        <v/>
      </c>
      <c r="R135" s="12">
        <f>IF(A135="","",IF(D135&lt;=Rates!$B$8,D135*0.0075,0))</f>
        <v/>
      </c>
    </row>
    <row r="136">
      <c r="A136" s="10" t="n"/>
      <c r="B136" s="10" t="n"/>
      <c r="C136" s="10" t="n"/>
      <c r="D136" s="8" t="n"/>
      <c r="E136" s="11" t="n"/>
      <c r="F136" s="9" t="n"/>
      <c r="G136" s="9" t="n"/>
      <c r="H136" s="12">
        <f>IF(A136="","",D136*E136)</f>
        <v/>
      </c>
      <c r="I136" s="12">
        <f>IF(A136="","",IF(Rates!$B$6=1,MIN(H136,Rates!$B$5),H136)*(Rates!$B$4+Rates!$B$13))</f>
        <v/>
      </c>
      <c r="J136" s="12">
        <f>IF(A136="","",IF(D136&lt;=Rates!$B$8,D136*Rates!$B$7,0))</f>
        <v/>
      </c>
      <c r="K136" s="12">
        <f>IF(A136="","",H136*Rates!$B$9)</f>
        <v/>
      </c>
      <c r="L136" s="12">
        <f>IF(A136="","",IF(D136&lt;=Rates!$B$11,H136*Rates!$B$10,0))</f>
        <v/>
      </c>
      <c r="M136" s="12">
        <f>IF(A136="","",Rates!$B$12/12)</f>
        <v/>
      </c>
      <c r="N136" s="12">
        <f>IF(A136="","",D136+I136+J136+K136+L136+M136)</f>
        <v/>
      </c>
      <c r="O136" s="13">
        <f>IF(A136="","",MAX(0,MIN(12,IF(G136="",12,G136))-MAX(1,F136)+1))</f>
        <v/>
      </c>
      <c r="P136" s="12">
        <f>IF(A136="","",N136*O136)</f>
        <v/>
      </c>
      <c r="Q136" s="12">
        <f>IF(A136="","",0.12*IF(Rates!$B$6=1,MIN(H136,Rates!$B$5),H136))</f>
        <v/>
      </c>
      <c r="R136" s="12">
        <f>IF(A136="","",IF(D136&lt;=Rates!$B$8,D136*0.0075,0))</f>
        <v/>
      </c>
    </row>
    <row r="137">
      <c r="A137" s="10" t="n"/>
      <c r="B137" s="10" t="n"/>
      <c r="C137" s="10" t="n"/>
      <c r="D137" s="8" t="n"/>
      <c r="E137" s="11" t="n"/>
      <c r="F137" s="9" t="n"/>
      <c r="G137" s="9" t="n"/>
      <c r="H137" s="12">
        <f>IF(A137="","",D137*E137)</f>
        <v/>
      </c>
      <c r="I137" s="12">
        <f>IF(A137="","",IF(Rates!$B$6=1,MIN(H137,Rates!$B$5),H137)*(Rates!$B$4+Rates!$B$13))</f>
        <v/>
      </c>
      <c r="J137" s="12">
        <f>IF(A137="","",IF(D137&lt;=Rates!$B$8,D137*Rates!$B$7,0))</f>
        <v/>
      </c>
      <c r="K137" s="12">
        <f>IF(A137="","",H137*Rates!$B$9)</f>
        <v/>
      </c>
      <c r="L137" s="12">
        <f>IF(A137="","",IF(D137&lt;=Rates!$B$11,H137*Rates!$B$10,0))</f>
        <v/>
      </c>
      <c r="M137" s="12">
        <f>IF(A137="","",Rates!$B$12/12)</f>
        <v/>
      </c>
      <c r="N137" s="12">
        <f>IF(A137="","",D137+I137+J137+K137+L137+M137)</f>
        <v/>
      </c>
      <c r="O137" s="13">
        <f>IF(A137="","",MAX(0,MIN(12,IF(G137="",12,G137))-MAX(1,F137)+1))</f>
        <v/>
      </c>
      <c r="P137" s="12">
        <f>IF(A137="","",N137*O137)</f>
        <v/>
      </c>
      <c r="Q137" s="12">
        <f>IF(A137="","",0.12*IF(Rates!$B$6=1,MIN(H137,Rates!$B$5),H137))</f>
        <v/>
      </c>
      <c r="R137" s="12">
        <f>IF(A137="","",IF(D137&lt;=Rates!$B$8,D137*0.0075,0))</f>
        <v/>
      </c>
    </row>
    <row r="138">
      <c r="A138" s="10" t="n"/>
      <c r="B138" s="10" t="n"/>
      <c r="C138" s="10" t="n"/>
      <c r="D138" s="8" t="n"/>
      <c r="E138" s="11" t="n"/>
      <c r="F138" s="9" t="n"/>
      <c r="G138" s="9" t="n"/>
      <c r="H138" s="12">
        <f>IF(A138="","",D138*E138)</f>
        <v/>
      </c>
      <c r="I138" s="12">
        <f>IF(A138="","",IF(Rates!$B$6=1,MIN(H138,Rates!$B$5),H138)*(Rates!$B$4+Rates!$B$13))</f>
        <v/>
      </c>
      <c r="J138" s="12">
        <f>IF(A138="","",IF(D138&lt;=Rates!$B$8,D138*Rates!$B$7,0))</f>
        <v/>
      </c>
      <c r="K138" s="12">
        <f>IF(A138="","",H138*Rates!$B$9)</f>
        <v/>
      </c>
      <c r="L138" s="12">
        <f>IF(A138="","",IF(D138&lt;=Rates!$B$11,H138*Rates!$B$10,0))</f>
        <v/>
      </c>
      <c r="M138" s="12">
        <f>IF(A138="","",Rates!$B$12/12)</f>
        <v/>
      </c>
      <c r="N138" s="12">
        <f>IF(A138="","",D138+I138+J138+K138+L138+M138)</f>
        <v/>
      </c>
      <c r="O138" s="13">
        <f>IF(A138="","",MAX(0,MIN(12,IF(G138="",12,G138))-MAX(1,F138)+1))</f>
        <v/>
      </c>
      <c r="P138" s="12">
        <f>IF(A138="","",N138*O138)</f>
        <v/>
      </c>
      <c r="Q138" s="12">
        <f>IF(A138="","",0.12*IF(Rates!$B$6=1,MIN(H138,Rates!$B$5),H138))</f>
        <v/>
      </c>
      <c r="R138" s="12">
        <f>IF(A138="","",IF(D138&lt;=Rates!$B$8,D138*0.0075,0))</f>
        <v/>
      </c>
    </row>
    <row r="139">
      <c r="A139" s="10" t="n"/>
      <c r="B139" s="10" t="n"/>
      <c r="C139" s="10" t="n"/>
      <c r="D139" s="8" t="n"/>
      <c r="E139" s="11" t="n"/>
      <c r="F139" s="9" t="n"/>
      <c r="G139" s="9" t="n"/>
      <c r="H139" s="12">
        <f>IF(A139="","",D139*E139)</f>
        <v/>
      </c>
      <c r="I139" s="12">
        <f>IF(A139="","",IF(Rates!$B$6=1,MIN(H139,Rates!$B$5),H139)*(Rates!$B$4+Rates!$B$13))</f>
        <v/>
      </c>
      <c r="J139" s="12">
        <f>IF(A139="","",IF(D139&lt;=Rates!$B$8,D139*Rates!$B$7,0))</f>
        <v/>
      </c>
      <c r="K139" s="12">
        <f>IF(A139="","",H139*Rates!$B$9)</f>
        <v/>
      </c>
      <c r="L139" s="12">
        <f>IF(A139="","",IF(D139&lt;=Rates!$B$11,H139*Rates!$B$10,0))</f>
        <v/>
      </c>
      <c r="M139" s="12">
        <f>IF(A139="","",Rates!$B$12/12)</f>
        <v/>
      </c>
      <c r="N139" s="12">
        <f>IF(A139="","",D139+I139+J139+K139+L139+M139)</f>
        <v/>
      </c>
      <c r="O139" s="13">
        <f>IF(A139="","",MAX(0,MIN(12,IF(G139="",12,G139))-MAX(1,F139)+1))</f>
        <v/>
      </c>
      <c r="P139" s="12">
        <f>IF(A139="","",N139*O139)</f>
        <v/>
      </c>
      <c r="Q139" s="12">
        <f>IF(A139="","",0.12*IF(Rates!$B$6=1,MIN(H139,Rates!$B$5),H139))</f>
        <v/>
      </c>
      <c r="R139" s="12">
        <f>IF(A139="","",IF(D139&lt;=Rates!$B$8,D139*0.0075,0))</f>
        <v/>
      </c>
    </row>
    <row r="140">
      <c r="A140" s="10" t="n"/>
      <c r="B140" s="10" t="n"/>
      <c r="C140" s="10" t="n"/>
      <c r="D140" s="8" t="n"/>
      <c r="E140" s="11" t="n"/>
      <c r="F140" s="9" t="n"/>
      <c r="G140" s="9" t="n"/>
      <c r="H140" s="12">
        <f>IF(A140="","",D140*E140)</f>
        <v/>
      </c>
      <c r="I140" s="12">
        <f>IF(A140="","",IF(Rates!$B$6=1,MIN(H140,Rates!$B$5),H140)*(Rates!$B$4+Rates!$B$13))</f>
        <v/>
      </c>
      <c r="J140" s="12">
        <f>IF(A140="","",IF(D140&lt;=Rates!$B$8,D140*Rates!$B$7,0))</f>
        <v/>
      </c>
      <c r="K140" s="12">
        <f>IF(A140="","",H140*Rates!$B$9)</f>
        <v/>
      </c>
      <c r="L140" s="12">
        <f>IF(A140="","",IF(D140&lt;=Rates!$B$11,H140*Rates!$B$10,0))</f>
        <v/>
      </c>
      <c r="M140" s="12">
        <f>IF(A140="","",Rates!$B$12/12)</f>
        <v/>
      </c>
      <c r="N140" s="12">
        <f>IF(A140="","",D140+I140+J140+K140+L140+M140)</f>
        <v/>
      </c>
      <c r="O140" s="13">
        <f>IF(A140="","",MAX(0,MIN(12,IF(G140="",12,G140))-MAX(1,F140)+1))</f>
        <v/>
      </c>
      <c r="P140" s="12">
        <f>IF(A140="","",N140*O140)</f>
        <v/>
      </c>
      <c r="Q140" s="12">
        <f>IF(A140="","",0.12*IF(Rates!$B$6=1,MIN(H140,Rates!$B$5),H140))</f>
        <v/>
      </c>
      <c r="R140" s="12">
        <f>IF(A140="","",IF(D140&lt;=Rates!$B$8,D140*0.0075,0))</f>
        <v/>
      </c>
    </row>
    <row r="141">
      <c r="A141" s="10" t="n"/>
      <c r="B141" s="10" t="n"/>
      <c r="C141" s="10" t="n"/>
      <c r="D141" s="8" t="n"/>
      <c r="E141" s="11" t="n"/>
      <c r="F141" s="9" t="n"/>
      <c r="G141" s="9" t="n"/>
      <c r="H141" s="12">
        <f>IF(A141="","",D141*E141)</f>
        <v/>
      </c>
      <c r="I141" s="12">
        <f>IF(A141="","",IF(Rates!$B$6=1,MIN(H141,Rates!$B$5),H141)*(Rates!$B$4+Rates!$B$13))</f>
        <v/>
      </c>
      <c r="J141" s="12">
        <f>IF(A141="","",IF(D141&lt;=Rates!$B$8,D141*Rates!$B$7,0))</f>
        <v/>
      </c>
      <c r="K141" s="12">
        <f>IF(A141="","",H141*Rates!$B$9)</f>
        <v/>
      </c>
      <c r="L141" s="12">
        <f>IF(A141="","",IF(D141&lt;=Rates!$B$11,H141*Rates!$B$10,0))</f>
        <v/>
      </c>
      <c r="M141" s="12">
        <f>IF(A141="","",Rates!$B$12/12)</f>
        <v/>
      </c>
      <c r="N141" s="12">
        <f>IF(A141="","",D141+I141+J141+K141+L141+M141)</f>
        <v/>
      </c>
      <c r="O141" s="13">
        <f>IF(A141="","",MAX(0,MIN(12,IF(G141="",12,G141))-MAX(1,F141)+1))</f>
        <v/>
      </c>
      <c r="P141" s="12">
        <f>IF(A141="","",N141*O141)</f>
        <v/>
      </c>
      <c r="Q141" s="12">
        <f>IF(A141="","",0.12*IF(Rates!$B$6=1,MIN(H141,Rates!$B$5),H141))</f>
        <v/>
      </c>
      <c r="R141" s="12">
        <f>IF(A141="","",IF(D141&lt;=Rates!$B$8,D141*0.0075,0))</f>
        <v/>
      </c>
    </row>
    <row r="142">
      <c r="A142" s="10" t="n"/>
      <c r="B142" s="10" t="n"/>
      <c r="C142" s="10" t="n"/>
      <c r="D142" s="8" t="n"/>
      <c r="E142" s="11" t="n"/>
      <c r="F142" s="9" t="n"/>
      <c r="G142" s="9" t="n"/>
      <c r="H142" s="12">
        <f>IF(A142="","",D142*E142)</f>
        <v/>
      </c>
      <c r="I142" s="12">
        <f>IF(A142="","",IF(Rates!$B$6=1,MIN(H142,Rates!$B$5),H142)*(Rates!$B$4+Rates!$B$13))</f>
        <v/>
      </c>
      <c r="J142" s="12">
        <f>IF(A142="","",IF(D142&lt;=Rates!$B$8,D142*Rates!$B$7,0))</f>
        <v/>
      </c>
      <c r="K142" s="12">
        <f>IF(A142="","",H142*Rates!$B$9)</f>
        <v/>
      </c>
      <c r="L142" s="12">
        <f>IF(A142="","",IF(D142&lt;=Rates!$B$11,H142*Rates!$B$10,0))</f>
        <v/>
      </c>
      <c r="M142" s="12">
        <f>IF(A142="","",Rates!$B$12/12)</f>
        <v/>
      </c>
      <c r="N142" s="12">
        <f>IF(A142="","",D142+I142+J142+K142+L142+M142)</f>
        <v/>
      </c>
      <c r="O142" s="13">
        <f>IF(A142="","",MAX(0,MIN(12,IF(G142="",12,G142))-MAX(1,F142)+1))</f>
        <v/>
      </c>
      <c r="P142" s="12">
        <f>IF(A142="","",N142*O142)</f>
        <v/>
      </c>
      <c r="Q142" s="12">
        <f>IF(A142="","",0.12*IF(Rates!$B$6=1,MIN(H142,Rates!$B$5),H142))</f>
        <v/>
      </c>
      <c r="R142" s="12">
        <f>IF(A142="","",IF(D142&lt;=Rates!$B$8,D142*0.0075,0))</f>
        <v/>
      </c>
    </row>
    <row r="143">
      <c r="A143" s="10" t="n"/>
      <c r="B143" s="10" t="n"/>
      <c r="C143" s="10" t="n"/>
      <c r="D143" s="8" t="n"/>
      <c r="E143" s="11" t="n"/>
      <c r="F143" s="9" t="n"/>
      <c r="G143" s="9" t="n"/>
      <c r="H143" s="12">
        <f>IF(A143="","",D143*E143)</f>
        <v/>
      </c>
      <c r="I143" s="12">
        <f>IF(A143="","",IF(Rates!$B$6=1,MIN(H143,Rates!$B$5),H143)*(Rates!$B$4+Rates!$B$13))</f>
        <v/>
      </c>
      <c r="J143" s="12">
        <f>IF(A143="","",IF(D143&lt;=Rates!$B$8,D143*Rates!$B$7,0))</f>
        <v/>
      </c>
      <c r="K143" s="12">
        <f>IF(A143="","",H143*Rates!$B$9)</f>
        <v/>
      </c>
      <c r="L143" s="12">
        <f>IF(A143="","",IF(D143&lt;=Rates!$B$11,H143*Rates!$B$10,0))</f>
        <v/>
      </c>
      <c r="M143" s="12">
        <f>IF(A143="","",Rates!$B$12/12)</f>
        <v/>
      </c>
      <c r="N143" s="12">
        <f>IF(A143="","",D143+I143+J143+K143+L143+M143)</f>
        <v/>
      </c>
      <c r="O143" s="13">
        <f>IF(A143="","",MAX(0,MIN(12,IF(G143="",12,G143))-MAX(1,F143)+1))</f>
        <v/>
      </c>
      <c r="P143" s="12">
        <f>IF(A143="","",N143*O143)</f>
        <v/>
      </c>
      <c r="Q143" s="12">
        <f>IF(A143="","",0.12*IF(Rates!$B$6=1,MIN(H143,Rates!$B$5),H143))</f>
        <v/>
      </c>
      <c r="R143" s="12">
        <f>IF(A143="","",IF(D143&lt;=Rates!$B$8,D143*0.0075,0))</f>
        <v/>
      </c>
    </row>
    <row r="144">
      <c r="A144" s="10" t="n"/>
      <c r="B144" s="10" t="n"/>
      <c r="C144" s="10" t="n"/>
      <c r="D144" s="8" t="n"/>
      <c r="E144" s="11" t="n"/>
      <c r="F144" s="9" t="n"/>
      <c r="G144" s="9" t="n"/>
      <c r="H144" s="12">
        <f>IF(A144="","",D144*E144)</f>
        <v/>
      </c>
      <c r="I144" s="12">
        <f>IF(A144="","",IF(Rates!$B$6=1,MIN(H144,Rates!$B$5),H144)*(Rates!$B$4+Rates!$B$13))</f>
        <v/>
      </c>
      <c r="J144" s="12">
        <f>IF(A144="","",IF(D144&lt;=Rates!$B$8,D144*Rates!$B$7,0))</f>
        <v/>
      </c>
      <c r="K144" s="12">
        <f>IF(A144="","",H144*Rates!$B$9)</f>
        <v/>
      </c>
      <c r="L144" s="12">
        <f>IF(A144="","",IF(D144&lt;=Rates!$B$11,H144*Rates!$B$10,0))</f>
        <v/>
      </c>
      <c r="M144" s="12">
        <f>IF(A144="","",Rates!$B$12/12)</f>
        <v/>
      </c>
      <c r="N144" s="12">
        <f>IF(A144="","",D144+I144+J144+K144+L144+M144)</f>
        <v/>
      </c>
      <c r="O144" s="13">
        <f>IF(A144="","",MAX(0,MIN(12,IF(G144="",12,G144))-MAX(1,F144)+1))</f>
        <v/>
      </c>
      <c r="P144" s="12">
        <f>IF(A144="","",N144*O144)</f>
        <v/>
      </c>
      <c r="Q144" s="12">
        <f>IF(A144="","",0.12*IF(Rates!$B$6=1,MIN(H144,Rates!$B$5),H144))</f>
        <v/>
      </c>
      <c r="R144" s="12">
        <f>IF(A144="","",IF(D144&lt;=Rates!$B$8,D144*0.0075,0))</f>
        <v/>
      </c>
    </row>
    <row r="145">
      <c r="A145" s="10" t="n"/>
      <c r="B145" s="10" t="n"/>
      <c r="C145" s="10" t="n"/>
      <c r="D145" s="8" t="n"/>
      <c r="E145" s="11" t="n"/>
      <c r="F145" s="9" t="n"/>
      <c r="G145" s="9" t="n"/>
      <c r="H145" s="12">
        <f>IF(A145="","",D145*E145)</f>
        <v/>
      </c>
      <c r="I145" s="12">
        <f>IF(A145="","",IF(Rates!$B$6=1,MIN(H145,Rates!$B$5),H145)*(Rates!$B$4+Rates!$B$13))</f>
        <v/>
      </c>
      <c r="J145" s="12">
        <f>IF(A145="","",IF(D145&lt;=Rates!$B$8,D145*Rates!$B$7,0))</f>
        <v/>
      </c>
      <c r="K145" s="12">
        <f>IF(A145="","",H145*Rates!$B$9)</f>
        <v/>
      </c>
      <c r="L145" s="12">
        <f>IF(A145="","",IF(D145&lt;=Rates!$B$11,H145*Rates!$B$10,0))</f>
        <v/>
      </c>
      <c r="M145" s="12">
        <f>IF(A145="","",Rates!$B$12/12)</f>
        <v/>
      </c>
      <c r="N145" s="12">
        <f>IF(A145="","",D145+I145+J145+K145+L145+M145)</f>
        <v/>
      </c>
      <c r="O145" s="13">
        <f>IF(A145="","",MAX(0,MIN(12,IF(G145="",12,G145))-MAX(1,F145)+1))</f>
        <v/>
      </c>
      <c r="P145" s="12">
        <f>IF(A145="","",N145*O145)</f>
        <v/>
      </c>
      <c r="Q145" s="12">
        <f>IF(A145="","",0.12*IF(Rates!$B$6=1,MIN(H145,Rates!$B$5),H145))</f>
        <v/>
      </c>
      <c r="R145" s="12">
        <f>IF(A145="","",IF(D145&lt;=Rates!$B$8,D145*0.0075,0))</f>
        <v/>
      </c>
    </row>
    <row r="146">
      <c r="A146" s="10" t="n"/>
      <c r="B146" s="10" t="n"/>
      <c r="C146" s="10" t="n"/>
      <c r="D146" s="8" t="n"/>
      <c r="E146" s="11" t="n"/>
      <c r="F146" s="9" t="n"/>
      <c r="G146" s="9" t="n"/>
      <c r="H146" s="12">
        <f>IF(A146="","",D146*E146)</f>
        <v/>
      </c>
      <c r="I146" s="12">
        <f>IF(A146="","",IF(Rates!$B$6=1,MIN(H146,Rates!$B$5),H146)*(Rates!$B$4+Rates!$B$13))</f>
        <v/>
      </c>
      <c r="J146" s="12">
        <f>IF(A146="","",IF(D146&lt;=Rates!$B$8,D146*Rates!$B$7,0))</f>
        <v/>
      </c>
      <c r="K146" s="12">
        <f>IF(A146="","",H146*Rates!$B$9)</f>
        <v/>
      </c>
      <c r="L146" s="12">
        <f>IF(A146="","",IF(D146&lt;=Rates!$B$11,H146*Rates!$B$10,0))</f>
        <v/>
      </c>
      <c r="M146" s="12">
        <f>IF(A146="","",Rates!$B$12/12)</f>
        <v/>
      </c>
      <c r="N146" s="12">
        <f>IF(A146="","",D146+I146+J146+K146+L146+M146)</f>
        <v/>
      </c>
      <c r="O146" s="13">
        <f>IF(A146="","",MAX(0,MIN(12,IF(G146="",12,G146))-MAX(1,F146)+1))</f>
        <v/>
      </c>
      <c r="P146" s="12">
        <f>IF(A146="","",N146*O146)</f>
        <v/>
      </c>
      <c r="Q146" s="12">
        <f>IF(A146="","",0.12*IF(Rates!$B$6=1,MIN(H146,Rates!$B$5),H146))</f>
        <v/>
      </c>
      <c r="R146" s="12">
        <f>IF(A146="","",IF(D146&lt;=Rates!$B$8,D146*0.0075,0))</f>
        <v/>
      </c>
    </row>
    <row r="147">
      <c r="A147" s="10" t="n"/>
      <c r="B147" s="10" t="n"/>
      <c r="C147" s="10" t="n"/>
      <c r="D147" s="8" t="n"/>
      <c r="E147" s="11" t="n"/>
      <c r="F147" s="9" t="n"/>
      <c r="G147" s="9" t="n"/>
      <c r="H147" s="12">
        <f>IF(A147="","",D147*E147)</f>
        <v/>
      </c>
      <c r="I147" s="12">
        <f>IF(A147="","",IF(Rates!$B$6=1,MIN(H147,Rates!$B$5),H147)*(Rates!$B$4+Rates!$B$13))</f>
        <v/>
      </c>
      <c r="J147" s="12">
        <f>IF(A147="","",IF(D147&lt;=Rates!$B$8,D147*Rates!$B$7,0))</f>
        <v/>
      </c>
      <c r="K147" s="12">
        <f>IF(A147="","",H147*Rates!$B$9)</f>
        <v/>
      </c>
      <c r="L147" s="12">
        <f>IF(A147="","",IF(D147&lt;=Rates!$B$11,H147*Rates!$B$10,0))</f>
        <v/>
      </c>
      <c r="M147" s="12">
        <f>IF(A147="","",Rates!$B$12/12)</f>
        <v/>
      </c>
      <c r="N147" s="12">
        <f>IF(A147="","",D147+I147+J147+K147+L147+M147)</f>
        <v/>
      </c>
      <c r="O147" s="13">
        <f>IF(A147="","",MAX(0,MIN(12,IF(G147="",12,G147))-MAX(1,F147)+1))</f>
        <v/>
      </c>
      <c r="P147" s="12">
        <f>IF(A147="","",N147*O147)</f>
        <v/>
      </c>
      <c r="Q147" s="12">
        <f>IF(A147="","",0.12*IF(Rates!$B$6=1,MIN(H147,Rates!$B$5),H147))</f>
        <v/>
      </c>
      <c r="R147" s="12">
        <f>IF(A147="","",IF(D147&lt;=Rates!$B$8,D147*0.0075,0))</f>
        <v/>
      </c>
    </row>
    <row r="148">
      <c r="A148" s="10" t="n"/>
      <c r="B148" s="10" t="n"/>
      <c r="C148" s="10" t="n"/>
      <c r="D148" s="8" t="n"/>
      <c r="E148" s="11" t="n"/>
      <c r="F148" s="9" t="n"/>
      <c r="G148" s="9" t="n"/>
      <c r="H148" s="12">
        <f>IF(A148="","",D148*E148)</f>
        <v/>
      </c>
      <c r="I148" s="12">
        <f>IF(A148="","",IF(Rates!$B$6=1,MIN(H148,Rates!$B$5),H148)*(Rates!$B$4+Rates!$B$13))</f>
        <v/>
      </c>
      <c r="J148" s="12">
        <f>IF(A148="","",IF(D148&lt;=Rates!$B$8,D148*Rates!$B$7,0))</f>
        <v/>
      </c>
      <c r="K148" s="12">
        <f>IF(A148="","",H148*Rates!$B$9)</f>
        <v/>
      </c>
      <c r="L148" s="12">
        <f>IF(A148="","",IF(D148&lt;=Rates!$B$11,H148*Rates!$B$10,0))</f>
        <v/>
      </c>
      <c r="M148" s="12">
        <f>IF(A148="","",Rates!$B$12/12)</f>
        <v/>
      </c>
      <c r="N148" s="12">
        <f>IF(A148="","",D148+I148+J148+K148+L148+M148)</f>
        <v/>
      </c>
      <c r="O148" s="13">
        <f>IF(A148="","",MAX(0,MIN(12,IF(G148="",12,G148))-MAX(1,F148)+1))</f>
        <v/>
      </c>
      <c r="P148" s="12">
        <f>IF(A148="","",N148*O148)</f>
        <v/>
      </c>
      <c r="Q148" s="12">
        <f>IF(A148="","",0.12*IF(Rates!$B$6=1,MIN(H148,Rates!$B$5),H148))</f>
        <v/>
      </c>
      <c r="R148" s="12">
        <f>IF(A148="","",IF(D148&lt;=Rates!$B$8,D148*0.0075,0))</f>
        <v/>
      </c>
    </row>
    <row r="149">
      <c r="A149" s="10" t="n"/>
      <c r="B149" s="10" t="n"/>
      <c r="C149" s="10" t="n"/>
      <c r="D149" s="8" t="n"/>
      <c r="E149" s="11" t="n"/>
      <c r="F149" s="9" t="n"/>
      <c r="G149" s="9" t="n"/>
      <c r="H149" s="12">
        <f>IF(A149="","",D149*E149)</f>
        <v/>
      </c>
      <c r="I149" s="12">
        <f>IF(A149="","",IF(Rates!$B$6=1,MIN(H149,Rates!$B$5),H149)*(Rates!$B$4+Rates!$B$13))</f>
        <v/>
      </c>
      <c r="J149" s="12">
        <f>IF(A149="","",IF(D149&lt;=Rates!$B$8,D149*Rates!$B$7,0))</f>
        <v/>
      </c>
      <c r="K149" s="12">
        <f>IF(A149="","",H149*Rates!$B$9)</f>
        <v/>
      </c>
      <c r="L149" s="12">
        <f>IF(A149="","",IF(D149&lt;=Rates!$B$11,H149*Rates!$B$10,0))</f>
        <v/>
      </c>
      <c r="M149" s="12">
        <f>IF(A149="","",Rates!$B$12/12)</f>
        <v/>
      </c>
      <c r="N149" s="12">
        <f>IF(A149="","",D149+I149+J149+K149+L149+M149)</f>
        <v/>
      </c>
      <c r="O149" s="13">
        <f>IF(A149="","",MAX(0,MIN(12,IF(G149="",12,G149))-MAX(1,F149)+1))</f>
        <v/>
      </c>
      <c r="P149" s="12">
        <f>IF(A149="","",N149*O149)</f>
        <v/>
      </c>
      <c r="Q149" s="12">
        <f>IF(A149="","",0.12*IF(Rates!$B$6=1,MIN(H149,Rates!$B$5),H149))</f>
        <v/>
      </c>
      <c r="R149" s="12">
        <f>IF(A149="","",IF(D149&lt;=Rates!$B$8,D149*0.0075,0))</f>
        <v/>
      </c>
    </row>
    <row r="150">
      <c r="A150" s="10" t="n"/>
      <c r="B150" s="10" t="n"/>
      <c r="C150" s="10" t="n"/>
      <c r="D150" s="8" t="n"/>
      <c r="E150" s="11" t="n"/>
      <c r="F150" s="9" t="n"/>
      <c r="G150" s="9" t="n"/>
      <c r="H150" s="12">
        <f>IF(A150="","",D150*E150)</f>
        <v/>
      </c>
      <c r="I150" s="12">
        <f>IF(A150="","",IF(Rates!$B$6=1,MIN(H150,Rates!$B$5),H150)*(Rates!$B$4+Rates!$B$13))</f>
        <v/>
      </c>
      <c r="J150" s="12">
        <f>IF(A150="","",IF(D150&lt;=Rates!$B$8,D150*Rates!$B$7,0))</f>
        <v/>
      </c>
      <c r="K150" s="12">
        <f>IF(A150="","",H150*Rates!$B$9)</f>
        <v/>
      </c>
      <c r="L150" s="12">
        <f>IF(A150="","",IF(D150&lt;=Rates!$B$11,H150*Rates!$B$10,0))</f>
        <v/>
      </c>
      <c r="M150" s="12">
        <f>IF(A150="","",Rates!$B$12/12)</f>
        <v/>
      </c>
      <c r="N150" s="12">
        <f>IF(A150="","",D150+I150+J150+K150+L150+M150)</f>
        <v/>
      </c>
      <c r="O150" s="13">
        <f>IF(A150="","",MAX(0,MIN(12,IF(G150="",12,G150))-MAX(1,F150)+1))</f>
        <v/>
      </c>
      <c r="P150" s="12">
        <f>IF(A150="","",N150*O150)</f>
        <v/>
      </c>
      <c r="Q150" s="12">
        <f>IF(A150="","",0.12*IF(Rates!$B$6=1,MIN(H150,Rates!$B$5),H150))</f>
        <v/>
      </c>
      <c r="R150" s="12">
        <f>IF(A150="","",IF(D150&lt;=Rates!$B$8,D150*0.0075,0))</f>
        <v/>
      </c>
    </row>
    <row r="151">
      <c r="A151" s="10" t="n"/>
      <c r="B151" s="10" t="n"/>
      <c r="C151" s="10" t="n"/>
      <c r="D151" s="8" t="n"/>
      <c r="E151" s="11" t="n"/>
      <c r="F151" s="9" t="n"/>
      <c r="G151" s="9" t="n"/>
      <c r="H151" s="12">
        <f>IF(A151="","",D151*E151)</f>
        <v/>
      </c>
      <c r="I151" s="12">
        <f>IF(A151="","",IF(Rates!$B$6=1,MIN(H151,Rates!$B$5),H151)*(Rates!$B$4+Rates!$B$13))</f>
        <v/>
      </c>
      <c r="J151" s="12">
        <f>IF(A151="","",IF(D151&lt;=Rates!$B$8,D151*Rates!$B$7,0))</f>
        <v/>
      </c>
      <c r="K151" s="12">
        <f>IF(A151="","",H151*Rates!$B$9)</f>
        <v/>
      </c>
      <c r="L151" s="12">
        <f>IF(A151="","",IF(D151&lt;=Rates!$B$11,H151*Rates!$B$10,0))</f>
        <v/>
      </c>
      <c r="M151" s="12">
        <f>IF(A151="","",Rates!$B$12/12)</f>
        <v/>
      </c>
      <c r="N151" s="12">
        <f>IF(A151="","",D151+I151+J151+K151+L151+M151)</f>
        <v/>
      </c>
      <c r="O151" s="13">
        <f>IF(A151="","",MAX(0,MIN(12,IF(G151="",12,G151))-MAX(1,F151)+1))</f>
        <v/>
      </c>
      <c r="P151" s="12">
        <f>IF(A151="","",N151*O151)</f>
        <v/>
      </c>
      <c r="Q151" s="12">
        <f>IF(A151="","",0.12*IF(Rates!$B$6=1,MIN(H151,Rates!$B$5),H151))</f>
        <v/>
      </c>
      <c r="R151" s="12">
        <f>IF(A151="","",IF(D151&lt;=Rates!$B$8,D151*0.0075,0))</f>
        <v/>
      </c>
    </row>
    <row r="152">
      <c r="A152" s="10" t="n"/>
      <c r="B152" s="10" t="n"/>
      <c r="C152" s="10" t="n"/>
      <c r="D152" s="8" t="n"/>
      <c r="E152" s="11" t="n"/>
      <c r="F152" s="9" t="n"/>
      <c r="G152" s="9" t="n"/>
      <c r="H152" s="12">
        <f>IF(A152="","",D152*E152)</f>
        <v/>
      </c>
      <c r="I152" s="12">
        <f>IF(A152="","",IF(Rates!$B$6=1,MIN(H152,Rates!$B$5),H152)*(Rates!$B$4+Rates!$B$13))</f>
        <v/>
      </c>
      <c r="J152" s="12">
        <f>IF(A152="","",IF(D152&lt;=Rates!$B$8,D152*Rates!$B$7,0))</f>
        <v/>
      </c>
      <c r="K152" s="12">
        <f>IF(A152="","",H152*Rates!$B$9)</f>
        <v/>
      </c>
      <c r="L152" s="12">
        <f>IF(A152="","",IF(D152&lt;=Rates!$B$11,H152*Rates!$B$10,0))</f>
        <v/>
      </c>
      <c r="M152" s="12">
        <f>IF(A152="","",Rates!$B$12/12)</f>
        <v/>
      </c>
      <c r="N152" s="12">
        <f>IF(A152="","",D152+I152+J152+K152+L152+M152)</f>
        <v/>
      </c>
      <c r="O152" s="13">
        <f>IF(A152="","",MAX(0,MIN(12,IF(G152="",12,G152))-MAX(1,F152)+1))</f>
        <v/>
      </c>
      <c r="P152" s="12">
        <f>IF(A152="","",N152*O152)</f>
        <v/>
      </c>
      <c r="Q152" s="12">
        <f>IF(A152="","",0.12*IF(Rates!$B$6=1,MIN(H152,Rates!$B$5),H152))</f>
        <v/>
      </c>
      <c r="R152" s="12">
        <f>IF(A152="","",IF(D152&lt;=Rates!$B$8,D152*0.0075,0))</f>
        <v/>
      </c>
    </row>
    <row r="153">
      <c r="A153" s="10" t="n"/>
      <c r="B153" s="10" t="n"/>
      <c r="C153" s="10" t="n"/>
      <c r="D153" s="8" t="n"/>
      <c r="E153" s="11" t="n"/>
      <c r="F153" s="9" t="n"/>
      <c r="G153" s="9" t="n"/>
      <c r="H153" s="12">
        <f>IF(A153="","",D153*E153)</f>
        <v/>
      </c>
      <c r="I153" s="12">
        <f>IF(A153="","",IF(Rates!$B$6=1,MIN(H153,Rates!$B$5),H153)*(Rates!$B$4+Rates!$B$13))</f>
        <v/>
      </c>
      <c r="J153" s="12">
        <f>IF(A153="","",IF(D153&lt;=Rates!$B$8,D153*Rates!$B$7,0))</f>
        <v/>
      </c>
      <c r="K153" s="12">
        <f>IF(A153="","",H153*Rates!$B$9)</f>
        <v/>
      </c>
      <c r="L153" s="12">
        <f>IF(A153="","",IF(D153&lt;=Rates!$B$11,H153*Rates!$B$10,0))</f>
        <v/>
      </c>
      <c r="M153" s="12">
        <f>IF(A153="","",Rates!$B$12/12)</f>
        <v/>
      </c>
      <c r="N153" s="12">
        <f>IF(A153="","",D153+I153+J153+K153+L153+M153)</f>
        <v/>
      </c>
      <c r="O153" s="13">
        <f>IF(A153="","",MAX(0,MIN(12,IF(G153="",12,G153))-MAX(1,F153)+1))</f>
        <v/>
      </c>
      <c r="P153" s="12">
        <f>IF(A153="","",N153*O153)</f>
        <v/>
      </c>
      <c r="Q153" s="12">
        <f>IF(A153="","",0.12*IF(Rates!$B$6=1,MIN(H153,Rates!$B$5),H153))</f>
        <v/>
      </c>
      <c r="R153" s="12">
        <f>IF(A153="","",IF(D153&lt;=Rates!$B$8,D153*0.0075,0))</f>
        <v/>
      </c>
    </row>
    <row r="154">
      <c r="A154" s="10" t="n"/>
      <c r="B154" s="10" t="n"/>
      <c r="C154" s="10" t="n"/>
      <c r="D154" s="8" t="n"/>
      <c r="E154" s="11" t="n"/>
      <c r="F154" s="9" t="n"/>
      <c r="G154" s="9" t="n"/>
      <c r="H154" s="12">
        <f>IF(A154="","",D154*E154)</f>
        <v/>
      </c>
      <c r="I154" s="12">
        <f>IF(A154="","",IF(Rates!$B$6=1,MIN(H154,Rates!$B$5),H154)*(Rates!$B$4+Rates!$B$13))</f>
        <v/>
      </c>
      <c r="J154" s="12">
        <f>IF(A154="","",IF(D154&lt;=Rates!$B$8,D154*Rates!$B$7,0))</f>
        <v/>
      </c>
      <c r="K154" s="12">
        <f>IF(A154="","",H154*Rates!$B$9)</f>
        <v/>
      </c>
      <c r="L154" s="12">
        <f>IF(A154="","",IF(D154&lt;=Rates!$B$11,H154*Rates!$B$10,0))</f>
        <v/>
      </c>
      <c r="M154" s="12">
        <f>IF(A154="","",Rates!$B$12/12)</f>
        <v/>
      </c>
      <c r="N154" s="12">
        <f>IF(A154="","",D154+I154+J154+K154+L154+M154)</f>
        <v/>
      </c>
      <c r="O154" s="13">
        <f>IF(A154="","",MAX(0,MIN(12,IF(G154="",12,G154))-MAX(1,F154)+1))</f>
        <v/>
      </c>
      <c r="P154" s="12">
        <f>IF(A154="","",N154*O154)</f>
        <v/>
      </c>
      <c r="Q154" s="12">
        <f>IF(A154="","",0.12*IF(Rates!$B$6=1,MIN(H154,Rates!$B$5),H154))</f>
        <v/>
      </c>
      <c r="R154" s="12">
        <f>IF(A154="","",IF(D154&lt;=Rates!$B$8,D154*0.0075,0))</f>
        <v/>
      </c>
    </row>
    <row r="155">
      <c r="A155" s="10" t="n"/>
      <c r="B155" s="10" t="n"/>
      <c r="C155" s="10" t="n"/>
      <c r="D155" s="8" t="n"/>
      <c r="E155" s="11" t="n"/>
      <c r="F155" s="9" t="n"/>
      <c r="G155" s="9" t="n"/>
      <c r="H155" s="12">
        <f>IF(A155="","",D155*E155)</f>
        <v/>
      </c>
      <c r="I155" s="12">
        <f>IF(A155="","",IF(Rates!$B$6=1,MIN(H155,Rates!$B$5),H155)*(Rates!$B$4+Rates!$B$13))</f>
        <v/>
      </c>
      <c r="J155" s="12">
        <f>IF(A155="","",IF(D155&lt;=Rates!$B$8,D155*Rates!$B$7,0))</f>
        <v/>
      </c>
      <c r="K155" s="12">
        <f>IF(A155="","",H155*Rates!$B$9)</f>
        <v/>
      </c>
      <c r="L155" s="12">
        <f>IF(A155="","",IF(D155&lt;=Rates!$B$11,H155*Rates!$B$10,0))</f>
        <v/>
      </c>
      <c r="M155" s="12">
        <f>IF(A155="","",Rates!$B$12/12)</f>
        <v/>
      </c>
      <c r="N155" s="12">
        <f>IF(A155="","",D155+I155+J155+K155+L155+M155)</f>
        <v/>
      </c>
      <c r="O155" s="13">
        <f>IF(A155="","",MAX(0,MIN(12,IF(G155="",12,G155))-MAX(1,F155)+1))</f>
        <v/>
      </c>
      <c r="P155" s="12">
        <f>IF(A155="","",N155*O155)</f>
        <v/>
      </c>
      <c r="Q155" s="12">
        <f>IF(A155="","",0.12*IF(Rates!$B$6=1,MIN(H155,Rates!$B$5),H155))</f>
        <v/>
      </c>
      <c r="R155" s="12">
        <f>IF(A155="","",IF(D155&lt;=Rates!$B$8,D155*0.0075,0))</f>
        <v/>
      </c>
    </row>
    <row r="156">
      <c r="A156" s="10" t="n"/>
      <c r="B156" s="10" t="n"/>
      <c r="C156" s="10" t="n"/>
      <c r="D156" s="8" t="n"/>
      <c r="E156" s="11" t="n"/>
      <c r="F156" s="9" t="n"/>
      <c r="G156" s="9" t="n"/>
      <c r="H156" s="12">
        <f>IF(A156="","",D156*E156)</f>
        <v/>
      </c>
      <c r="I156" s="12">
        <f>IF(A156="","",IF(Rates!$B$6=1,MIN(H156,Rates!$B$5),H156)*(Rates!$B$4+Rates!$B$13))</f>
        <v/>
      </c>
      <c r="J156" s="12">
        <f>IF(A156="","",IF(D156&lt;=Rates!$B$8,D156*Rates!$B$7,0))</f>
        <v/>
      </c>
      <c r="K156" s="12">
        <f>IF(A156="","",H156*Rates!$B$9)</f>
        <v/>
      </c>
      <c r="L156" s="12">
        <f>IF(A156="","",IF(D156&lt;=Rates!$B$11,H156*Rates!$B$10,0))</f>
        <v/>
      </c>
      <c r="M156" s="12">
        <f>IF(A156="","",Rates!$B$12/12)</f>
        <v/>
      </c>
      <c r="N156" s="12">
        <f>IF(A156="","",D156+I156+J156+K156+L156+M156)</f>
        <v/>
      </c>
      <c r="O156" s="13">
        <f>IF(A156="","",MAX(0,MIN(12,IF(G156="",12,G156))-MAX(1,F156)+1))</f>
        <v/>
      </c>
      <c r="P156" s="12">
        <f>IF(A156="","",N156*O156)</f>
        <v/>
      </c>
      <c r="Q156" s="12">
        <f>IF(A156="","",0.12*IF(Rates!$B$6=1,MIN(H156,Rates!$B$5),H156))</f>
        <v/>
      </c>
      <c r="R156" s="12">
        <f>IF(A156="","",IF(D156&lt;=Rates!$B$8,D156*0.0075,0))</f>
        <v/>
      </c>
    </row>
    <row r="157">
      <c r="A157" s="10" t="n"/>
      <c r="B157" s="10" t="n"/>
      <c r="C157" s="10" t="n"/>
      <c r="D157" s="8" t="n"/>
      <c r="E157" s="11" t="n"/>
      <c r="F157" s="9" t="n"/>
      <c r="G157" s="9" t="n"/>
      <c r="H157" s="12">
        <f>IF(A157="","",D157*E157)</f>
        <v/>
      </c>
      <c r="I157" s="12">
        <f>IF(A157="","",IF(Rates!$B$6=1,MIN(H157,Rates!$B$5),H157)*(Rates!$B$4+Rates!$B$13))</f>
        <v/>
      </c>
      <c r="J157" s="12">
        <f>IF(A157="","",IF(D157&lt;=Rates!$B$8,D157*Rates!$B$7,0))</f>
        <v/>
      </c>
      <c r="K157" s="12">
        <f>IF(A157="","",H157*Rates!$B$9)</f>
        <v/>
      </c>
      <c r="L157" s="12">
        <f>IF(A157="","",IF(D157&lt;=Rates!$B$11,H157*Rates!$B$10,0))</f>
        <v/>
      </c>
      <c r="M157" s="12">
        <f>IF(A157="","",Rates!$B$12/12)</f>
        <v/>
      </c>
      <c r="N157" s="12">
        <f>IF(A157="","",D157+I157+J157+K157+L157+M157)</f>
        <v/>
      </c>
      <c r="O157" s="13">
        <f>IF(A157="","",MAX(0,MIN(12,IF(G157="",12,G157))-MAX(1,F157)+1))</f>
        <v/>
      </c>
      <c r="P157" s="12">
        <f>IF(A157="","",N157*O157)</f>
        <v/>
      </c>
      <c r="Q157" s="12">
        <f>IF(A157="","",0.12*IF(Rates!$B$6=1,MIN(H157,Rates!$B$5),H157))</f>
        <v/>
      </c>
      <c r="R157" s="12">
        <f>IF(A157="","",IF(D157&lt;=Rates!$B$8,D157*0.0075,0))</f>
        <v/>
      </c>
    </row>
    <row r="158">
      <c r="A158" s="10" t="n"/>
      <c r="B158" s="10" t="n"/>
      <c r="C158" s="10" t="n"/>
      <c r="D158" s="8" t="n"/>
      <c r="E158" s="11" t="n"/>
      <c r="F158" s="9" t="n"/>
      <c r="G158" s="9" t="n"/>
      <c r="H158" s="12">
        <f>IF(A158="","",D158*E158)</f>
        <v/>
      </c>
      <c r="I158" s="12">
        <f>IF(A158="","",IF(Rates!$B$6=1,MIN(H158,Rates!$B$5),H158)*(Rates!$B$4+Rates!$B$13))</f>
        <v/>
      </c>
      <c r="J158" s="12">
        <f>IF(A158="","",IF(D158&lt;=Rates!$B$8,D158*Rates!$B$7,0))</f>
        <v/>
      </c>
      <c r="K158" s="12">
        <f>IF(A158="","",H158*Rates!$B$9)</f>
        <v/>
      </c>
      <c r="L158" s="12">
        <f>IF(A158="","",IF(D158&lt;=Rates!$B$11,H158*Rates!$B$10,0))</f>
        <v/>
      </c>
      <c r="M158" s="12">
        <f>IF(A158="","",Rates!$B$12/12)</f>
        <v/>
      </c>
      <c r="N158" s="12">
        <f>IF(A158="","",D158+I158+J158+K158+L158+M158)</f>
        <v/>
      </c>
      <c r="O158" s="13">
        <f>IF(A158="","",MAX(0,MIN(12,IF(G158="",12,G158))-MAX(1,F158)+1))</f>
        <v/>
      </c>
      <c r="P158" s="12">
        <f>IF(A158="","",N158*O158)</f>
        <v/>
      </c>
      <c r="Q158" s="12">
        <f>IF(A158="","",0.12*IF(Rates!$B$6=1,MIN(H158,Rates!$B$5),H158))</f>
        <v/>
      </c>
      <c r="R158" s="12">
        <f>IF(A158="","",IF(D158&lt;=Rates!$B$8,D158*0.0075,0))</f>
        <v/>
      </c>
    </row>
    <row r="159">
      <c r="A159" s="10" t="n"/>
      <c r="B159" s="10" t="n"/>
      <c r="C159" s="10" t="n"/>
      <c r="D159" s="8" t="n"/>
      <c r="E159" s="11" t="n"/>
      <c r="F159" s="9" t="n"/>
      <c r="G159" s="9" t="n"/>
      <c r="H159" s="12">
        <f>IF(A159="","",D159*E159)</f>
        <v/>
      </c>
      <c r="I159" s="12">
        <f>IF(A159="","",IF(Rates!$B$6=1,MIN(H159,Rates!$B$5),H159)*(Rates!$B$4+Rates!$B$13))</f>
        <v/>
      </c>
      <c r="J159" s="12">
        <f>IF(A159="","",IF(D159&lt;=Rates!$B$8,D159*Rates!$B$7,0))</f>
        <v/>
      </c>
      <c r="K159" s="12">
        <f>IF(A159="","",H159*Rates!$B$9)</f>
        <v/>
      </c>
      <c r="L159" s="12">
        <f>IF(A159="","",IF(D159&lt;=Rates!$B$11,H159*Rates!$B$10,0))</f>
        <v/>
      </c>
      <c r="M159" s="12">
        <f>IF(A159="","",Rates!$B$12/12)</f>
        <v/>
      </c>
      <c r="N159" s="12">
        <f>IF(A159="","",D159+I159+J159+K159+L159+M159)</f>
        <v/>
      </c>
      <c r="O159" s="13">
        <f>IF(A159="","",MAX(0,MIN(12,IF(G159="",12,G159))-MAX(1,F159)+1))</f>
        <v/>
      </c>
      <c r="P159" s="12">
        <f>IF(A159="","",N159*O159)</f>
        <v/>
      </c>
      <c r="Q159" s="12">
        <f>IF(A159="","",0.12*IF(Rates!$B$6=1,MIN(H159,Rates!$B$5),H159))</f>
        <v/>
      </c>
      <c r="R159" s="12">
        <f>IF(A159="","",IF(D159&lt;=Rates!$B$8,D159*0.0075,0))</f>
        <v/>
      </c>
    </row>
    <row r="160">
      <c r="A160" s="10" t="n"/>
      <c r="B160" s="10" t="n"/>
      <c r="C160" s="10" t="n"/>
      <c r="D160" s="8" t="n"/>
      <c r="E160" s="11" t="n"/>
      <c r="F160" s="9" t="n"/>
      <c r="G160" s="9" t="n"/>
      <c r="H160" s="12">
        <f>IF(A160="","",D160*E160)</f>
        <v/>
      </c>
      <c r="I160" s="12">
        <f>IF(A160="","",IF(Rates!$B$6=1,MIN(H160,Rates!$B$5),H160)*(Rates!$B$4+Rates!$B$13))</f>
        <v/>
      </c>
      <c r="J160" s="12">
        <f>IF(A160="","",IF(D160&lt;=Rates!$B$8,D160*Rates!$B$7,0))</f>
        <v/>
      </c>
      <c r="K160" s="12">
        <f>IF(A160="","",H160*Rates!$B$9)</f>
        <v/>
      </c>
      <c r="L160" s="12">
        <f>IF(A160="","",IF(D160&lt;=Rates!$B$11,H160*Rates!$B$10,0))</f>
        <v/>
      </c>
      <c r="M160" s="12">
        <f>IF(A160="","",Rates!$B$12/12)</f>
        <v/>
      </c>
      <c r="N160" s="12">
        <f>IF(A160="","",D160+I160+J160+K160+L160+M160)</f>
        <v/>
      </c>
      <c r="O160" s="13">
        <f>IF(A160="","",MAX(0,MIN(12,IF(G160="",12,G160))-MAX(1,F160)+1))</f>
        <v/>
      </c>
      <c r="P160" s="12">
        <f>IF(A160="","",N160*O160)</f>
        <v/>
      </c>
      <c r="Q160" s="12">
        <f>IF(A160="","",0.12*IF(Rates!$B$6=1,MIN(H160,Rates!$B$5),H160))</f>
        <v/>
      </c>
      <c r="R160" s="12">
        <f>IF(A160="","",IF(D160&lt;=Rates!$B$8,D160*0.0075,0))</f>
        <v/>
      </c>
    </row>
    <row r="161">
      <c r="A161" s="10" t="n"/>
      <c r="B161" s="10" t="n"/>
      <c r="C161" s="10" t="n"/>
      <c r="D161" s="8" t="n"/>
      <c r="E161" s="11" t="n"/>
      <c r="F161" s="9" t="n"/>
      <c r="G161" s="9" t="n"/>
      <c r="H161" s="12">
        <f>IF(A161="","",D161*E161)</f>
        <v/>
      </c>
      <c r="I161" s="12">
        <f>IF(A161="","",IF(Rates!$B$6=1,MIN(H161,Rates!$B$5),H161)*(Rates!$B$4+Rates!$B$13))</f>
        <v/>
      </c>
      <c r="J161" s="12">
        <f>IF(A161="","",IF(D161&lt;=Rates!$B$8,D161*Rates!$B$7,0))</f>
        <v/>
      </c>
      <c r="K161" s="12">
        <f>IF(A161="","",H161*Rates!$B$9)</f>
        <v/>
      </c>
      <c r="L161" s="12">
        <f>IF(A161="","",IF(D161&lt;=Rates!$B$11,H161*Rates!$B$10,0))</f>
        <v/>
      </c>
      <c r="M161" s="12">
        <f>IF(A161="","",Rates!$B$12/12)</f>
        <v/>
      </c>
      <c r="N161" s="12">
        <f>IF(A161="","",D161+I161+J161+K161+L161+M161)</f>
        <v/>
      </c>
      <c r="O161" s="13">
        <f>IF(A161="","",MAX(0,MIN(12,IF(G161="",12,G161))-MAX(1,F161)+1))</f>
        <v/>
      </c>
      <c r="P161" s="12">
        <f>IF(A161="","",N161*O161)</f>
        <v/>
      </c>
      <c r="Q161" s="12">
        <f>IF(A161="","",0.12*IF(Rates!$B$6=1,MIN(H161,Rates!$B$5),H161))</f>
        <v/>
      </c>
      <c r="R161" s="12">
        <f>IF(A161="","",IF(D161&lt;=Rates!$B$8,D161*0.0075,0))</f>
        <v/>
      </c>
    </row>
    <row r="162">
      <c r="A162" s="10" t="n"/>
      <c r="B162" s="10" t="n"/>
      <c r="C162" s="10" t="n"/>
      <c r="D162" s="8" t="n"/>
      <c r="E162" s="11" t="n"/>
      <c r="F162" s="9" t="n"/>
      <c r="G162" s="9" t="n"/>
      <c r="H162" s="12">
        <f>IF(A162="","",D162*E162)</f>
        <v/>
      </c>
      <c r="I162" s="12">
        <f>IF(A162="","",IF(Rates!$B$6=1,MIN(H162,Rates!$B$5),H162)*(Rates!$B$4+Rates!$B$13))</f>
        <v/>
      </c>
      <c r="J162" s="12">
        <f>IF(A162="","",IF(D162&lt;=Rates!$B$8,D162*Rates!$B$7,0))</f>
        <v/>
      </c>
      <c r="K162" s="12">
        <f>IF(A162="","",H162*Rates!$B$9)</f>
        <v/>
      </c>
      <c r="L162" s="12">
        <f>IF(A162="","",IF(D162&lt;=Rates!$B$11,H162*Rates!$B$10,0))</f>
        <v/>
      </c>
      <c r="M162" s="12">
        <f>IF(A162="","",Rates!$B$12/12)</f>
        <v/>
      </c>
      <c r="N162" s="12">
        <f>IF(A162="","",D162+I162+J162+K162+L162+M162)</f>
        <v/>
      </c>
      <c r="O162" s="13">
        <f>IF(A162="","",MAX(0,MIN(12,IF(G162="",12,G162))-MAX(1,F162)+1))</f>
        <v/>
      </c>
      <c r="P162" s="12">
        <f>IF(A162="","",N162*O162)</f>
        <v/>
      </c>
      <c r="Q162" s="12">
        <f>IF(A162="","",0.12*IF(Rates!$B$6=1,MIN(H162,Rates!$B$5),H162))</f>
        <v/>
      </c>
      <c r="R162" s="12">
        <f>IF(A162="","",IF(D162&lt;=Rates!$B$8,D162*0.0075,0))</f>
        <v/>
      </c>
    </row>
    <row r="163">
      <c r="A163" s="10" t="n"/>
      <c r="B163" s="10" t="n"/>
      <c r="C163" s="10" t="n"/>
      <c r="D163" s="8" t="n"/>
      <c r="E163" s="11" t="n"/>
      <c r="F163" s="9" t="n"/>
      <c r="G163" s="9" t="n"/>
      <c r="H163" s="12">
        <f>IF(A163="","",D163*E163)</f>
        <v/>
      </c>
      <c r="I163" s="12">
        <f>IF(A163="","",IF(Rates!$B$6=1,MIN(H163,Rates!$B$5),H163)*(Rates!$B$4+Rates!$B$13))</f>
        <v/>
      </c>
      <c r="J163" s="12">
        <f>IF(A163="","",IF(D163&lt;=Rates!$B$8,D163*Rates!$B$7,0))</f>
        <v/>
      </c>
      <c r="K163" s="12">
        <f>IF(A163="","",H163*Rates!$B$9)</f>
        <v/>
      </c>
      <c r="L163" s="12">
        <f>IF(A163="","",IF(D163&lt;=Rates!$B$11,H163*Rates!$B$10,0))</f>
        <v/>
      </c>
      <c r="M163" s="12">
        <f>IF(A163="","",Rates!$B$12/12)</f>
        <v/>
      </c>
      <c r="N163" s="12">
        <f>IF(A163="","",D163+I163+J163+K163+L163+M163)</f>
        <v/>
      </c>
      <c r="O163" s="13">
        <f>IF(A163="","",MAX(0,MIN(12,IF(G163="",12,G163))-MAX(1,F163)+1))</f>
        <v/>
      </c>
      <c r="P163" s="12">
        <f>IF(A163="","",N163*O163)</f>
        <v/>
      </c>
      <c r="Q163" s="12">
        <f>IF(A163="","",0.12*IF(Rates!$B$6=1,MIN(H163,Rates!$B$5),H163))</f>
        <v/>
      </c>
      <c r="R163" s="12">
        <f>IF(A163="","",IF(D163&lt;=Rates!$B$8,D163*0.0075,0))</f>
        <v/>
      </c>
    </row>
    <row r="164">
      <c r="A164" s="10" t="n"/>
      <c r="B164" s="10" t="n"/>
      <c r="C164" s="10" t="n"/>
      <c r="D164" s="8" t="n"/>
      <c r="E164" s="11" t="n"/>
      <c r="F164" s="9" t="n"/>
      <c r="G164" s="9" t="n"/>
      <c r="H164" s="12">
        <f>IF(A164="","",D164*E164)</f>
        <v/>
      </c>
      <c r="I164" s="12">
        <f>IF(A164="","",IF(Rates!$B$6=1,MIN(H164,Rates!$B$5),H164)*(Rates!$B$4+Rates!$B$13))</f>
        <v/>
      </c>
      <c r="J164" s="12">
        <f>IF(A164="","",IF(D164&lt;=Rates!$B$8,D164*Rates!$B$7,0))</f>
        <v/>
      </c>
      <c r="K164" s="12">
        <f>IF(A164="","",H164*Rates!$B$9)</f>
        <v/>
      </c>
      <c r="L164" s="12">
        <f>IF(A164="","",IF(D164&lt;=Rates!$B$11,H164*Rates!$B$10,0))</f>
        <v/>
      </c>
      <c r="M164" s="12">
        <f>IF(A164="","",Rates!$B$12/12)</f>
        <v/>
      </c>
      <c r="N164" s="12">
        <f>IF(A164="","",D164+I164+J164+K164+L164+M164)</f>
        <v/>
      </c>
      <c r="O164" s="13">
        <f>IF(A164="","",MAX(0,MIN(12,IF(G164="",12,G164))-MAX(1,F164)+1))</f>
        <v/>
      </c>
      <c r="P164" s="12">
        <f>IF(A164="","",N164*O164)</f>
        <v/>
      </c>
      <c r="Q164" s="12">
        <f>IF(A164="","",0.12*IF(Rates!$B$6=1,MIN(H164,Rates!$B$5),H164))</f>
        <v/>
      </c>
      <c r="R164" s="12">
        <f>IF(A164="","",IF(D164&lt;=Rates!$B$8,D164*0.0075,0))</f>
        <v/>
      </c>
    </row>
    <row r="165">
      <c r="A165" s="10" t="n"/>
      <c r="B165" s="10" t="n"/>
      <c r="C165" s="10" t="n"/>
      <c r="D165" s="8" t="n"/>
      <c r="E165" s="11" t="n"/>
      <c r="F165" s="9" t="n"/>
      <c r="G165" s="9" t="n"/>
      <c r="H165" s="12">
        <f>IF(A165="","",D165*E165)</f>
        <v/>
      </c>
      <c r="I165" s="12">
        <f>IF(A165="","",IF(Rates!$B$6=1,MIN(H165,Rates!$B$5),H165)*(Rates!$B$4+Rates!$B$13))</f>
        <v/>
      </c>
      <c r="J165" s="12">
        <f>IF(A165="","",IF(D165&lt;=Rates!$B$8,D165*Rates!$B$7,0))</f>
        <v/>
      </c>
      <c r="K165" s="12">
        <f>IF(A165="","",H165*Rates!$B$9)</f>
        <v/>
      </c>
      <c r="L165" s="12">
        <f>IF(A165="","",IF(D165&lt;=Rates!$B$11,H165*Rates!$B$10,0))</f>
        <v/>
      </c>
      <c r="M165" s="12">
        <f>IF(A165="","",Rates!$B$12/12)</f>
        <v/>
      </c>
      <c r="N165" s="12">
        <f>IF(A165="","",D165+I165+J165+K165+L165+M165)</f>
        <v/>
      </c>
      <c r="O165" s="13">
        <f>IF(A165="","",MAX(0,MIN(12,IF(G165="",12,G165))-MAX(1,F165)+1))</f>
        <v/>
      </c>
      <c r="P165" s="12">
        <f>IF(A165="","",N165*O165)</f>
        <v/>
      </c>
      <c r="Q165" s="12">
        <f>IF(A165="","",0.12*IF(Rates!$B$6=1,MIN(H165,Rates!$B$5),H165))</f>
        <v/>
      </c>
      <c r="R165" s="12">
        <f>IF(A165="","",IF(D165&lt;=Rates!$B$8,D165*0.0075,0))</f>
        <v/>
      </c>
    </row>
    <row r="166">
      <c r="A166" s="10" t="n"/>
      <c r="B166" s="10" t="n"/>
      <c r="C166" s="10" t="n"/>
      <c r="D166" s="8" t="n"/>
      <c r="E166" s="11" t="n"/>
      <c r="F166" s="9" t="n"/>
      <c r="G166" s="9" t="n"/>
      <c r="H166" s="12">
        <f>IF(A166="","",D166*E166)</f>
        <v/>
      </c>
      <c r="I166" s="12">
        <f>IF(A166="","",IF(Rates!$B$6=1,MIN(H166,Rates!$B$5),H166)*(Rates!$B$4+Rates!$B$13))</f>
        <v/>
      </c>
      <c r="J166" s="12">
        <f>IF(A166="","",IF(D166&lt;=Rates!$B$8,D166*Rates!$B$7,0))</f>
        <v/>
      </c>
      <c r="K166" s="12">
        <f>IF(A166="","",H166*Rates!$B$9)</f>
        <v/>
      </c>
      <c r="L166" s="12">
        <f>IF(A166="","",IF(D166&lt;=Rates!$B$11,H166*Rates!$B$10,0))</f>
        <v/>
      </c>
      <c r="M166" s="12">
        <f>IF(A166="","",Rates!$B$12/12)</f>
        <v/>
      </c>
      <c r="N166" s="12">
        <f>IF(A166="","",D166+I166+J166+K166+L166+M166)</f>
        <v/>
      </c>
      <c r="O166" s="13">
        <f>IF(A166="","",MAX(0,MIN(12,IF(G166="",12,G166))-MAX(1,F166)+1))</f>
        <v/>
      </c>
      <c r="P166" s="12">
        <f>IF(A166="","",N166*O166)</f>
        <v/>
      </c>
      <c r="Q166" s="12">
        <f>IF(A166="","",0.12*IF(Rates!$B$6=1,MIN(H166,Rates!$B$5),H166))</f>
        <v/>
      </c>
      <c r="R166" s="12">
        <f>IF(A166="","",IF(D166&lt;=Rates!$B$8,D166*0.0075,0))</f>
        <v/>
      </c>
    </row>
    <row r="167">
      <c r="A167" s="10" t="n"/>
      <c r="B167" s="10" t="n"/>
      <c r="C167" s="10" t="n"/>
      <c r="D167" s="8" t="n"/>
      <c r="E167" s="11" t="n"/>
      <c r="F167" s="9" t="n"/>
      <c r="G167" s="9" t="n"/>
      <c r="H167" s="12">
        <f>IF(A167="","",D167*E167)</f>
        <v/>
      </c>
      <c r="I167" s="12">
        <f>IF(A167="","",IF(Rates!$B$6=1,MIN(H167,Rates!$B$5),H167)*(Rates!$B$4+Rates!$B$13))</f>
        <v/>
      </c>
      <c r="J167" s="12">
        <f>IF(A167="","",IF(D167&lt;=Rates!$B$8,D167*Rates!$B$7,0))</f>
        <v/>
      </c>
      <c r="K167" s="12">
        <f>IF(A167="","",H167*Rates!$B$9)</f>
        <v/>
      </c>
      <c r="L167" s="12">
        <f>IF(A167="","",IF(D167&lt;=Rates!$B$11,H167*Rates!$B$10,0))</f>
        <v/>
      </c>
      <c r="M167" s="12">
        <f>IF(A167="","",Rates!$B$12/12)</f>
        <v/>
      </c>
      <c r="N167" s="12">
        <f>IF(A167="","",D167+I167+J167+K167+L167+M167)</f>
        <v/>
      </c>
      <c r="O167" s="13">
        <f>IF(A167="","",MAX(0,MIN(12,IF(G167="",12,G167))-MAX(1,F167)+1))</f>
        <v/>
      </c>
      <c r="P167" s="12">
        <f>IF(A167="","",N167*O167)</f>
        <v/>
      </c>
      <c r="Q167" s="12">
        <f>IF(A167="","",0.12*IF(Rates!$B$6=1,MIN(H167,Rates!$B$5),H167))</f>
        <v/>
      </c>
      <c r="R167" s="12">
        <f>IF(A167="","",IF(D167&lt;=Rates!$B$8,D167*0.0075,0))</f>
        <v/>
      </c>
    </row>
    <row r="168">
      <c r="A168" s="10" t="n"/>
      <c r="B168" s="10" t="n"/>
      <c r="C168" s="10" t="n"/>
      <c r="D168" s="8" t="n"/>
      <c r="E168" s="11" t="n"/>
      <c r="F168" s="9" t="n"/>
      <c r="G168" s="9" t="n"/>
      <c r="H168" s="12">
        <f>IF(A168="","",D168*E168)</f>
        <v/>
      </c>
      <c r="I168" s="12">
        <f>IF(A168="","",IF(Rates!$B$6=1,MIN(H168,Rates!$B$5),H168)*(Rates!$B$4+Rates!$B$13))</f>
        <v/>
      </c>
      <c r="J168" s="12">
        <f>IF(A168="","",IF(D168&lt;=Rates!$B$8,D168*Rates!$B$7,0))</f>
        <v/>
      </c>
      <c r="K168" s="12">
        <f>IF(A168="","",H168*Rates!$B$9)</f>
        <v/>
      </c>
      <c r="L168" s="12">
        <f>IF(A168="","",IF(D168&lt;=Rates!$B$11,H168*Rates!$B$10,0))</f>
        <v/>
      </c>
      <c r="M168" s="12">
        <f>IF(A168="","",Rates!$B$12/12)</f>
        <v/>
      </c>
      <c r="N168" s="12">
        <f>IF(A168="","",D168+I168+J168+K168+L168+M168)</f>
        <v/>
      </c>
      <c r="O168" s="13">
        <f>IF(A168="","",MAX(0,MIN(12,IF(G168="",12,G168))-MAX(1,F168)+1))</f>
        <v/>
      </c>
      <c r="P168" s="12">
        <f>IF(A168="","",N168*O168)</f>
        <v/>
      </c>
      <c r="Q168" s="12">
        <f>IF(A168="","",0.12*IF(Rates!$B$6=1,MIN(H168,Rates!$B$5),H168))</f>
        <v/>
      </c>
      <c r="R168" s="12">
        <f>IF(A168="","",IF(D168&lt;=Rates!$B$8,D168*0.0075,0))</f>
        <v/>
      </c>
    </row>
    <row r="169">
      <c r="A169" s="10" t="n"/>
      <c r="B169" s="10" t="n"/>
      <c r="C169" s="10" t="n"/>
      <c r="D169" s="8" t="n"/>
      <c r="E169" s="11" t="n"/>
      <c r="F169" s="9" t="n"/>
      <c r="G169" s="9" t="n"/>
      <c r="H169" s="12">
        <f>IF(A169="","",D169*E169)</f>
        <v/>
      </c>
      <c r="I169" s="12">
        <f>IF(A169="","",IF(Rates!$B$6=1,MIN(H169,Rates!$B$5),H169)*(Rates!$B$4+Rates!$B$13))</f>
        <v/>
      </c>
      <c r="J169" s="12">
        <f>IF(A169="","",IF(D169&lt;=Rates!$B$8,D169*Rates!$B$7,0))</f>
        <v/>
      </c>
      <c r="K169" s="12">
        <f>IF(A169="","",H169*Rates!$B$9)</f>
        <v/>
      </c>
      <c r="L169" s="12">
        <f>IF(A169="","",IF(D169&lt;=Rates!$B$11,H169*Rates!$B$10,0))</f>
        <v/>
      </c>
      <c r="M169" s="12">
        <f>IF(A169="","",Rates!$B$12/12)</f>
        <v/>
      </c>
      <c r="N169" s="12">
        <f>IF(A169="","",D169+I169+J169+K169+L169+M169)</f>
        <v/>
      </c>
      <c r="O169" s="13">
        <f>IF(A169="","",MAX(0,MIN(12,IF(G169="",12,G169))-MAX(1,F169)+1))</f>
        <v/>
      </c>
      <c r="P169" s="12">
        <f>IF(A169="","",N169*O169)</f>
        <v/>
      </c>
      <c r="Q169" s="12">
        <f>IF(A169="","",0.12*IF(Rates!$B$6=1,MIN(H169,Rates!$B$5),H169))</f>
        <v/>
      </c>
      <c r="R169" s="12">
        <f>IF(A169="","",IF(D169&lt;=Rates!$B$8,D169*0.0075,0))</f>
        <v/>
      </c>
    </row>
    <row r="170">
      <c r="A170" s="10" t="n"/>
      <c r="B170" s="10" t="n"/>
      <c r="C170" s="10" t="n"/>
      <c r="D170" s="8" t="n"/>
      <c r="E170" s="11" t="n"/>
      <c r="F170" s="9" t="n"/>
      <c r="G170" s="9" t="n"/>
      <c r="H170" s="12">
        <f>IF(A170="","",D170*E170)</f>
        <v/>
      </c>
      <c r="I170" s="12">
        <f>IF(A170="","",IF(Rates!$B$6=1,MIN(H170,Rates!$B$5),H170)*(Rates!$B$4+Rates!$B$13))</f>
        <v/>
      </c>
      <c r="J170" s="12">
        <f>IF(A170="","",IF(D170&lt;=Rates!$B$8,D170*Rates!$B$7,0))</f>
        <v/>
      </c>
      <c r="K170" s="12">
        <f>IF(A170="","",H170*Rates!$B$9)</f>
        <v/>
      </c>
      <c r="L170" s="12">
        <f>IF(A170="","",IF(D170&lt;=Rates!$B$11,H170*Rates!$B$10,0))</f>
        <v/>
      </c>
      <c r="M170" s="12">
        <f>IF(A170="","",Rates!$B$12/12)</f>
        <v/>
      </c>
      <c r="N170" s="12">
        <f>IF(A170="","",D170+I170+J170+K170+L170+M170)</f>
        <v/>
      </c>
      <c r="O170" s="13">
        <f>IF(A170="","",MAX(0,MIN(12,IF(G170="",12,G170))-MAX(1,F170)+1))</f>
        <v/>
      </c>
      <c r="P170" s="12">
        <f>IF(A170="","",N170*O170)</f>
        <v/>
      </c>
      <c r="Q170" s="12">
        <f>IF(A170="","",0.12*IF(Rates!$B$6=1,MIN(H170,Rates!$B$5),H170))</f>
        <v/>
      </c>
      <c r="R170" s="12">
        <f>IF(A170="","",IF(D170&lt;=Rates!$B$8,D170*0.0075,0))</f>
        <v/>
      </c>
    </row>
    <row r="171">
      <c r="A171" s="10" t="n"/>
      <c r="B171" s="10" t="n"/>
      <c r="C171" s="10" t="n"/>
      <c r="D171" s="8" t="n"/>
      <c r="E171" s="11" t="n"/>
      <c r="F171" s="9" t="n"/>
      <c r="G171" s="9" t="n"/>
      <c r="H171" s="12">
        <f>IF(A171="","",D171*E171)</f>
        <v/>
      </c>
      <c r="I171" s="12">
        <f>IF(A171="","",IF(Rates!$B$6=1,MIN(H171,Rates!$B$5),H171)*(Rates!$B$4+Rates!$B$13))</f>
        <v/>
      </c>
      <c r="J171" s="12">
        <f>IF(A171="","",IF(D171&lt;=Rates!$B$8,D171*Rates!$B$7,0))</f>
        <v/>
      </c>
      <c r="K171" s="12">
        <f>IF(A171="","",H171*Rates!$B$9)</f>
        <v/>
      </c>
      <c r="L171" s="12">
        <f>IF(A171="","",IF(D171&lt;=Rates!$B$11,H171*Rates!$B$10,0))</f>
        <v/>
      </c>
      <c r="M171" s="12">
        <f>IF(A171="","",Rates!$B$12/12)</f>
        <v/>
      </c>
      <c r="N171" s="12">
        <f>IF(A171="","",D171+I171+J171+K171+L171+M171)</f>
        <v/>
      </c>
      <c r="O171" s="13">
        <f>IF(A171="","",MAX(0,MIN(12,IF(G171="",12,G171))-MAX(1,F171)+1))</f>
        <v/>
      </c>
      <c r="P171" s="12">
        <f>IF(A171="","",N171*O171)</f>
        <v/>
      </c>
      <c r="Q171" s="12">
        <f>IF(A171="","",0.12*IF(Rates!$B$6=1,MIN(H171,Rates!$B$5),H171))</f>
        <v/>
      </c>
      <c r="R171" s="12">
        <f>IF(A171="","",IF(D171&lt;=Rates!$B$8,D171*0.0075,0))</f>
        <v/>
      </c>
    </row>
    <row r="172">
      <c r="A172" s="10" t="n"/>
      <c r="B172" s="10" t="n"/>
      <c r="C172" s="10" t="n"/>
      <c r="D172" s="8" t="n"/>
      <c r="E172" s="11" t="n"/>
      <c r="F172" s="9" t="n"/>
      <c r="G172" s="9" t="n"/>
      <c r="H172" s="12">
        <f>IF(A172="","",D172*E172)</f>
        <v/>
      </c>
      <c r="I172" s="12">
        <f>IF(A172="","",IF(Rates!$B$6=1,MIN(H172,Rates!$B$5),H172)*(Rates!$B$4+Rates!$B$13))</f>
        <v/>
      </c>
      <c r="J172" s="12">
        <f>IF(A172="","",IF(D172&lt;=Rates!$B$8,D172*Rates!$B$7,0))</f>
        <v/>
      </c>
      <c r="K172" s="12">
        <f>IF(A172="","",H172*Rates!$B$9)</f>
        <v/>
      </c>
      <c r="L172" s="12">
        <f>IF(A172="","",IF(D172&lt;=Rates!$B$11,H172*Rates!$B$10,0))</f>
        <v/>
      </c>
      <c r="M172" s="12">
        <f>IF(A172="","",Rates!$B$12/12)</f>
        <v/>
      </c>
      <c r="N172" s="12">
        <f>IF(A172="","",D172+I172+J172+K172+L172+M172)</f>
        <v/>
      </c>
      <c r="O172" s="13">
        <f>IF(A172="","",MAX(0,MIN(12,IF(G172="",12,G172))-MAX(1,F172)+1))</f>
        <v/>
      </c>
      <c r="P172" s="12">
        <f>IF(A172="","",N172*O172)</f>
        <v/>
      </c>
      <c r="Q172" s="12">
        <f>IF(A172="","",0.12*IF(Rates!$B$6=1,MIN(H172,Rates!$B$5),H172))</f>
        <v/>
      </c>
      <c r="R172" s="12">
        <f>IF(A172="","",IF(D172&lt;=Rates!$B$8,D172*0.0075,0))</f>
        <v/>
      </c>
    </row>
    <row r="173">
      <c r="A173" s="10" t="n"/>
      <c r="B173" s="10" t="n"/>
      <c r="C173" s="10" t="n"/>
      <c r="D173" s="8" t="n"/>
      <c r="E173" s="11" t="n"/>
      <c r="F173" s="9" t="n"/>
      <c r="G173" s="9" t="n"/>
      <c r="H173" s="12">
        <f>IF(A173="","",D173*E173)</f>
        <v/>
      </c>
      <c r="I173" s="12">
        <f>IF(A173="","",IF(Rates!$B$6=1,MIN(H173,Rates!$B$5),H173)*(Rates!$B$4+Rates!$B$13))</f>
        <v/>
      </c>
      <c r="J173" s="12">
        <f>IF(A173="","",IF(D173&lt;=Rates!$B$8,D173*Rates!$B$7,0))</f>
        <v/>
      </c>
      <c r="K173" s="12">
        <f>IF(A173="","",H173*Rates!$B$9)</f>
        <v/>
      </c>
      <c r="L173" s="12">
        <f>IF(A173="","",IF(D173&lt;=Rates!$B$11,H173*Rates!$B$10,0))</f>
        <v/>
      </c>
      <c r="M173" s="12">
        <f>IF(A173="","",Rates!$B$12/12)</f>
        <v/>
      </c>
      <c r="N173" s="12">
        <f>IF(A173="","",D173+I173+J173+K173+L173+M173)</f>
        <v/>
      </c>
      <c r="O173" s="13">
        <f>IF(A173="","",MAX(0,MIN(12,IF(G173="",12,G173))-MAX(1,F173)+1))</f>
        <v/>
      </c>
      <c r="P173" s="12">
        <f>IF(A173="","",N173*O173)</f>
        <v/>
      </c>
      <c r="Q173" s="12">
        <f>IF(A173="","",0.12*IF(Rates!$B$6=1,MIN(H173,Rates!$B$5),H173))</f>
        <v/>
      </c>
      <c r="R173" s="12">
        <f>IF(A173="","",IF(D173&lt;=Rates!$B$8,D173*0.0075,0))</f>
        <v/>
      </c>
    </row>
    <row r="174">
      <c r="A174" s="10" t="n"/>
      <c r="B174" s="10" t="n"/>
      <c r="C174" s="10" t="n"/>
      <c r="D174" s="8" t="n"/>
      <c r="E174" s="11" t="n"/>
      <c r="F174" s="9" t="n"/>
      <c r="G174" s="9" t="n"/>
      <c r="H174" s="12">
        <f>IF(A174="","",D174*E174)</f>
        <v/>
      </c>
      <c r="I174" s="12">
        <f>IF(A174="","",IF(Rates!$B$6=1,MIN(H174,Rates!$B$5),H174)*(Rates!$B$4+Rates!$B$13))</f>
        <v/>
      </c>
      <c r="J174" s="12">
        <f>IF(A174="","",IF(D174&lt;=Rates!$B$8,D174*Rates!$B$7,0))</f>
        <v/>
      </c>
      <c r="K174" s="12">
        <f>IF(A174="","",H174*Rates!$B$9)</f>
        <v/>
      </c>
      <c r="L174" s="12">
        <f>IF(A174="","",IF(D174&lt;=Rates!$B$11,H174*Rates!$B$10,0))</f>
        <v/>
      </c>
      <c r="M174" s="12">
        <f>IF(A174="","",Rates!$B$12/12)</f>
        <v/>
      </c>
      <c r="N174" s="12">
        <f>IF(A174="","",D174+I174+J174+K174+L174+M174)</f>
        <v/>
      </c>
      <c r="O174" s="13">
        <f>IF(A174="","",MAX(0,MIN(12,IF(G174="",12,G174))-MAX(1,F174)+1))</f>
        <v/>
      </c>
      <c r="P174" s="12">
        <f>IF(A174="","",N174*O174)</f>
        <v/>
      </c>
      <c r="Q174" s="12">
        <f>IF(A174="","",0.12*IF(Rates!$B$6=1,MIN(H174,Rates!$B$5),H174))</f>
        <v/>
      </c>
      <c r="R174" s="12">
        <f>IF(A174="","",IF(D174&lt;=Rates!$B$8,D174*0.0075,0))</f>
        <v/>
      </c>
    </row>
    <row r="175">
      <c r="A175" s="10" t="n"/>
      <c r="B175" s="10" t="n"/>
      <c r="C175" s="10" t="n"/>
      <c r="D175" s="8" t="n"/>
      <c r="E175" s="11" t="n"/>
      <c r="F175" s="9" t="n"/>
      <c r="G175" s="9" t="n"/>
      <c r="H175" s="12">
        <f>IF(A175="","",D175*E175)</f>
        <v/>
      </c>
      <c r="I175" s="12">
        <f>IF(A175="","",IF(Rates!$B$6=1,MIN(H175,Rates!$B$5),H175)*(Rates!$B$4+Rates!$B$13))</f>
        <v/>
      </c>
      <c r="J175" s="12">
        <f>IF(A175="","",IF(D175&lt;=Rates!$B$8,D175*Rates!$B$7,0))</f>
        <v/>
      </c>
      <c r="K175" s="12">
        <f>IF(A175="","",H175*Rates!$B$9)</f>
        <v/>
      </c>
      <c r="L175" s="12">
        <f>IF(A175="","",IF(D175&lt;=Rates!$B$11,H175*Rates!$B$10,0))</f>
        <v/>
      </c>
      <c r="M175" s="12">
        <f>IF(A175="","",Rates!$B$12/12)</f>
        <v/>
      </c>
      <c r="N175" s="12">
        <f>IF(A175="","",D175+I175+J175+K175+L175+M175)</f>
        <v/>
      </c>
      <c r="O175" s="13">
        <f>IF(A175="","",MAX(0,MIN(12,IF(G175="",12,G175))-MAX(1,F175)+1))</f>
        <v/>
      </c>
      <c r="P175" s="12">
        <f>IF(A175="","",N175*O175)</f>
        <v/>
      </c>
      <c r="Q175" s="12">
        <f>IF(A175="","",0.12*IF(Rates!$B$6=1,MIN(H175,Rates!$B$5),H175))</f>
        <v/>
      </c>
      <c r="R175" s="12">
        <f>IF(A175="","",IF(D175&lt;=Rates!$B$8,D175*0.0075,0))</f>
        <v/>
      </c>
    </row>
    <row r="176">
      <c r="A176" s="10" t="n"/>
      <c r="B176" s="10" t="n"/>
      <c r="C176" s="10" t="n"/>
      <c r="D176" s="8" t="n"/>
      <c r="E176" s="11" t="n"/>
      <c r="F176" s="9" t="n"/>
      <c r="G176" s="9" t="n"/>
      <c r="H176" s="12">
        <f>IF(A176="","",D176*E176)</f>
        <v/>
      </c>
      <c r="I176" s="12">
        <f>IF(A176="","",IF(Rates!$B$6=1,MIN(H176,Rates!$B$5),H176)*(Rates!$B$4+Rates!$B$13))</f>
        <v/>
      </c>
      <c r="J176" s="12">
        <f>IF(A176="","",IF(D176&lt;=Rates!$B$8,D176*Rates!$B$7,0))</f>
        <v/>
      </c>
      <c r="K176" s="12">
        <f>IF(A176="","",H176*Rates!$B$9)</f>
        <v/>
      </c>
      <c r="L176" s="12">
        <f>IF(A176="","",IF(D176&lt;=Rates!$B$11,H176*Rates!$B$10,0))</f>
        <v/>
      </c>
      <c r="M176" s="12">
        <f>IF(A176="","",Rates!$B$12/12)</f>
        <v/>
      </c>
      <c r="N176" s="12">
        <f>IF(A176="","",D176+I176+J176+K176+L176+M176)</f>
        <v/>
      </c>
      <c r="O176" s="13">
        <f>IF(A176="","",MAX(0,MIN(12,IF(G176="",12,G176))-MAX(1,F176)+1))</f>
        <v/>
      </c>
      <c r="P176" s="12">
        <f>IF(A176="","",N176*O176)</f>
        <v/>
      </c>
      <c r="Q176" s="12">
        <f>IF(A176="","",0.12*IF(Rates!$B$6=1,MIN(H176,Rates!$B$5),H176))</f>
        <v/>
      </c>
      <c r="R176" s="12">
        <f>IF(A176="","",IF(D176&lt;=Rates!$B$8,D176*0.0075,0))</f>
        <v/>
      </c>
    </row>
    <row r="177">
      <c r="A177" s="10" t="n"/>
      <c r="B177" s="10" t="n"/>
      <c r="C177" s="10" t="n"/>
      <c r="D177" s="8" t="n"/>
      <c r="E177" s="11" t="n"/>
      <c r="F177" s="9" t="n"/>
      <c r="G177" s="9" t="n"/>
      <c r="H177" s="12">
        <f>IF(A177="","",D177*E177)</f>
        <v/>
      </c>
      <c r="I177" s="12">
        <f>IF(A177="","",IF(Rates!$B$6=1,MIN(H177,Rates!$B$5),H177)*(Rates!$B$4+Rates!$B$13))</f>
        <v/>
      </c>
      <c r="J177" s="12">
        <f>IF(A177="","",IF(D177&lt;=Rates!$B$8,D177*Rates!$B$7,0))</f>
        <v/>
      </c>
      <c r="K177" s="12">
        <f>IF(A177="","",H177*Rates!$B$9)</f>
        <v/>
      </c>
      <c r="L177" s="12">
        <f>IF(A177="","",IF(D177&lt;=Rates!$B$11,H177*Rates!$B$10,0))</f>
        <v/>
      </c>
      <c r="M177" s="12">
        <f>IF(A177="","",Rates!$B$12/12)</f>
        <v/>
      </c>
      <c r="N177" s="12">
        <f>IF(A177="","",D177+I177+J177+K177+L177+M177)</f>
        <v/>
      </c>
      <c r="O177" s="13">
        <f>IF(A177="","",MAX(0,MIN(12,IF(G177="",12,G177))-MAX(1,F177)+1))</f>
        <v/>
      </c>
      <c r="P177" s="12">
        <f>IF(A177="","",N177*O177)</f>
        <v/>
      </c>
      <c r="Q177" s="12">
        <f>IF(A177="","",0.12*IF(Rates!$B$6=1,MIN(H177,Rates!$B$5),H177))</f>
        <v/>
      </c>
      <c r="R177" s="12">
        <f>IF(A177="","",IF(D177&lt;=Rates!$B$8,D177*0.0075,0))</f>
        <v/>
      </c>
    </row>
    <row r="178">
      <c r="A178" s="10" t="n"/>
      <c r="B178" s="10" t="n"/>
      <c r="C178" s="10" t="n"/>
      <c r="D178" s="8" t="n"/>
      <c r="E178" s="11" t="n"/>
      <c r="F178" s="9" t="n"/>
      <c r="G178" s="9" t="n"/>
      <c r="H178" s="12">
        <f>IF(A178="","",D178*E178)</f>
        <v/>
      </c>
      <c r="I178" s="12">
        <f>IF(A178="","",IF(Rates!$B$6=1,MIN(H178,Rates!$B$5),H178)*(Rates!$B$4+Rates!$B$13))</f>
        <v/>
      </c>
      <c r="J178" s="12">
        <f>IF(A178="","",IF(D178&lt;=Rates!$B$8,D178*Rates!$B$7,0))</f>
        <v/>
      </c>
      <c r="K178" s="12">
        <f>IF(A178="","",H178*Rates!$B$9)</f>
        <v/>
      </c>
      <c r="L178" s="12">
        <f>IF(A178="","",IF(D178&lt;=Rates!$B$11,H178*Rates!$B$10,0))</f>
        <v/>
      </c>
      <c r="M178" s="12">
        <f>IF(A178="","",Rates!$B$12/12)</f>
        <v/>
      </c>
      <c r="N178" s="12">
        <f>IF(A178="","",D178+I178+J178+K178+L178+M178)</f>
        <v/>
      </c>
      <c r="O178" s="13">
        <f>IF(A178="","",MAX(0,MIN(12,IF(G178="",12,G178))-MAX(1,F178)+1))</f>
        <v/>
      </c>
      <c r="P178" s="12">
        <f>IF(A178="","",N178*O178)</f>
        <v/>
      </c>
      <c r="Q178" s="12">
        <f>IF(A178="","",0.12*IF(Rates!$B$6=1,MIN(H178,Rates!$B$5),H178))</f>
        <v/>
      </c>
      <c r="R178" s="12">
        <f>IF(A178="","",IF(D178&lt;=Rates!$B$8,D178*0.0075,0))</f>
        <v/>
      </c>
    </row>
    <row r="179">
      <c r="A179" s="10" t="n"/>
      <c r="B179" s="10" t="n"/>
      <c r="C179" s="10" t="n"/>
      <c r="D179" s="8" t="n"/>
      <c r="E179" s="11" t="n"/>
      <c r="F179" s="9" t="n"/>
      <c r="G179" s="9" t="n"/>
      <c r="H179" s="12">
        <f>IF(A179="","",D179*E179)</f>
        <v/>
      </c>
      <c r="I179" s="12">
        <f>IF(A179="","",IF(Rates!$B$6=1,MIN(H179,Rates!$B$5),H179)*(Rates!$B$4+Rates!$B$13))</f>
        <v/>
      </c>
      <c r="J179" s="12">
        <f>IF(A179="","",IF(D179&lt;=Rates!$B$8,D179*Rates!$B$7,0))</f>
        <v/>
      </c>
      <c r="K179" s="12">
        <f>IF(A179="","",H179*Rates!$B$9)</f>
        <v/>
      </c>
      <c r="L179" s="12">
        <f>IF(A179="","",IF(D179&lt;=Rates!$B$11,H179*Rates!$B$10,0))</f>
        <v/>
      </c>
      <c r="M179" s="12">
        <f>IF(A179="","",Rates!$B$12/12)</f>
        <v/>
      </c>
      <c r="N179" s="12">
        <f>IF(A179="","",D179+I179+J179+K179+L179+M179)</f>
        <v/>
      </c>
      <c r="O179" s="13">
        <f>IF(A179="","",MAX(0,MIN(12,IF(G179="",12,G179))-MAX(1,F179)+1))</f>
        <v/>
      </c>
      <c r="P179" s="12">
        <f>IF(A179="","",N179*O179)</f>
        <v/>
      </c>
      <c r="Q179" s="12">
        <f>IF(A179="","",0.12*IF(Rates!$B$6=1,MIN(H179,Rates!$B$5),H179))</f>
        <v/>
      </c>
      <c r="R179" s="12">
        <f>IF(A179="","",IF(D179&lt;=Rates!$B$8,D179*0.0075,0))</f>
        <v/>
      </c>
    </row>
    <row r="180">
      <c r="A180" s="10" t="n"/>
      <c r="B180" s="10" t="n"/>
      <c r="C180" s="10" t="n"/>
      <c r="D180" s="8" t="n"/>
      <c r="E180" s="11" t="n"/>
      <c r="F180" s="9" t="n"/>
      <c r="G180" s="9" t="n"/>
      <c r="H180" s="12">
        <f>IF(A180="","",D180*E180)</f>
        <v/>
      </c>
      <c r="I180" s="12">
        <f>IF(A180="","",IF(Rates!$B$6=1,MIN(H180,Rates!$B$5),H180)*(Rates!$B$4+Rates!$B$13))</f>
        <v/>
      </c>
      <c r="J180" s="12">
        <f>IF(A180="","",IF(D180&lt;=Rates!$B$8,D180*Rates!$B$7,0))</f>
        <v/>
      </c>
      <c r="K180" s="12">
        <f>IF(A180="","",H180*Rates!$B$9)</f>
        <v/>
      </c>
      <c r="L180" s="12">
        <f>IF(A180="","",IF(D180&lt;=Rates!$B$11,H180*Rates!$B$10,0))</f>
        <v/>
      </c>
      <c r="M180" s="12">
        <f>IF(A180="","",Rates!$B$12/12)</f>
        <v/>
      </c>
      <c r="N180" s="12">
        <f>IF(A180="","",D180+I180+J180+K180+L180+M180)</f>
        <v/>
      </c>
      <c r="O180" s="13">
        <f>IF(A180="","",MAX(0,MIN(12,IF(G180="",12,G180))-MAX(1,F180)+1))</f>
        <v/>
      </c>
      <c r="P180" s="12">
        <f>IF(A180="","",N180*O180)</f>
        <v/>
      </c>
      <c r="Q180" s="12">
        <f>IF(A180="","",0.12*IF(Rates!$B$6=1,MIN(H180,Rates!$B$5),H180))</f>
        <v/>
      </c>
      <c r="R180" s="12">
        <f>IF(A180="","",IF(D180&lt;=Rates!$B$8,D180*0.0075,0))</f>
        <v/>
      </c>
    </row>
    <row r="181">
      <c r="A181" s="10" t="n"/>
      <c r="B181" s="10" t="n"/>
      <c r="C181" s="10" t="n"/>
      <c r="D181" s="8" t="n"/>
      <c r="E181" s="11" t="n"/>
      <c r="F181" s="9" t="n"/>
      <c r="G181" s="9" t="n"/>
      <c r="H181" s="12">
        <f>IF(A181="","",D181*E181)</f>
        <v/>
      </c>
      <c r="I181" s="12">
        <f>IF(A181="","",IF(Rates!$B$6=1,MIN(H181,Rates!$B$5),H181)*(Rates!$B$4+Rates!$B$13))</f>
        <v/>
      </c>
      <c r="J181" s="12">
        <f>IF(A181="","",IF(D181&lt;=Rates!$B$8,D181*Rates!$B$7,0))</f>
        <v/>
      </c>
      <c r="K181" s="12">
        <f>IF(A181="","",H181*Rates!$B$9)</f>
        <v/>
      </c>
      <c r="L181" s="12">
        <f>IF(A181="","",IF(D181&lt;=Rates!$B$11,H181*Rates!$B$10,0))</f>
        <v/>
      </c>
      <c r="M181" s="12">
        <f>IF(A181="","",Rates!$B$12/12)</f>
        <v/>
      </c>
      <c r="N181" s="12">
        <f>IF(A181="","",D181+I181+J181+K181+L181+M181)</f>
        <v/>
      </c>
      <c r="O181" s="13">
        <f>IF(A181="","",MAX(0,MIN(12,IF(G181="",12,G181))-MAX(1,F181)+1))</f>
        <v/>
      </c>
      <c r="P181" s="12">
        <f>IF(A181="","",N181*O181)</f>
        <v/>
      </c>
      <c r="Q181" s="12">
        <f>IF(A181="","",0.12*IF(Rates!$B$6=1,MIN(H181,Rates!$B$5),H181))</f>
        <v/>
      </c>
      <c r="R181" s="12">
        <f>IF(A181="","",IF(D181&lt;=Rates!$B$8,D181*0.0075,0))</f>
        <v/>
      </c>
    </row>
    <row r="182">
      <c r="A182" s="10" t="n"/>
      <c r="B182" s="10" t="n"/>
      <c r="C182" s="10" t="n"/>
      <c r="D182" s="8" t="n"/>
      <c r="E182" s="11" t="n"/>
      <c r="F182" s="9" t="n"/>
      <c r="G182" s="9" t="n"/>
      <c r="H182" s="12">
        <f>IF(A182="","",D182*E182)</f>
        <v/>
      </c>
      <c r="I182" s="12">
        <f>IF(A182="","",IF(Rates!$B$6=1,MIN(H182,Rates!$B$5),H182)*(Rates!$B$4+Rates!$B$13))</f>
        <v/>
      </c>
      <c r="J182" s="12">
        <f>IF(A182="","",IF(D182&lt;=Rates!$B$8,D182*Rates!$B$7,0))</f>
        <v/>
      </c>
      <c r="K182" s="12">
        <f>IF(A182="","",H182*Rates!$B$9)</f>
        <v/>
      </c>
      <c r="L182" s="12">
        <f>IF(A182="","",IF(D182&lt;=Rates!$B$11,H182*Rates!$B$10,0))</f>
        <v/>
      </c>
      <c r="M182" s="12">
        <f>IF(A182="","",Rates!$B$12/12)</f>
        <v/>
      </c>
      <c r="N182" s="12">
        <f>IF(A182="","",D182+I182+J182+K182+L182+M182)</f>
        <v/>
      </c>
      <c r="O182" s="13">
        <f>IF(A182="","",MAX(0,MIN(12,IF(G182="",12,G182))-MAX(1,F182)+1))</f>
        <v/>
      </c>
      <c r="P182" s="12">
        <f>IF(A182="","",N182*O182)</f>
        <v/>
      </c>
      <c r="Q182" s="12">
        <f>IF(A182="","",0.12*IF(Rates!$B$6=1,MIN(H182,Rates!$B$5),H182))</f>
        <v/>
      </c>
      <c r="R182" s="12">
        <f>IF(A182="","",IF(D182&lt;=Rates!$B$8,D182*0.0075,0))</f>
        <v/>
      </c>
    </row>
    <row r="183">
      <c r="A183" s="10" t="n"/>
      <c r="B183" s="10" t="n"/>
      <c r="C183" s="10" t="n"/>
      <c r="D183" s="8" t="n"/>
      <c r="E183" s="11" t="n"/>
      <c r="F183" s="9" t="n"/>
      <c r="G183" s="9" t="n"/>
      <c r="H183" s="12">
        <f>IF(A183="","",D183*E183)</f>
        <v/>
      </c>
      <c r="I183" s="12">
        <f>IF(A183="","",IF(Rates!$B$6=1,MIN(H183,Rates!$B$5),H183)*(Rates!$B$4+Rates!$B$13))</f>
        <v/>
      </c>
      <c r="J183" s="12">
        <f>IF(A183="","",IF(D183&lt;=Rates!$B$8,D183*Rates!$B$7,0))</f>
        <v/>
      </c>
      <c r="K183" s="12">
        <f>IF(A183="","",H183*Rates!$B$9)</f>
        <v/>
      </c>
      <c r="L183" s="12">
        <f>IF(A183="","",IF(D183&lt;=Rates!$B$11,H183*Rates!$B$10,0))</f>
        <v/>
      </c>
      <c r="M183" s="12">
        <f>IF(A183="","",Rates!$B$12/12)</f>
        <v/>
      </c>
      <c r="N183" s="12">
        <f>IF(A183="","",D183+I183+J183+K183+L183+M183)</f>
        <v/>
      </c>
      <c r="O183" s="13">
        <f>IF(A183="","",MAX(0,MIN(12,IF(G183="",12,G183))-MAX(1,F183)+1))</f>
        <v/>
      </c>
      <c r="P183" s="12">
        <f>IF(A183="","",N183*O183)</f>
        <v/>
      </c>
      <c r="Q183" s="12">
        <f>IF(A183="","",0.12*IF(Rates!$B$6=1,MIN(H183,Rates!$B$5),H183))</f>
        <v/>
      </c>
      <c r="R183" s="12">
        <f>IF(A183="","",IF(D183&lt;=Rates!$B$8,D183*0.0075,0))</f>
        <v/>
      </c>
    </row>
    <row r="184">
      <c r="A184" s="10" t="n"/>
      <c r="B184" s="10" t="n"/>
      <c r="C184" s="10" t="n"/>
      <c r="D184" s="8" t="n"/>
      <c r="E184" s="11" t="n"/>
      <c r="F184" s="9" t="n"/>
      <c r="G184" s="9" t="n"/>
      <c r="H184" s="12">
        <f>IF(A184="","",D184*E184)</f>
        <v/>
      </c>
      <c r="I184" s="12">
        <f>IF(A184="","",IF(Rates!$B$6=1,MIN(H184,Rates!$B$5),H184)*(Rates!$B$4+Rates!$B$13))</f>
        <v/>
      </c>
      <c r="J184" s="12">
        <f>IF(A184="","",IF(D184&lt;=Rates!$B$8,D184*Rates!$B$7,0))</f>
        <v/>
      </c>
      <c r="K184" s="12">
        <f>IF(A184="","",H184*Rates!$B$9)</f>
        <v/>
      </c>
      <c r="L184" s="12">
        <f>IF(A184="","",IF(D184&lt;=Rates!$B$11,H184*Rates!$B$10,0))</f>
        <v/>
      </c>
      <c r="M184" s="12">
        <f>IF(A184="","",Rates!$B$12/12)</f>
        <v/>
      </c>
      <c r="N184" s="12">
        <f>IF(A184="","",D184+I184+J184+K184+L184+M184)</f>
        <v/>
      </c>
      <c r="O184" s="13">
        <f>IF(A184="","",MAX(0,MIN(12,IF(G184="",12,G184))-MAX(1,F184)+1))</f>
        <v/>
      </c>
      <c r="P184" s="12">
        <f>IF(A184="","",N184*O184)</f>
        <v/>
      </c>
      <c r="Q184" s="12">
        <f>IF(A184="","",0.12*IF(Rates!$B$6=1,MIN(H184,Rates!$B$5),H184))</f>
        <v/>
      </c>
      <c r="R184" s="12">
        <f>IF(A184="","",IF(D184&lt;=Rates!$B$8,D184*0.0075,0))</f>
        <v/>
      </c>
    </row>
    <row r="185">
      <c r="A185" s="10" t="n"/>
      <c r="B185" s="10" t="n"/>
      <c r="C185" s="10" t="n"/>
      <c r="D185" s="8" t="n"/>
      <c r="E185" s="11" t="n"/>
      <c r="F185" s="9" t="n"/>
      <c r="G185" s="9" t="n"/>
      <c r="H185" s="12">
        <f>IF(A185="","",D185*E185)</f>
        <v/>
      </c>
      <c r="I185" s="12">
        <f>IF(A185="","",IF(Rates!$B$6=1,MIN(H185,Rates!$B$5),H185)*(Rates!$B$4+Rates!$B$13))</f>
        <v/>
      </c>
      <c r="J185" s="12">
        <f>IF(A185="","",IF(D185&lt;=Rates!$B$8,D185*Rates!$B$7,0))</f>
        <v/>
      </c>
      <c r="K185" s="12">
        <f>IF(A185="","",H185*Rates!$B$9)</f>
        <v/>
      </c>
      <c r="L185" s="12">
        <f>IF(A185="","",IF(D185&lt;=Rates!$B$11,H185*Rates!$B$10,0))</f>
        <v/>
      </c>
      <c r="M185" s="12">
        <f>IF(A185="","",Rates!$B$12/12)</f>
        <v/>
      </c>
      <c r="N185" s="12">
        <f>IF(A185="","",D185+I185+J185+K185+L185+M185)</f>
        <v/>
      </c>
      <c r="O185" s="13">
        <f>IF(A185="","",MAX(0,MIN(12,IF(G185="",12,G185))-MAX(1,F185)+1))</f>
        <v/>
      </c>
      <c r="P185" s="12">
        <f>IF(A185="","",N185*O185)</f>
        <v/>
      </c>
      <c r="Q185" s="12">
        <f>IF(A185="","",0.12*IF(Rates!$B$6=1,MIN(H185,Rates!$B$5),H185))</f>
        <v/>
      </c>
      <c r="R185" s="12">
        <f>IF(A185="","",IF(D185&lt;=Rates!$B$8,D185*0.0075,0))</f>
        <v/>
      </c>
    </row>
    <row r="186">
      <c r="A186" s="10" t="n"/>
      <c r="B186" s="10" t="n"/>
      <c r="C186" s="10" t="n"/>
      <c r="D186" s="8" t="n"/>
      <c r="E186" s="11" t="n"/>
      <c r="F186" s="9" t="n"/>
      <c r="G186" s="9" t="n"/>
      <c r="H186" s="12">
        <f>IF(A186="","",D186*E186)</f>
        <v/>
      </c>
      <c r="I186" s="12">
        <f>IF(A186="","",IF(Rates!$B$6=1,MIN(H186,Rates!$B$5),H186)*(Rates!$B$4+Rates!$B$13))</f>
        <v/>
      </c>
      <c r="J186" s="12">
        <f>IF(A186="","",IF(D186&lt;=Rates!$B$8,D186*Rates!$B$7,0))</f>
        <v/>
      </c>
      <c r="K186" s="12">
        <f>IF(A186="","",H186*Rates!$B$9)</f>
        <v/>
      </c>
      <c r="L186" s="12">
        <f>IF(A186="","",IF(D186&lt;=Rates!$B$11,H186*Rates!$B$10,0))</f>
        <v/>
      </c>
      <c r="M186" s="12">
        <f>IF(A186="","",Rates!$B$12/12)</f>
        <v/>
      </c>
      <c r="N186" s="12">
        <f>IF(A186="","",D186+I186+J186+K186+L186+M186)</f>
        <v/>
      </c>
      <c r="O186" s="13">
        <f>IF(A186="","",MAX(0,MIN(12,IF(G186="",12,G186))-MAX(1,F186)+1))</f>
        <v/>
      </c>
      <c r="P186" s="12">
        <f>IF(A186="","",N186*O186)</f>
        <v/>
      </c>
      <c r="Q186" s="12">
        <f>IF(A186="","",0.12*IF(Rates!$B$6=1,MIN(H186,Rates!$B$5),H186))</f>
        <v/>
      </c>
      <c r="R186" s="12">
        <f>IF(A186="","",IF(D186&lt;=Rates!$B$8,D186*0.0075,0))</f>
        <v/>
      </c>
    </row>
    <row r="187">
      <c r="A187" s="10" t="n"/>
      <c r="B187" s="10" t="n"/>
      <c r="C187" s="10" t="n"/>
      <c r="D187" s="8" t="n"/>
      <c r="E187" s="11" t="n"/>
      <c r="F187" s="9" t="n"/>
      <c r="G187" s="9" t="n"/>
      <c r="H187" s="12">
        <f>IF(A187="","",D187*E187)</f>
        <v/>
      </c>
      <c r="I187" s="12">
        <f>IF(A187="","",IF(Rates!$B$6=1,MIN(H187,Rates!$B$5),H187)*(Rates!$B$4+Rates!$B$13))</f>
        <v/>
      </c>
      <c r="J187" s="12">
        <f>IF(A187="","",IF(D187&lt;=Rates!$B$8,D187*Rates!$B$7,0))</f>
        <v/>
      </c>
      <c r="K187" s="12">
        <f>IF(A187="","",H187*Rates!$B$9)</f>
        <v/>
      </c>
      <c r="L187" s="12">
        <f>IF(A187="","",IF(D187&lt;=Rates!$B$11,H187*Rates!$B$10,0))</f>
        <v/>
      </c>
      <c r="M187" s="12">
        <f>IF(A187="","",Rates!$B$12/12)</f>
        <v/>
      </c>
      <c r="N187" s="12">
        <f>IF(A187="","",D187+I187+J187+K187+L187+M187)</f>
        <v/>
      </c>
      <c r="O187" s="13">
        <f>IF(A187="","",MAX(0,MIN(12,IF(G187="",12,G187))-MAX(1,F187)+1))</f>
        <v/>
      </c>
      <c r="P187" s="12">
        <f>IF(A187="","",N187*O187)</f>
        <v/>
      </c>
      <c r="Q187" s="12">
        <f>IF(A187="","",0.12*IF(Rates!$B$6=1,MIN(H187,Rates!$B$5),H187))</f>
        <v/>
      </c>
      <c r="R187" s="12">
        <f>IF(A187="","",IF(D187&lt;=Rates!$B$8,D187*0.0075,0))</f>
        <v/>
      </c>
    </row>
    <row r="188">
      <c r="A188" s="10" t="n"/>
      <c r="B188" s="10" t="n"/>
      <c r="C188" s="10" t="n"/>
      <c r="D188" s="8" t="n"/>
      <c r="E188" s="11" t="n"/>
      <c r="F188" s="9" t="n"/>
      <c r="G188" s="9" t="n"/>
      <c r="H188" s="12">
        <f>IF(A188="","",D188*E188)</f>
        <v/>
      </c>
      <c r="I188" s="12">
        <f>IF(A188="","",IF(Rates!$B$6=1,MIN(H188,Rates!$B$5),H188)*(Rates!$B$4+Rates!$B$13))</f>
        <v/>
      </c>
      <c r="J188" s="12">
        <f>IF(A188="","",IF(D188&lt;=Rates!$B$8,D188*Rates!$B$7,0))</f>
        <v/>
      </c>
      <c r="K188" s="12">
        <f>IF(A188="","",H188*Rates!$B$9)</f>
        <v/>
      </c>
      <c r="L188" s="12">
        <f>IF(A188="","",IF(D188&lt;=Rates!$B$11,H188*Rates!$B$10,0))</f>
        <v/>
      </c>
      <c r="M188" s="12">
        <f>IF(A188="","",Rates!$B$12/12)</f>
        <v/>
      </c>
      <c r="N188" s="12">
        <f>IF(A188="","",D188+I188+J188+K188+L188+M188)</f>
        <v/>
      </c>
      <c r="O188" s="13">
        <f>IF(A188="","",MAX(0,MIN(12,IF(G188="",12,G188))-MAX(1,F188)+1))</f>
        <v/>
      </c>
      <c r="P188" s="12">
        <f>IF(A188="","",N188*O188)</f>
        <v/>
      </c>
      <c r="Q188" s="12">
        <f>IF(A188="","",0.12*IF(Rates!$B$6=1,MIN(H188,Rates!$B$5),H188))</f>
        <v/>
      </c>
      <c r="R188" s="12">
        <f>IF(A188="","",IF(D188&lt;=Rates!$B$8,D188*0.0075,0))</f>
        <v/>
      </c>
    </row>
    <row r="189">
      <c r="A189" s="10" t="n"/>
      <c r="B189" s="10" t="n"/>
      <c r="C189" s="10" t="n"/>
      <c r="D189" s="8" t="n"/>
      <c r="E189" s="11" t="n"/>
      <c r="F189" s="9" t="n"/>
      <c r="G189" s="9" t="n"/>
      <c r="H189" s="12">
        <f>IF(A189="","",D189*E189)</f>
        <v/>
      </c>
      <c r="I189" s="12">
        <f>IF(A189="","",IF(Rates!$B$6=1,MIN(H189,Rates!$B$5),H189)*(Rates!$B$4+Rates!$B$13))</f>
        <v/>
      </c>
      <c r="J189" s="12">
        <f>IF(A189="","",IF(D189&lt;=Rates!$B$8,D189*Rates!$B$7,0))</f>
        <v/>
      </c>
      <c r="K189" s="12">
        <f>IF(A189="","",H189*Rates!$B$9)</f>
        <v/>
      </c>
      <c r="L189" s="12">
        <f>IF(A189="","",IF(D189&lt;=Rates!$B$11,H189*Rates!$B$10,0))</f>
        <v/>
      </c>
      <c r="M189" s="12">
        <f>IF(A189="","",Rates!$B$12/12)</f>
        <v/>
      </c>
      <c r="N189" s="12">
        <f>IF(A189="","",D189+I189+J189+K189+L189+M189)</f>
        <v/>
      </c>
      <c r="O189" s="13">
        <f>IF(A189="","",MAX(0,MIN(12,IF(G189="",12,G189))-MAX(1,F189)+1))</f>
        <v/>
      </c>
      <c r="P189" s="12">
        <f>IF(A189="","",N189*O189)</f>
        <v/>
      </c>
      <c r="Q189" s="12">
        <f>IF(A189="","",0.12*IF(Rates!$B$6=1,MIN(H189,Rates!$B$5),H189))</f>
        <v/>
      </c>
      <c r="R189" s="12">
        <f>IF(A189="","",IF(D189&lt;=Rates!$B$8,D189*0.0075,0))</f>
        <v/>
      </c>
    </row>
    <row r="190">
      <c r="A190" s="10" t="n"/>
      <c r="B190" s="10" t="n"/>
      <c r="C190" s="10" t="n"/>
      <c r="D190" s="8" t="n"/>
      <c r="E190" s="11" t="n"/>
      <c r="F190" s="9" t="n"/>
      <c r="G190" s="9" t="n"/>
      <c r="H190" s="12">
        <f>IF(A190="","",D190*E190)</f>
        <v/>
      </c>
      <c r="I190" s="12">
        <f>IF(A190="","",IF(Rates!$B$6=1,MIN(H190,Rates!$B$5),H190)*(Rates!$B$4+Rates!$B$13))</f>
        <v/>
      </c>
      <c r="J190" s="12">
        <f>IF(A190="","",IF(D190&lt;=Rates!$B$8,D190*Rates!$B$7,0))</f>
        <v/>
      </c>
      <c r="K190" s="12">
        <f>IF(A190="","",H190*Rates!$B$9)</f>
        <v/>
      </c>
      <c r="L190" s="12">
        <f>IF(A190="","",IF(D190&lt;=Rates!$B$11,H190*Rates!$B$10,0))</f>
        <v/>
      </c>
      <c r="M190" s="12">
        <f>IF(A190="","",Rates!$B$12/12)</f>
        <v/>
      </c>
      <c r="N190" s="12">
        <f>IF(A190="","",D190+I190+J190+K190+L190+M190)</f>
        <v/>
      </c>
      <c r="O190" s="13">
        <f>IF(A190="","",MAX(0,MIN(12,IF(G190="",12,G190))-MAX(1,F190)+1))</f>
        <v/>
      </c>
      <c r="P190" s="12">
        <f>IF(A190="","",N190*O190)</f>
        <v/>
      </c>
      <c r="Q190" s="12">
        <f>IF(A190="","",0.12*IF(Rates!$B$6=1,MIN(H190,Rates!$B$5),H190))</f>
        <v/>
      </c>
      <c r="R190" s="12">
        <f>IF(A190="","",IF(D190&lt;=Rates!$B$8,D190*0.0075,0))</f>
        <v/>
      </c>
    </row>
    <row r="191">
      <c r="A191" s="10" t="n"/>
      <c r="B191" s="10" t="n"/>
      <c r="C191" s="10" t="n"/>
      <c r="D191" s="8" t="n"/>
      <c r="E191" s="11" t="n"/>
      <c r="F191" s="9" t="n"/>
      <c r="G191" s="9" t="n"/>
      <c r="H191" s="12">
        <f>IF(A191="","",D191*E191)</f>
        <v/>
      </c>
      <c r="I191" s="12">
        <f>IF(A191="","",IF(Rates!$B$6=1,MIN(H191,Rates!$B$5),H191)*(Rates!$B$4+Rates!$B$13))</f>
        <v/>
      </c>
      <c r="J191" s="12">
        <f>IF(A191="","",IF(D191&lt;=Rates!$B$8,D191*Rates!$B$7,0))</f>
        <v/>
      </c>
      <c r="K191" s="12">
        <f>IF(A191="","",H191*Rates!$B$9)</f>
        <v/>
      </c>
      <c r="L191" s="12">
        <f>IF(A191="","",IF(D191&lt;=Rates!$B$11,H191*Rates!$B$10,0))</f>
        <v/>
      </c>
      <c r="M191" s="12">
        <f>IF(A191="","",Rates!$B$12/12)</f>
        <v/>
      </c>
      <c r="N191" s="12">
        <f>IF(A191="","",D191+I191+J191+K191+L191+M191)</f>
        <v/>
      </c>
      <c r="O191" s="13">
        <f>IF(A191="","",MAX(0,MIN(12,IF(G191="",12,G191))-MAX(1,F191)+1))</f>
        <v/>
      </c>
      <c r="P191" s="12">
        <f>IF(A191="","",N191*O191)</f>
        <v/>
      </c>
      <c r="Q191" s="12">
        <f>IF(A191="","",0.12*IF(Rates!$B$6=1,MIN(H191,Rates!$B$5),H191))</f>
        <v/>
      </c>
      <c r="R191" s="12">
        <f>IF(A191="","",IF(D191&lt;=Rates!$B$8,D191*0.0075,0))</f>
        <v/>
      </c>
    </row>
    <row r="192">
      <c r="A192" s="10" t="n"/>
      <c r="B192" s="10" t="n"/>
      <c r="C192" s="10" t="n"/>
      <c r="D192" s="8" t="n"/>
      <c r="E192" s="11" t="n"/>
      <c r="F192" s="9" t="n"/>
      <c r="G192" s="9" t="n"/>
      <c r="H192" s="12">
        <f>IF(A192="","",D192*E192)</f>
        <v/>
      </c>
      <c r="I192" s="12">
        <f>IF(A192="","",IF(Rates!$B$6=1,MIN(H192,Rates!$B$5),H192)*(Rates!$B$4+Rates!$B$13))</f>
        <v/>
      </c>
      <c r="J192" s="12">
        <f>IF(A192="","",IF(D192&lt;=Rates!$B$8,D192*Rates!$B$7,0))</f>
        <v/>
      </c>
      <c r="K192" s="12">
        <f>IF(A192="","",H192*Rates!$B$9)</f>
        <v/>
      </c>
      <c r="L192" s="12">
        <f>IF(A192="","",IF(D192&lt;=Rates!$B$11,H192*Rates!$B$10,0))</f>
        <v/>
      </c>
      <c r="M192" s="12">
        <f>IF(A192="","",Rates!$B$12/12)</f>
        <v/>
      </c>
      <c r="N192" s="12">
        <f>IF(A192="","",D192+I192+J192+K192+L192+M192)</f>
        <v/>
      </c>
      <c r="O192" s="13">
        <f>IF(A192="","",MAX(0,MIN(12,IF(G192="",12,G192))-MAX(1,F192)+1))</f>
        <v/>
      </c>
      <c r="P192" s="12">
        <f>IF(A192="","",N192*O192)</f>
        <v/>
      </c>
      <c r="Q192" s="12">
        <f>IF(A192="","",0.12*IF(Rates!$B$6=1,MIN(H192,Rates!$B$5),H192))</f>
        <v/>
      </c>
      <c r="R192" s="12">
        <f>IF(A192="","",IF(D192&lt;=Rates!$B$8,D192*0.0075,0))</f>
        <v/>
      </c>
    </row>
    <row r="193">
      <c r="A193" s="10" t="n"/>
      <c r="B193" s="10" t="n"/>
      <c r="C193" s="10" t="n"/>
      <c r="D193" s="8" t="n"/>
      <c r="E193" s="11" t="n"/>
      <c r="F193" s="9" t="n"/>
      <c r="G193" s="9" t="n"/>
      <c r="H193" s="12">
        <f>IF(A193="","",D193*E193)</f>
        <v/>
      </c>
      <c r="I193" s="12">
        <f>IF(A193="","",IF(Rates!$B$6=1,MIN(H193,Rates!$B$5),H193)*(Rates!$B$4+Rates!$B$13))</f>
        <v/>
      </c>
      <c r="J193" s="12">
        <f>IF(A193="","",IF(D193&lt;=Rates!$B$8,D193*Rates!$B$7,0))</f>
        <v/>
      </c>
      <c r="K193" s="12">
        <f>IF(A193="","",H193*Rates!$B$9)</f>
        <v/>
      </c>
      <c r="L193" s="12">
        <f>IF(A193="","",IF(D193&lt;=Rates!$B$11,H193*Rates!$B$10,0))</f>
        <v/>
      </c>
      <c r="M193" s="12">
        <f>IF(A193="","",Rates!$B$12/12)</f>
        <v/>
      </c>
      <c r="N193" s="12">
        <f>IF(A193="","",D193+I193+J193+K193+L193+M193)</f>
        <v/>
      </c>
      <c r="O193" s="13">
        <f>IF(A193="","",MAX(0,MIN(12,IF(G193="",12,G193))-MAX(1,F193)+1))</f>
        <v/>
      </c>
      <c r="P193" s="12">
        <f>IF(A193="","",N193*O193)</f>
        <v/>
      </c>
      <c r="Q193" s="12">
        <f>IF(A193="","",0.12*IF(Rates!$B$6=1,MIN(H193,Rates!$B$5),H193))</f>
        <v/>
      </c>
      <c r="R193" s="12">
        <f>IF(A193="","",IF(D193&lt;=Rates!$B$8,D193*0.0075,0))</f>
        <v/>
      </c>
    </row>
    <row r="194">
      <c r="A194" s="10" t="n"/>
      <c r="B194" s="10" t="n"/>
      <c r="C194" s="10" t="n"/>
      <c r="D194" s="8" t="n"/>
      <c r="E194" s="11" t="n"/>
      <c r="F194" s="9" t="n"/>
      <c r="G194" s="9" t="n"/>
      <c r="H194" s="12">
        <f>IF(A194="","",D194*E194)</f>
        <v/>
      </c>
      <c r="I194" s="12">
        <f>IF(A194="","",IF(Rates!$B$6=1,MIN(H194,Rates!$B$5),H194)*(Rates!$B$4+Rates!$B$13))</f>
        <v/>
      </c>
      <c r="J194" s="12">
        <f>IF(A194="","",IF(D194&lt;=Rates!$B$8,D194*Rates!$B$7,0))</f>
        <v/>
      </c>
      <c r="K194" s="12">
        <f>IF(A194="","",H194*Rates!$B$9)</f>
        <v/>
      </c>
      <c r="L194" s="12">
        <f>IF(A194="","",IF(D194&lt;=Rates!$B$11,H194*Rates!$B$10,0))</f>
        <v/>
      </c>
      <c r="M194" s="12">
        <f>IF(A194="","",Rates!$B$12/12)</f>
        <v/>
      </c>
      <c r="N194" s="12">
        <f>IF(A194="","",D194+I194+J194+K194+L194+M194)</f>
        <v/>
      </c>
      <c r="O194" s="13">
        <f>IF(A194="","",MAX(0,MIN(12,IF(G194="",12,G194))-MAX(1,F194)+1))</f>
        <v/>
      </c>
      <c r="P194" s="12">
        <f>IF(A194="","",N194*O194)</f>
        <v/>
      </c>
      <c r="Q194" s="12">
        <f>IF(A194="","",0.12*IF(Rates!$B$6=1,MIN(H194,Rates!$B$5),H194))</f>
        <v/>
      </c>
      <c r="R194" s="12">
        <f>IF(A194="","",IF(D194&lt;=Rates!$B$8,D194*0.0075,0))</f>
        <v/>
      </c>
    </row>
    <row r="195">
      <c r="A195" s="10" t="n"/>
      <c r="B195" s="10" t="n"/>
      <c r="C195" s="10" t="n"/>
      <c r="D195" s="8" t="n"/>
      <c r="E195" s="11" t="n"/>
      <c r="F195" s="9" t="n"/>
      <c r="G195" s="9" t="n"/>
      <c r="H195" s="12">
        <f>IF(A195="","",D195*E195)</f>
        <v/>
      </c>
      <c r="I195" s="12">
        <f>IF(A195="","",IF(Rates!$B$6=1,MIN(H195,Rates!$B$5),H195)*(Rates!$B$4+Rates!$B$13))</f>
        <v/>
      </c>
      <c r="J195" s="12">
        <f>IF(A195="","",IF(D195&lt;=Rates!$B$8,D195*Rates!$B$7,0))</f>
        <v/>
      </c>
      <c r="K195" s="12">
        <f>IF(A195="","",H195*Rates!$B$9)</f>
        <v/>
      </c>
      <c r="L195" s="12">
        <f>IF(A195="","",IF(D195&lt;=Rates!$B$11,H195*Rates!$B$10,0))</f>
        <v/>
      </c>
      <c r="M195" s="12">
        <f>IF(A195="","",Rates!$B$12/12)</f>
        <v/>
      </c>
      <c r="N195" s="12">
        <f>IF(A195="","",D195+I195+J195+K195+L195+M195)</f>
        <v/>
      </c>
      <c r="O195" s="13">
        <f>IF(A195="","",MAX(0,MIN(12,IF(G195="",12,G195))-MAX(1,F195)+1))</f>
        <v/>
      </c>
      <c r="P195" s="12">
        <f>IF(A195="","",N195*O195)</f>
        <v/>
      </c>
      <c r="Q195" s="12">
        <f>IF(A195="","",0.12*IF(Rates!$B$6=1,MIN(H195,Rates!$B$5),H195))</f>
        <v/>
      </c>
      <c r="R195" s="12">
        <f>IF(A195="","",IF(D195&lt;=Rates!$B$8,D195*0.0075,0))</f>
        <v/>
      </c>
    </row>
    <row r="196">
      <c r="A196" s="10" t="n"/>
      <c r="B196" s="10" t="n"/>
      <c r="C196" s="10" t="n"/>
      <c r="D196" s="8" t="n"/>
      <c r="E196" s="11" t="n"/>
      <c r="F196" s="9" t="n"/>
      <c r="G196" s="9" t="n"/>
      <c r="H196" s="12">
        <f>IF(A196="","",D196*E196)</f>
        <v/>
      </c>
      <c r="I196" s="12">
        <f>IF(A196="","",IF(Rates!$B$6=1,MIN(H196,Rates!$B$5),H196)*(Rates!$B$4+Rates!$B$13))</f>
        <v/>
      </c>
      <c r="J196" s="12">
        <f>IF(A196="","",IF(D196&lt;=Rates!$B$8,D196*Rates!$B$7,0))</f>
        <v/>
      </c>
      <c r="K196" s="12">
        <f>IF(A196="","",H196*Rates!$B$9)</f>
        <v/>
      </c>
      <c r="L196" s="12">
        <f>IF(A196="","",IF(D196&lt;=Rates!$B$11,H196*Rates!$B$10,0))</f>
        <v/>
      </c>
      <c r="M196" s="12">
        <f>IF(A196="","",Rates!$B$12/12)</f>
        <v/>
      </c>
      <c r="N196" s="12">
        <f>IF(A196="","",D196+I196+J196+K196+L196+M196)</f>
        <v/>
      </c>
      <c r="O196" s="13">
        <f>IF(A196="","",MAX(0,MIN(12,IF(G196="",12,G196))-MAX(1,F196)+1))</f>
        <v/>
      </c>
      <c r="P196" s="12">
        <f>IF(A196="","",N196*O196)</f>
        <v/>
      </c>
      <c r="Q196" s="12">
        <f>IF(A196="","",0.12*IF(Rates!$B$6=1,MIN(H196,Rates!$B$5),H196))</f>
        <v/>
      </c>
      <c r="R196" s="12">
        <f>IF(A196="","",IF(D196&lt;=Rates!$B$8,D196*0.0075,0))</f>
        <v/>
      </c>
    </row>
    <row r="197">
      <c r="A197" s="10" t="n"/>
      <c r="B197" s="10" t="n"/>
      <c r="C197" s="10" t="n"/>
      <c r="D197" s="8" t="n"/>
      <c r="E197" s="11" t="n"/>
      <c r="F197" s="9" t="n"/>
      <c r="G197" s="9" t="n"/>
      <c r="H197" s="12">
        <f>IF(A197="","",D197*E197)</f>
        <v/>
      </c>
      <c r="I197" s="12">
        <f>IF(A197="","",IF(Rates!$B$6=1,MIN(H197,Rates!$B$5),H197)*(Rates!$B$4+Rates!$B$13))</f>
        <v/>
      </c>
      <c r="J197" s="12">
        <f>IF(A197="","",IF(D197&lt;=Rates!$B$8,D197*Rates!$B$7,0))</f>
        <v/>
      </c>
      <c r="K197" s="12">
        <f>IF(A197="","",H197*Rates!$B$9)</f>
        <v/>
      </c>
      <c r="L197" s="12">
        <f>IF(A197="","",IF(D197&lt;=Rates!$B$11,H197*Rates!$B$10,0))</f>
        <v/>
      </c>
      <c r="M197" s="12">
        <f>IF(A197="","",Rates!$B$12/12)</f>
        <v/>
      </c>
      <c r="N197" s="12">
        <f>IF(A197="","",D197+I197+J197+K197+L197+M197)</f>
        <v/>
      </c>
      <c r="O197" s="13">
        <f>IF(A197="","",MAX(0,MIN(12,IF(G197="",12,G197))-MAX(1,F197)+1))</f>
        <v/>
      </c>
      <c r="P197" s="12">
        <f>IF(A197="","",N197*O197)</f>
        <v/>
      </c>
      <c r="Q197" s="12">
        <f>IF(A197="","",0.12*IF(Rates!$B$6=1,MIN(H197,Rates!$B$5),H197))</f>
        <v/>
      </c>
      <c r="R197" s="12">
        <f>IF(A197="","",IF(D197&lt;=Rates!$B$8,D197*0.0075,0))</f>
        <v/>
      </c>
    </row>
    <row r="198">
      <c r="A198" s="10" t="n"/>
      <c r="B198" s="10" t="n"/>
      <c r="C198" s="10" t="n"/>
      <c r="D198" s="8" t="n"/>
      <c r="E198" s="11" t="n"/>
      <c r="F198" s="9" t="n"/>
      <c r="G198" s="9" t="n"/>
      <c r="H198" s="12">
        <f>IF(A198="","",D198*E198)</f>
        <v/>
      </c>
      <c r="I198" s="12">
        <f>IF(A198="","",IF(Rates!$B$6=1,MIN(H198,Rates!$B$5),H198)*(Rates!$B$4+Rates!$B$13))</f>
        <v/>
      </c>
      <c r="J198" s="12">
        <f>IF(A198="","",IF(D198&lt;=Rates!$B$8,D198*Rates!$B$7,0))</f>
        <v/>
      </c>
      <c r="K198" s="12">
        <f>IF(A198="","",H198*Rates!$B$9)</f>
        <v/>
      </c>
      <c r="L198" s="12">
        <f>IF(A198="","",IF(D198&lt;=Rates!$B$11,H198*Rates!$B$10,0))</f>
        <v/>
      </c>
      <c r="M198" s="12">
        <f>IF(A198="","",Rates!$B$12/12)</f>
        <v/>
      </c>
      <c r="N198" s="12">
        <f>IF(A198="","",D198+I198+J198+K198+L198+M198)</f>
        <v/>
      </c>
      <c r="O198" s="13">
        <f>IF(A198="","",MAX(0,MIN(12,IF(G198="",12,G198))-MAX(1,F198)+1))</f>
        <v/>
      </c>
      <c r="P198" s="12">
        <f>IF(A198="","",N198*O198)</f>
        <v/>
      </c>
      <c r="Q198" s="12">
        <f>IF(A198="","",0.12*IF(Rates!$B$6=1,MIN(H198,Rates!$B$5),H198))</f>
        <v/>
      </c>
      <c r="R198" s="12">
        <f>IF(A198="","",IF(D198&lt;=Rates!$B$8,D198*0.0075,0))</f>
        <v/>
      </c>
    </row>
    <row r="199">
      <c r="A199" s="10" t="n"/>
      <c r="B199" s="10" t="n"/>
      <c r="C199" s="10" t="n"/>
      <c r="D199" s="8" t="n"/>
      <c r="E199" s="11" t="n"/>
      <c r="F199" s="9" t="n"/>
      <c r="G199" s="9" t="n"/>
      <c r="H199" s="12">
        <f>IF(A199="","",D199*E199)</f>
        <v/>
      </c>
      <c r="I199" s="12">
        <f>IF(A199="","",IF(Rates!$B$6=1,MIN(H199,Rates!$B$5),H199)*(Rates!$B$4+Rates!$B$13))</f>
        <v/>
      </c>
      <c r="J199" s="12">
        <f>IF(A199="","",IF(D199&lt;=Rates!$B$8,D199*Rates!$B$7,0))</f>
        <v/>
      </c>
      <c r="K199" s="12">
        <f>IF(A199="","",H199*Rates!$B$9)</f>
        <v/>
      </c>
      <c r="L199" s="12">
        <f>IF(A199="","",IF(D199&lt;=Rates!$B$11,H199*Rates!$B$10,0))</f>
        <v/>
      </c>
      <c r="M199" s="12">
        <f>IF(A199="","",Rates!$B$12/12)</f>
        <v/>
      </c>
      <c r="N199" s="12">
        <f>IF(A199="","",D199+I199+J199+K199+L199+M199)</f>
        <v/>
      </c>
      <c r="O199" s="13">
        <f>IF(A199="","",MAX(0,MIN(12,IF(G199="",12,G199))-MAX(1,F199)+1))</f>
        <v/>
      </c>
      <c r="P199" s="12">
        <f>IF(A199="","",N199*O199)</f>
        <v/>
      </c>
      <c r="Q199" s="12">
        <f>IF(A199="","",0.12*IF(Rates!$B$6=1,MIN(H199,Rates!$B$5),H199))</f>
        <v/>
      </c>
      <c r="R199" s="12">
        <f>IF(A199="","",IF(D199&lt;=Rates!$B$8,D199*0.0075,0))</f>
        <v/>
      </c>
    </row>
    <row r="200">
      <c r="A200" s="10" t="n"/>
      <c r="B200" s="10" t="n"/>
      <c r="C200" s="10" t="n"/>
      <c r="D200" s="8" t="n"/>
      <c r="E200" s="11" t="n"/>
      <c r="F200" s="9" t="n"/>
      <c r="G200" s="9" t="n"/>
      <c r="H200" s="12">
        <f>IF(A200="","",D200*E200)</f>
        <v/>
      </c>
      <c r="I200" s="12">
        <f>IF(A200="","",IF(Rates!$B$6=1,MIN(H200,Rates!$B$5),H200)*(Rates!$B$4+Rates!$B$13))</f>
        <v/>
      </c>
      <c r="J200" s="12">
        <f>IF(A200="","",IF(D200&lt;=Rates!$B$8,D200*Rates!$B$7,0))</f>
        <v/>
      </c>
      <c r="K200" s="12">
        <f>IF(A200="","",H200*Rates!$B$9)</f>
        <v/>
      </c>
      <c r="L200" s="12">
        <f>IF(A200="","",IF(D200&lt;=Rates!$B$11,H200*Rates!$B$10,0))</f>
        <v/>
      </c>
      <c r="M200" s="12">
        <f>IF(A200="","",Rates!$B$12/12)</f>
        <v/>
      </c>
      <c r="N200" s="12">
        <f>IF(A200="","",D200+I200+J200+K200+L200+M200)</f>
        <v/>
      </c>
      <c r="O200" s="13">
        <f>IF(A200="","",MAX(0,MIN(12,IF(G200="",12,G200))-MAX(1,F200)+1))</f>
        <v/>
      </c>
      <c r="P200" s="12">
        <f>IF(A200="","",N200*O200)</f>
        <v/>
      </c>
      <c r="Q200" s="12">
        <f>IF(A200="","",0.12*IF(Rates!$B$6=1,MIN(H200,Rates!$B$5),H200))</f>
        <v/>
      </c>
      <c r="R200" s="12">
        <f>IF(A200="","",IF(D200&lt;=Rates!$B$8,D200*0.0075,0))</f>
        <v/>
      </c>
    </row>
    <row r="201">
      <c r="A201" s="10" t="n"/>
      <c r="B201" s="10" t="n"/>
      <c r="C201" s="10" t="n"/>
      <c r="D201" s="8" t="n"/>
      <c r="E201" s="11" t="n"/>
      <c r="F201" s="9" t="n"/>
      <c r="G201" s="9" t="n"/>
      <c r="H201" s="12">
        <f>IF(A201="","",D201*E201)</f>
        <v/>
      </c>
      <c r="I201" s="12">
        <f>IF(A201="","",IF(Rates!$B$6=1,MIN(H201,Rates!$B$5),H201)*(Rates!$B$4+Rates!$B$13))</f>
        <v/>
      </c>
      <c r="J201" s="12">
        <f>IF(A201="","",IF(D201&lt;=Rates!$B$8,D201*Rates!$B$7,0))</f>
        <v/>
      </c>
      <c r="K201" s="12">
        <f>IF(A201="","",H201*Rates!$B$9)</f>
        <v/>
      </c>
      <c r="L201" s="12">
        <f>IF(A201="","",IF(D201&lt;=Rates!$B$11,H201*Rates!$B$10,0))</f>
        <v/>
      </c>
      <c r="M201" s="12">
        <f>IF(A201="","",Rates!$B$12/12)</f>
        <v/>
      </c>
      <c r="N201" s="12">
        <f>IF(A201="","",D201+I201+J201+K201+L201+M201)</f>
        <v/>
      </c>
      <c r="O201" s="13">
        <f>IF(A201="","",MAX(0,MIN(12,IF(G201="",12,G201))-MAX(1,F201)+1))</f>
        <v/>
      </c>
      <c r="P201" s="12">
        <f>IF(A201="","",N201*O201)</f>
        <v/>
      </c>
      <c r="Q201" s="12">
        <f>IF(A201="","",0.12*IF(Rates!$B$6=1,MIN(H201,Rates!$B$5),H201))</f>
        <v/>
      </c>
      <c r="R201" s="12">
        <f>IF(A201="","",IF(D201&lt;=Rates!$B$8,D201*0.0075,0))</f>
        <v/>
      </c>
    </row>
    <row r="202">
      <c r="A202" s="10" t="n"/>
      <c r="B202" s="10" t="n"/>
      <c r="C202" s="10" t="n"/>
      <c r="D202" s="8" t="n"/>
      <c r="E202" s="11" t="n"/>
      <c r="F202" s="9" t="n"/>
      <c r="G202" s="9" t="n"/>
      <c r="H202" s="12">
        <f>IF(A202="","",D202*E202)</f>
        <v/>
      </c>
      <c r="I202" s="12">
        <f>IF(A202="","",IF(Rates!$B$6=1,MIN(H202,Rates!$B$5),H202)*(Rates!$B$4+Rates!$B$13))</f>
        <v/>
      </c>
      <c r="J202" s="12">
        <f>IF(A202="","",IF(D202&lt;=Rates!$B$8,D202*Rates!$B$7,0))</f>
        <v/>
      </c>
      <c r="K202" s="12">
        <f>IF(A202="","",H202*Rates!$B$9)</f>
        <v/>
      </c>
      <c r="L202" s="12">
        <f>IF(A202="","",IF(D202&lt;=Rates!$B$11,H202*Rates!$B$10,0))</f>
        <v/>
      </c>
      <c r="M202" s="12">
        <f>IF(A202="","",Rates!$B$12/12)</f>
        <v/>
      </c>
      <c r="N202" s="12">
        <f>IF(A202="","",D202+I202+J202+K202+L202+M202)</f>
        <v/>
      </c>
      <c r="O202" s="13">
        <f>IF(A202="","",MAX(0,MIN(12,IF(G202="",12,G202))-MAX(1,F202)+1))</f>
        <v/>
      </c>
      <c r="P202" s="12">
        <f>IF(A202="","",N202*O202)</f>
        <v/>
      </c>
      <c r="Q202" s="12">
        <f>IF(A202="","",0.12*IF(Rates!$B$6=1,MIN(H202,Rates!$B$5),H202))</f>
        <v/>
      </c>
      <c r="R202" s="12">
        <f>IF(A202="","",IF(D202&lt;=Rates!$B$8,D202*0.0075,0))</f>
        <v/>
      </c>
    </row>
    <row r="203">
      <c r="A203" s="10" t="n"/>
      <c r="B203" s="10" t="n"/>
      <c r="C203" s="10" t="n"/>
      <c r="D203" s="8" t="n"/>
      <c r="E203" s="11" t="n"/>
      <c r="F203" s="9" t="n"/>
      <c r="G203" s="9" t="n"/>
      <c r="H203" s="12">
        <f>IF(A203="","",D203*E203)</f>
        <v/>
      </c>
      <c r="I203" s="12">
        <f>IF(A203="","",IF(Rates!$B$6=1,MIN(H203,Rates!$B$5),H203)*(Rates!$B$4+Rates!$B$13))</f>
        <v/>
      </c>
      <c r="J203" s="12">
        <f>IF(A203="","",IF(D203&lt;=Rates!$B$8,D203*Rates!$B$7,0))</f>
        <v/>
      </c>
      <c r="K203" s="12">
        <f>IF(A203="","",H203*Rates!$B$9)</f>
        <v/>
      </c>
      <c r="L203" s="12">
        <f>IF(A203="","",IF(D203&lt;=Rates!$B$11,H203*Rates!$B$10,0))</f>
        <v/>
      </c>
      <c r="M203" s="12">
        <f>IF(A203="","",Rates!$B$12/12)</f>
        <v/>
      </c>
      <c r="N203" s="12">
        <f>IF(A203="","",D203+I203+J203+K203+L203+M203)</f>
        <v/>
      </c>
      <c r="O203" s="13">
        <f>IF(A203="","",MAX(0,MIN(12,IF(G203="",12,G203))-MAX(1,F203)+1))</f>
        <v/>
      </c>
      <c r="P203" s="12">
        <f>IF(A203="","",N203*O203)</f>
        <v/>
      </c>
      <c r="Q203" s="12">
        <f>IF(A203="","",0.12*IF(Rates!$B$6=1,MIN(H203,Rates!$B$5),H203))</f>
        <v/>
      </c>
      <c r="R203" s="12">
        <f>IF(A203="","",IF(D203&lt;=Rates!$B$8,D203*0.0075,0))</f>
        <v/>
      </c>
    </row>
    <row r="204">
      <c r="A204" s="10" t="n"/>
      <c r="B204" s="10" t="n"/>
      <c r="C204" s="10" t="n"/>
      <c r="D204" s="8" t="n"/>
      <c r="E204" s="11" t="n"/>
      <c r="F204" s="9" t="n"/>
      <c r="G204" s="9" t="n"/>
      <c r="H204" s="12">
        <f>IF(A204="","",D204*E204)</f>
        <v/>
      </c>
      <c r="I204" s="12">
        <f>IF(A204="","",IF(Rates!$B$6=1,MIN(H204,Rates!$B$5),H204)*(Rates!$B$4+Rates!$B$13))</f>
        <v/>
      </c>
      <c r="J204" s="12">
        <f>IF(A204="","",IF(D204&lt;=Rates!$B$8,D204*Rates!$B$7,0))</f>
        <v/>
      </c>
      <c r="K204" s="12">
        <f>IF(A204="","",H204*Rates!$B$9)</f>
        <v/>
      </c>
      <c r="L204" s="12">
        <f>IF(A204="","",IF(D204&lt;=Rates!$B$11,H204*Rates!$B$10,0))</f>
        <v/>
      </c>
      <c r="M204" s="12">
        <f>IF(A204="","",Rates!$B$12/12)</f>
        <v/>
      </c>
      <c r="N204" s="12">
        <f>IF(A204="","",D204+I204+J204+K204+L204+M204)</f>
        <v/>
      </c>
      <c r="O204" s="13">
        <f>IF(A204="","",MAX(0,MIN(12,IF(G204="",12,G204))-MAX(1,F204)+1))</f>
        <v/>
      </c>
      <c r="P204" s="12">
        <f>IF(A204="","",N204*O204)</f>
        <v/>
      </c>
      <c r="Q204" s="12">
        <f>IF(A204="","",0.12*IF(Rates!$B$6=1,MIN(H204,Rates!$B$5),H204))</f>
        <v/>
      </c>
      <c r="R204" s="12">
        <f>IF(A204="","",IF(D204&lt;=Rates!$B$8,D204*0.0075,0))</f>
        <v/>
      </c>
    </row>
    <row r="205">
      <c r="A205" s="10" t="n"/>
      <c r="B205" s="10" t="n"/>
      <c r="C205" s="10" t="n"/>
      <c r="D205" s="8" t="n"/>
      <c r="E205" s="11" t="n"/>
      <c r="F205" s="9" t="n"/>
      <c r="G205" s="9" t="n"/>
      <c r="H205" s="12">
        <f>IF(A205="","",D205*E205)</f>
        <v/>
      </c>
      <c r="I205" s="12">
        <f>IF(A205="","",IF(Rates!$B$6=1,MIN(H205,Rates!$B$5),H205)*(Rates!$B$4+Rates!$B$13))</f>
        <v/>
      </c>
      <c r="J205" s="12">
        <f>IF(A205="","",IF(D205&lt;=Rates!$B$8,D205*Rates!$B$7,0))</f>
        <v/>
      </c>
      <c r="K205" s="12">
        <f>IF(A205="","",H205*Rates!$B$9)</f>
        <v/>
      </c>
      <c r="L205" s="12">
        <f>IF(A205="","",IF(D205&lt;=Rates!$B$11,H205*Rates!$B$10,0))</f>
        <v/>
      </c>
      <c r="M205" s="12">
        <f>IF(A205="","",Rates!$B$12/12)</f>
        <v/>
      </c>
      <c r="N205" s="12">
        <f>IF(A205="","",D205+I205+J205+K205+L205+M205)</f>
        <v/>
      </c>
      <c r="O205" s="13">
        <f>IF(A205="","",MAX(0,MIN(12,IF(G205="",12,G205))-MAX(1,F205)+1))</f>
        <v/>
      </c>
      <c r="P205" s="12">
        <f>IF(A205="","",N205*O205)</f>
        <v/>
      </c>
      <c r="Q205" s="12">
        <f>IF(A205="","",0.12*IF(Rates!$B$6=1,MIN(H205,Rates!$B$5),H205))</f>
        <v/>
      </c>
      <c r="R205" s="12">
        <f>IF(A205="","",IF(D205&lt;=Rates!$B$8,D205*0.0075,0))</f>
        <v/>
      </c>
    </row>
    <row r="206">
      <c r="A206" s="10" t="n"/>
      <c r="B206" s="10" t="n"/>
      <c r="C206" s="10" t="n"/>
      <c r="D206" s="8" t="n"/>
      <c r="E206" s="11" t="n"/>
      <c r="F206" s="9" t="n"/>
      <c r="G206" s="9" t="n"/>
      <c r="H206" s="12">
        <f>IF(A206="","",D206*E206)</f>
        <v/>
      </c>
      <c r="I206" s="12">
        <f>IF(A206="","",IF(Rates!$B$6=1,MIN(H206,Rates!$B$5),H206)*(Rates!$B$4+Rates!$B$13))</f>
        <v/>
      </c>
      <c r="J206" s="12">
        <f>IF(A206="","",IF(D206&lt;=Rates!$B$8,D206*Rates!$B$7,0))</f>
        <v/>
      </c>
      <c r="K206" s="12">
        <f>IF(A206="","",H206*Rates!$B$9)</f>
        <v/>
      </c>
      <c r="L206" s="12">
        <f>IF(A206="","",IF(D206&lt;=Rates!$B$11,H206*Rates!$B$10,0))</f>
        <v/>
      </c>
      <c r="M206" s="12">
        <f>IF(A206="","",Rates!$B$12/12)</f>
        <v/>
      </c>
      <c r="N206" s="12">
        <f>IF(A206="","",D206+I206+J206+K206+L206+M206)</f>
        <v/>
      </c>
      <c r="O206" s="13">
        <f>IF(A206="","",MAX(0,MIN(12,IF(G206="",12,G206))-MAX(1,F206)+1))</f>
        <v/>
      </c>
      <c r="P206" s="12">
        <f>IF(A206="","",N206*O206)</f>
        <v/>
      </c>
      <c r="Q206" s="12">
        <f>IF(A206="","",0.12*IF(Rates!$B$6=1,MIN(H206,Rates!$B$5),H206))</f>
        <v/>
      </c>
      <c r="R206" s="12">
        <f>IF(A206="","",IF(D206&lt;=Rates!$B$8,D206*0.0075,0))</f>
        <v/>
      </c>
    </row>
    <row r="207">
      <c r="A207" s="10" t="n"/>
      <c r="B207" s="10" t="n"/>
      <c r="C207" s="10" t="n"/>
      <c r="D207" s="8" t="n"/>
      <c r="E207" s="11" t="n"/>
      <c r="F207" s="9" t="n"/>
      <c r="G207" s="9" t="n"/>
      <c r="H207" s="12">
        <f>IF(A207="","",D207*E207)</f>
        <v/>
      </c>
      <c r="I207" s="12">
        <f>IF(A207="","",IF(Rates!$B$6=1,MIN(H207,Rates!$B$5),H207)*(Rates!$B$4+Rates!$B$13))</f>
        <v/>
      </c>
      <c r="J207" s="12">
        <f>IF(A207="","",IF(D207&lt;=Rates!$B$8,D207*Rates!$B$7,0))</f>
        <v/>
      </c>
      <c r="K207" s="12">
        <f>IF(A207="","",H207*Rates!$B$9)</f>
        <v/>
      </c>
      <c r="L207" s="12">
        <f>IF(A207="","",IF(D207&lt;=Rates!$B$11,H207*Rates!$B$10,0))</f>
        <v/>
      </c>
      <c r="M207" s="12">
        <f>IF(A207="","",Rates!$B$12/12)</f>
        <v/>
      </c>
      <c r="N207" s="12">
        <f>IF(A207="","",D207+I207+J207+K207+L207+M207)</f>
        <v/>
      </c>
      <c r="O207" s="13">
        <f>IF(A207="","",MAX(0,MIN(12,IF(G207="",12,G207))-MAX(1,F207)+1))</f>
        <v/>
      </c>
      <c r="P207" s="12">
        <f>IF(A207="","",N207*O207)</f>
        <v/>
      </c>
      <c r="Q207" s="12">
        <f>IF(A207="","",0.12*IF(Rates!$B$6=1,MIN(H207,Rates!$B$5),H207))</f>
        <v/>
      </c>
      <c r="R207" s="12">
        <f>IF(A207="","",IF(D207&lt;=Rates!$B$8,D207*0.0075,0))</f>
        <v/>
      </c>
    </row>
    <row r="208">
      <c r="A208" s="10" t="n"/>
      <c r="B208" s="10" t="n"/>
      <c r="C208" s="10" t="n"/>
      <c r="D208" s="8" t="n"/>
      <c r="E208" s="11" t="n"/>
      <c r="F208" s="9" t="n"/>
      <c r="G208" s="9" t="n"/>
      <c r="H208" s="12">
        <f>IF(A208="","",D208*E208)</f>
        <v/>
      </c>
      <c r="I208" s="12">
        <f>IF(A208="","",IF(Rates!$B$6=1,MIN(H208,Rates!$B$5),H208)*(Rates!$B$4+Rates!$B$13))</f>
        <v/>
      </c>
      <c r="J208" s="12">
        <f>IF(A208="","",IF(D208&lt;=Rates!$B$8,D208*Rates!$B$7,0))</f>
        <v/>
      </c>
      <c r="K208" s="12">
        <f>IF(A208="","",H208*Rates!$B$9)</f>
        <v/>
      </c>
      <c r="L208" s="12">
        <f>IF(A208="","",IF(D208&lt;=Rates!$B$11,H208*Rates!$B$10,0))</f>
        <v/>
      </c>
      <c r="M208" s="12">
        <f>IF(A208="","",Rates!$B$12/12)</f>
        <v/>
      </c>
      <c r="N208" s="12">
        <f>IF(A208="","",D208+I208+J208+K208+L208+M208)</f>
        <v/>
      </c>
      <c r="O208" s="13">
        <f>IF(A208="","",MAX(0,MIN(12,IF(G208="",12,G208))-MAX(1,F208)+1))</f>
        <v/>
      </c>
      <c r="P208" s="12">
        <f>IF(A208="","",N208*O208)</f>
        <v/>
      </c>
      <c r="Q208" s="12">
        <f>IF(A208="","",0.12*IF(Rates!$B$6=1,MIN(H208,Rates!$B$5),H208))</f>
        <v/>
      </c>
      <c r="R208" s="12">
        <f>IF(A208="","",IF(D208&lt;=Rates!$B$8,D208*0.0075,0))</f>
        <v/>
      </c>
    </row>
    <row r="209">
      <c r="A209" s="10" t="n"/>
      <c r="B209" s="10" t="n"/>
      <c r="C209" s="10" t="n"/>
      <c r="D209" s="8" t="n"/>
      <c r="E209" s="11" t="n"/>
      <c r="F209" s="9" t="n"/>
      <c r="G209" s="9" t="n"/>
      <c r="H209" s="12">
        <f>IF(A209="","",D209*E209)</f>
        <v/>
      </c>
      <c r="I209" s="12">
        <f>IF(A209="","",IF(Rates!$B$6=1,MIN(H209,Rates!$B$5),H209)*(Rates!$B$4+Rates!$B$13))</f>
        <v/>
      </c>
      <c r="J209" s="12">
        <f>IF(A209="","",IF(D209&lt;=Rates!$B$8,D209*Rates!$B$7,0))</f>
        <v/>
      </c>
      <c r="K209" s="12">
        <f>IF(A209="","",H209*Rates!$B$9)</f>
        <v/>
      </c>
      <c r="L209" s="12">
        <f>IF(A209="","",IF(D209&lt;=Rates!$B$11,H209*Rates!$B$10,0))</f>
        <v/>
      </c>
      <c r="M209" s="12">
        <f>IF(A209="","",Rates!$B$12/12)</f>
        <v/>
      </c>
      <c r="N209" s="12">
        <f>IF(A209="","",D209+I209+J209+K209+L209+M209)</f>
        <v/>
      </c>
      <c r="O209" s="13">
        <f>IF(A209="","",MAX(0,MIN(12,IF(G209="",12,G209))-MAX(1,F209)+1))</f>
        <v/>
      </c>
      <c r="P209" s="12">
        <f>IF(A209="","",N209*O209)</f>
        <v/>
      </c>
      <c r="Q209" s="12">
        <f>IF(A209="","",0.12*IF(Rates!$B$6=1,MIN(H209,Rates!$B$5),H209))</f>
        <v/>
      </c>
      <c r="R209" s="12">
        <f>IF(A209="","",IF(D209&lt;=Rates!$B$8,D209*0.0075,0))</f>
        <v/>
      </c>
    </row>
    <row r="210">
      <c r="A210" s="10" t="n"/>
      <c r="B210" s="10" t="n"/>
      <c r="C210" s="10" t="n"/>
      <c r="D210" s="8" t="n"/>
      <c r="E210" s="11" t="n"/>
      <c r="F210" s="9" t="n"/>
      <c r="G210" s="9" t="n"/>
      <c r="H210" s="12">
        <f>IF(A210="","",D210*E210)</f>
        <v/>
      </c>
      <c r="I210" s="12">
        <f>IF(A210="","",IF(Rates!$B$6=1,MIN(H210,Rates!$B$5),H210)*(Rates!$B$4+Rates!$B$13))</f>
        <v/>
      </c>
      <c r="J210" s="12">
        <f>IF(A210="","",IF(D210&lt;=Rates!$B$8,D210*Rates!$B$7,0))</f>
        <v/>
      </c>
      <c r="K210" s="12">
        <f>IF(A210="","",H210*Rates!$B$9)</f>
        <v/>
      </c>
      <c r="L210" s="12">
        <f>IF(A210="","",IF(D210&lt;=Rates!$B$11,H210*Rates!$B$10,0))</f>
        <v/>
      </c>
      <c r="M210" s="12">
        <f>IF(A210="","",Rates!$B$12/12)</f>
        <v/>
      </c>
      <c r="N210" s="12">
        <f>IF(A210="","",D210+I210+J210+K210+L210+M210)</f>
        <v/>
      </c>
      <c r="O210" s="13">
        <f>IF(A210="","",MAX(0,MIN(12,IF(G210="",12,G210))-MAX(1,F210)+1))</f>
        <v/>
      </c>
      <c r="P210" s="12">
        <f>IF(A210="","",N210*O210)</f>
        <v/>
      </c>
      <c r="Q210" s="12">
        <f>IF(A210="","",0.12*IF(Rates!$B$6=1,MIN(H210,Rates!$B$5),H210))</f>
        <v/>
      </c>
      <c r="R210" s="12">
        <f>IF(A210="","",IF(D210&lt;=Rates!$B$8,D210*0.0075,0))</f>
        <v/>
      </c>
    </row>
    <row r="211">
      <c r="A211" s="10" t="n"/>
      <c r="B211" s="10" t="n"/>
      <c r="C211" s="10" t="n"/>
      <c r="D211" s="8" t="n"/>
      <c r="E211" s="11" t="n"/>
      <c r="F211" s="9" t="n"/>
      <c r="G211" s="9" t="n"/>
      <c r="H211" s="12">
        <f>IF(A211="","",D211*E211)</f>
        <v/>
      </c>
      <c r="I211" s="12">
        <f>IF(A211="","",IF(Rates!$B$6=1,MIN(H211,Rates!$B$5),H211)*(Rates!$B$4+Rates!$B$13))</f>
        <v/>
      </c>
      <c r="J211" s="12">
        <f>IF(A211="","",IF(D211&lt;=Rates!$B$8,D211*Rates!$B$7,0))</f>
        <v/>
      </c>
      <c r="K211" s="12">
        <f>IF(A211="","",H211*Rates!$B$9)</f>
        <v/>
      </c>
      <c r="L211" s="12">
        <f>IF(A211="","",IF(D211&lt;=Rates!$B$11,H211*Rates!$B$10,0))</f>
        <v/>
      </c>
      <c r="M211" s="12">
        <f>IF(A211="","",Rates!$B$12/12)</f>
        <v/>
      </c>
      <c r="N211" s="12">
        <f>IF(A211="","",D211+I211+J211+K211+L211+M211)</f>
        <v/>
      </c>
      <c r="O211" s="13">
        <f>IF(A211="","",MAX(0,MIN(12,IF(G211="",12,G211))-MAX(1,F211)+1))</f>
        <v/>
      </c>
      <c r="P211" s="12">
        <f>IF(A211="","",N211*O211)</f>
        <v/>
      </c>
      <c r="Q211" s="12">
        <f>IF(A211="","",0.12*IF(Rates!$B$6=1,MIN(H211,Rates!$B$5),H211))</f>
        <v/>
      </c>
      <c r="R211" s="12">
        <f>IF(A211="","",IF(D211&lt;=Rates!$B$8,D211*0.0075,0))</f>
        <v/>
      </c>
    </row>
    <row r="212">
      <c r="A212" s="10" t="n"/>
      <c r="B212" s="10" t="n"/>
      <c r="C212" s="10" t="n"/>
      <c r="D212" s="8" t="n"/>
      <c r="E212" s="11" t="n"/>
      <c r="F212" s="9" t="n"/>
      <c r="G212" s="9" t="n"/>
      <c r="H212" s="12">
        <f>IF(A212="","",D212*E212)</f>
        <v/>
      </c>
      <c r="I212" s="12">
        <f>IF(A212="","",IF(Rates!$B$6=1,MIN(H212,Rates!$B$5),H212)*(Rates!$B$4+Rates!$B$13))</f>
        <v/>
      </c>
      <c r="J212" s="12">
        <f>IF(A212="","",IF(D212&lt;=Rates!$B$8,D212*Rates!$B$7,0))</f>
        <v/>
      </c>
      <c r="K212" s="12">
        <f>IF(A212="","",H212*Rates!$B$9)</f>
        <v/>
      </c>
      <c r="L212" s="12">
        <f>IF(A212="","",IF(D212&lt;=Rates!$B$11,H212*Rates!$B$10,0))</f>
        <v/>
      </c>
      <c r="M212" s="12">
        <f>IF(A212="","",Rates!$B$12/12)</f>
        <v/>
      </c>
      <c r="N212" s="12">
        <f>IF(A212="","",D212+I212+J212+K212+L212+M212)</f>
        <v/>
      </c>
      <c r="O212" s="13">
        <f>IF(A212="","",MAX(0,MIN(12,IF(G212="",12,G212))-MAX(1,F212)+1))</f>
        <v/>
      </c>
      <c r="P212" s="12">
        <f>IF(A212="","",N212*O212)</f>
        <v/>
      </c>
      <c r="Q212" s="12">
        <f>IF(A212="","",0.12*IF(Rates!$B$6=1,MIN(H212,Rates!$B$5),H212))</f>
        <v/>
      </c>
      <c r="R212" s="12">
        <f>IF(A212="","",IF(D212&lt;=Rates!$B$8,D212*0.0075,0))</f>
        <v/>
      </c>
    </row>
    <row r="213">
      <c r="A213" s="10" t="n"/>
      <c r="B213" s="10" t="n"/>
      <c r="C213" s="10" t="n"/>
      <c r="D213" s="8" t="n"/>
      <c r="E213" s="11" t="n"/>
      <c r="F213" s="9" t="n"/>
      <c r="G213" s="9" t="n"/>
      <c r="H213" s="12">
        <f>IF(A213="","",D213*E213)</f>
        <v/>
      </c>
      <c r="I213" s="12">
        <f>IF(A213="","",IF(Rates!$B$6=1,MIN(H213,Rates!$B$5),H213)*(Rates!$B$4+Rates!$B$13))</f>
        <v/>
      </c>
      <c r="J213" s="12">
        <f>IF(A213="","",IF(D213&lt;=Rates!$B$8,D213*Rates!$B$7,0))</f>
        <v/>
      </c>
      <c r="K213" s="12">
        <f>IF(A213="","",H213*Rates!$B$9)</f>
        <v/>
      </c>
      <c r="L213" s="12">
        <f>IF(A213="","",IF(D213&lt;=Rates!$B$11,H213*Rates!$B$10,0))</f>
        <v/>
      </c>
      <c r="M213" s="12">
        <f>IF(A213="","",Rates!$B$12/12)</f>
        <v/>
      </c>
      <c r="N213" s="12">
        <f>IF(A213="","",D213+I213+J213+K213+L213+M213)</f>
        <v/>
      </c>
      <c r="O213" s="13">
        <f>IF(A213="","",MAX(0,MIN(12,IF(G213="",12,G213))-MAX(1,F213)+1))</f>
        <v/>
      </c>
      <c r="P213" s="12">
        <f>IF(A213="","",N213*O213)</f>
        <v/>
      </c>
      <c r="Q213" s="12">
        <f>IF(A213="","",0.12*IF(Rates!$B$6=1,MIN(H213,Rates!$B$5),H213))</f>
        <v/>
      </c>
      <c r="R213" s="12">
        <f>IF(A213="","",IF(D213&lt;=Rates!$B$8,D213*0.0075,0))</f>
        <v/>
      </c>
    </row>
    <row r="214">
      <c r="A214" s="10" t="n"/>
      <c r="B214" s="10" t="n"/>
      <c r="C214" s="10" t="n"/>
      <c r="D214" s="8" t="n"/>
      <c r="E214" s="11" t="n"/>
      <c r="F214" s="9" t="n"/>
      <c r="G214" s="9" t="n"/>
      <c r="H214" s="12">
        <f>IF(A214="","",D214*E214)</f>
        <v/>
      </c>
      <c r="I214" s="12">
        <f>IF(A214="","",IF(Rates!$B$6=1,MIN(H214,Rates!$B$5),H214)*(Rates!$B$4+Rates!$B$13))</f>
        <v/>
      </c>
      <c r="J214" s="12">
        <f>IF(A214="","",IF(D214&lt;=Rates!$B$8,D214*Rates!$B$7,0))</f>
        <v/>
      </c>
      <c r="K214" s="12">
        <f>IF(A214="","",H214*Rates!$B$9)</f>
        <v/>
      </c>
      <c r="L214" s="12">
        <f>IF(A214="","",IF(D214&lt;=Rates!$B$11,H214*Rates!$B$10,0))</f>
        <v/>
      </c>
      <c r="M214" s="12">
        <f>IF(A214="","",Rates!$B$12/12)</f>
        <v/>
      </c>
      <c r="N214" s="12">
        <f>IF(A214="","",D214+I214+J214+K214+L214+M214)</f>
        <v/>
      </c>
      <c r="O214" s="13">
        <f>IF(A214="","",MAX(0,MIN(12,IF(G214="",12,G214))-MAX(1,F214)+1))</f>
        <v/>
      </c>
      <c r="P214" s="12">
        <f>IF(A214="","",N214*O214)</f>
        <v/>
      </c>
      <c r="Q214" s="12">
        <f>IF(A214="","",0.12*IF(Rates!$B$6=1,MIN(H214,Rates!$B$5),H214))</f>
        <v/>
      </c>
      <c r="R214" s="12">
        <f>IF(A214="","",IF(D214&lt;=Rates!$B$8,D214*0.0075,0))</f>
        <v/>
      </c>
    </row>
    <row r="215">
      <c r="A215" s="10" t="n"/>
      <c r="B215" s="10" t="n"/>
      <c r="C215" s="10" t="n"/>
      <c r="D215" s="8" t="n"/>
      <c r="E215" s="11" t="n"/>
      <c r="F215" s="9" t="n"/>
      <c r="G215" s="9" t="n"/>
      <c r="H215" s="12">
        <f>IF(A215="","",D215*E215)</f>
        <v/>
      </c>
      <c r="I215" s="12">
        <f>IF(A215="","",IF(Rates!$B$6=1,MIN(H215,Rates!$B$5),H215)*(Rates!$B$4+Rates!$B$13))</f>
        <v/>
      </c>
      <c r="J215" s="12">
        <f>IF(A215="","",IF(D215&lt;=Rates!$B$8,D215*Rates!$B$7,0))</f>
        <v/>
      </c>
      <c r="K215" s="12">
        <f>IF(A215="","",H215*Rates!$B$9)</f>
        <v/>
      </c>
      <c r="L215" s="12">
        <f>IF(A215="","",IF(D215&lt;=Rates!$B$11,H215*Rates!$B$10,0))</f>
        <v/>
      </c>
      <c r="M215" s="12">
        <f>IF(A215="","",Rates!$B$12/12)</f>
        <v/>
      </c>
      <c r="N215" s="12">
        <f>IF(A215="","",D215+I215+J215+K215+L215+M215)</f>
        <v/>
      </c>
      <c r="O215" s="13">
        <f>IF(A215="","",MAX(0,MIN(12,IF(G215="",12,G215))-MAX(1,F215)+1))</f>
        <v/>
      </c>
      <c r="P215" s="12">
        <f>IF(A215="","",N215*O215)</f>
        <v/>
      </c>
      <c r="Q215" s="12">
        <f>IF(A215="","",0.12*IF(Rates!$B$6=1,MIN(H215,Rates!$B$5),H215))</f>
        <v/>
      </c>
      <c r="R215" s="12">
        <f>IF(A215="","",IF(D215&lt;=Rates!$B$8,D215*0.0075,0))</f>
        <v/>
      </c>
    </row>
    <row r="216">
      <c r="A216" s="10" t="n"/>
      <c r="B216" s="10" t="n"/>
      <c r="C216" s="10" t="n"/>
      <c r="D216" s="8" t="n"/>
      <c r="E216" s="11" t="n"/>
      <c r="F216" s="9" t="n"/>
      <c r="G216" s="9" t="n"/>
      <c r="H216" s="12">
        <f>IF(A216="","",D216*E216)</f>
        <v/>
      </c>
      <c r="I216" s="12">
        <f>IF(A216="","",IF(Rates!$B$6=1,MIN(H216,Rates!$B$5),H216)*(Rates!$B$4+Rates!$B$13))</f>
        <v/>
      </c>
      <c r="J216" s="12">
        <f>IF(A216="","",IF(D216&lt;=Rates!$B$8,D216*Rates!$B$7,0))</f>
        <v/>
      </c>
      <c r="K216" s="12">
        <f>IF(A216="","",H216*Rates!$B$9)</f>
        <v/>
      </c>
      <c r="L216" s="12">
        <f>IF(A216="","",IF(D216&lt;=Rates!$B$11,H216*Rates!$B$10,0))</f>
        <v/>
      </c>
      <c r="M216" s="12">
        <f>IF(A216="","",Rates!$B$12/12)</f>
        <v/>
      </c>
      <c r="N216" s="12">
        <f>IF(A216="","",D216+I216+J216+K216+L216+M216)</f>
        <v/>
      </c>
      <c r="O216" s="13">
        <f>IF(A216="","",MAX(0,MIN(12,IF(G216="",12,G216))-MAX(1,F216)+1))</f>
        <v/>
      </c>
      <c r="P216" s="12">
        <f>IF(A216="","",N216*O216)</f>
        <v/>
      </c>
      <c r="Q216" s="12">
        <f>IF(A216="","",0.12*IF(Rates!$B$6=1,MIN(H216,Rates!$B$5),H216))</f>
        <v/>
      </c>
      <c r="R216" s="12">
        <f>IF(A216="","",IF(D216&lt;=Rates!$B$8,D216*0.0075,0))</f>
        <v/>
      </c>
    </row>
    <row r="217">
      <c r="A217" s="10" t="n"/>
      <c r="B217" s="10" t="n"/>
      <c r="C217" s="10" t="n"/>
      <c r="D217" s="8" t="n"/>
      <c r="E217" s="11" t="n"/>
      <c r="F217" s="9" t="n"/>
      <c r="G217" s="9" t="n"/>
      <c r="H217" s="12">
        <f>IF(A217="","",D217*E217)</f>
        <v/>
      </c>
      <c r="I217" s="12">
        <f>IF(A217="","",IF(Rates!$B$6=1,MIN(H217,Rates!$B$5),H217)*(Rates!$B$4+Rates!$B$13))</f>
        <v/>
      </c>
      <c r="J217" s="12">
        <f>IF(A217="","",IF(D217&lt;=Rates!$B$8,D217*Rates!$B$7,0))</f>
        <v/>
      </c>
      <c r="K217" s="12">
        <f>IF(A217="","",H217*Rates!$B$9)</f>
        <v/>
      </c>
      <c r="L217" s="12">
        <f>IF(A217="","",IF(D217&lt;=Rates!$B$11,H217*Rates!$B$10,0))</f>
        <v/>
      </c>
      <c r="M217" s="12">
        <f>IF(A217="","",Rates!$B$12/12)</f>
        <v/>
      </c>
      <c r="N217" s="12">
        <f>IF(A217="","",D217+I217+J217+K217+L217+M217)</f>
        <v/>
      </c>
      <c r="O217" s="13">
        <f>IF(A217="","",MAX(0,MIN(12,IF(G217="",12,G217))-MAX(1,F217)+1))</f>
        <v/>
      </c>
      <c r="P217" s="12">
        <f>IF(A217="","",N217*O217)</f>
        <v/>
      </c>
      <c r="Q217" s="12">
        <f>IF(A217="","",0.12*IF(Rates!$B$6=1,MIN(H217,Rates!$B$5),H217))</f>
        <v/>
      </c>
      <c r="R217" s="12">
        <f>IF(A217="","",IF(D217&lt;=Rates!$B$8,D217*0.0075,0))</f>
        <v/>
      </c>
    </row>
    <row r="218">
      <c r="A218" s="10" t="n"/>
      <c r="B218" s="10" t="n"/>
      <c r="C218" s="10" t="n"/>
      <c r="D218" s="8" t="n"/>
      <c r="E218" s="11" t="n"/>
      <c r="F218" s="9" t="n"/>
      <c r="G218" s="9" t="n"/>
      <c r="H218" s="12">
        <f>IF(A218="","",D218*E218)</f>
        <v/>
      </c>
      <c r="I218" s="12">
        <f>IF(A218="","",IF(Rates!$B$6=1,MIN(H218,Rates!$B$5),H218)*(Rates!$B$4+Rates!$B$13))</f>
        <v/>
      </c>
      <c r="J218" s="12">
        <f>IF(A218="","",IF(D218&lt;=Rates!$B$8,D218*Rates!$B$7,0))</f>
        <v/>
      </c>
      <c r="K218" s="12">
        <f>IF(A218="","",H218*Rates!$B$9)</f>
        <v/>
      </c>
      <c r="L218" s="12">
        <f>IF(A218="","",IF(D218&lt;=Rates!$B$11,H218*Rates!$B$10,0))</f>
        <v/>
      </c>
      <c r="M218" s="12">
        <f>IF(A218="","",Rates!$B$12/12)</f>
        <v/>
      </c>
      <c r="N218" s="12">
        <f>IF(A218="","",D218+I218+J218+K218+L218+M218)</f>
        <v/>
      </c>
      <c r="O218" s="13">
        <f>IF(A218="","",MAX(0,MIN(12,IF(G218="",12,G218))-MAX(1,F218)+1))</f>
        <v/>
      </c>
      <c r="P218" s="12">
        <f>IF(A218="","",N218*O218)</f>
        <v/>
      </c>
      <c r="Q218" s="12">
        <f>IF(A218="","",0.12*IF(Rates!$B$6=1,MIN(H218,Rates!$B$5),H218))</f>
        <v/>
      </c>
      <c r="R218" s="12">
        <f>IF(A218="","",IF(D218&lt;=Rates!$B$8,D218*0.0075,0))</f>
        <v/>
      </c>
    </row>
    <row r="219">
      <c r="A219" s="10" t="n"/>
      <c r="B219" s="10" t="n"/>
      <c r="C219" s="10" t="n"/>
      <c r="D219" s="8" t="n"/>
      <c r="E219" s="11" t="n"/>
      <c r="F219" s="9" t="n"/>
      <c r="G219" s="9" t="n"/>
      <c r="H219" s="12">
        <f>IF(A219="","",D219*E219)</f>
        <v/>
      </c>
      <c r="I219" s="12">
        <f>IF(A219="","",IF(Rates!$B$6=1,MIN(H219,Rates!$B$5),H219)*(Rates!$B$4+Rates!$B$13))</f>
        <v/>
      </c>
      <c r="J219" s="12">
        <f>IF(A219="","",IF(D219&lt;=Rates!$B$8,D219*Rates!$B$7,0))</f>
        <v/>
      </c>
      <c r="K219" s="12">
        <f>IF(A219="","",H219*Rates!$B$9)</f>
        <v/>
      </c>
      <c r="L219" s="12">
        <f>IF(A219="","",IF(D219&lt;=Rates!$B$11,H219*Rates!$B$10,0))</f>
        <v/>
      </c>
      <c r="M219" s="12">
        <f>IF(A219="","",Rates!$B$12/12)</f>
        <v/>
      </c>
      <c r="N219" s="12">
        <f>IF(A219="","",D219+I219+J219+K219+L219+M219)</f>
        <v/>
      </c>
      <c r="O219" s="13">
        <f>IF(A219="","",MAX(0,MIN(12,IF(G219="",12,G219))-MAX(1,F219)+1))</f>
        <v/>
      </c>
      <c r="P219" s="12">
        <f>IF(A219="","",N219*O219)</f>
        <v/>
      </c>
      <c r="Q219" s="12">
        <f>IF(A219="","",0.12*IF(Rates!$B$6=1,MIN(H219,Rates!$B$5),H219))</f>
        <v/>
      </c>
      <c r="R219" s="12">
        <f>IF(A219="","",IF(D219&lt;=Rates!$B$8,D219*0.0075,0))</f>
        <v/>
      </c>
    </row>
    <row r="220">
      <c r="A220" s="10" t="n"/>
      <c r="B220" s="10" t="n"/>
      <c r="C220" s="10" t="n"/>
      <c r="D220" s="8" t="n"/>
      <c r="E220" s="11" t="n"/>
      <c r="F220" s="9" t="n"/>
      <c r="G220" s="9" t="n"/>
      <c r="H220" s="12">
        <f>IF(A220="","",D220*E220)</f>
        <v/>
      </c>
      <c r="I220" s="12">
        <f>IF(A220="","",IF(Rates!$B$6=1,MIN(H220,Rates!$B$5),H220)*(Rates!$B$4+Rates!$B$13))</f>
        <v/>
      </c>
      <c r="J220" s="12">
        <f>IF(A220="","",IF(D220&lt;=Rates!$B$8,D220*Rates!$B$7,0))</f>
        <v/>
      </c>
      <c r="K220" s="12">
        <f>IF(A220="","",H220*Rates!$B$9)</f>
        <v/>
      </c>
      <c r="L220" s="12">
        <f>IF(A220="","",IF(D220&lt;=Rates!$B$11,H220*Rates!$B$10,0))</f>
        <v/>
      </c>
      <c r="M220" s="12">
        <f>IF(A220="","",Rates!$B$12/12)</f>
        <v/>
      </c>
      <c r="N220" s="12">
        <f>IF(A220="","",D220+I220+J220+K220+L220+M220)</f>
        <v/>
      </c>
      <c r="O220" s="13">
        <f>IF(A220="","",MAX(0,MIN(12,IF(G220="",12,G220))-MAX(1,F220)+1))</f>
        <v/>
      </c>
      <c r="P220" s="12">
        <f>IF(A220="","",N220*O220)</f>
        <v/>
      </c>
      <c r="Q220" s="12">
        <f>IF(A220="","",0.12*IF(Rates!$B$6=1,MIN(H220,Rates!$B$5),H220))</f>
        <v/>
      </c>
      <c r="R220" s="12">
        <f>IF(A220="","",IF(D220&lt;=Rates!$B$8,D220*0.0075,0))</f>
        <v/>
      </c>
    </row>
    <row r="221">
      <c r="A221" s="10" t="n"/>
      <c r="B221" s="10" t="n"/>
      <c r="C221" s="10" t="n"/>
      <c r="D221" s="8" t="n"/>
      <c r="E221" s="11" t="n"/>
      <c r="F221" s="9" t="n"/>
      <c r="G221" s="9" t="n"/>
      <c r="H221" s="12">
        <f>IF(A221="","",D221*E221)</f>
        <v/>
      </c>
      <c r="I221" s="12">
        <f>IF(A221="","",IF(Rates!$B$6=1,MIN(H221,Rates!$B$5),H221)*(Rates!$B$4+Rates!$B$13))</f>
        <v/>
      </c>
      <c r="J221" s="12">
        <f>IF(A221="","",IF(D221&lt;=Rates!$B$8,D221*Rates!$B$7,0))</f>
        <v/>
      </c>
      <c r="K221" s="12">
        <f>IF(A221="","",H221*Rates!$B$9)</f>
        <v/>
      </c>
      <c r="L221" s="12">
        <f>IF(A221="","",IF(D221&lt;=Rates!$B$11,H221*Rates!$B$10,0))</f>
        <v/>
      </c>
      <c r="M221" s="12">
        <f>IF(A221="","",Rates!$B$12/12)</f>
        <v/>
      </c>
      <c r="N221" s="12">
        <f>IF(A221="","",D221+I221+J221+K221+L221+M221)</f>
        <v/>
      </c>
      <c r="O221" s="13">
        <f>IF(A221="","",MAX(0,MIN(12,IF(G221="",12,G221))-MAX(1,F221)+1))</f>
        <v/>
      </c>
      <c r="P221" s="12">
        <f>IF(A221="","",N221*O221)</f>
        <v/>
      </c>
      <c r="Q221" s="12">
        <f>IF(A221="","",0.12*IF(Rates!$B$6=1,MIN(H221,Rates!$B$5),H221))</f>
        <v/>
      </c>
      <c r="R221" s="12">
        <f>IF(A221="","",IF(D221&lt;=Rates!$B$8,D221*0.0075,0))</f>
        <v/>
      </c>
    </row>
    <row r="222">
      <c r="A222" s="10" t="n"/>
      <c r="B222" s="10" t="n"/>
      <c r="C222" s="10" t="n"/>
      <c r="D222" s="8" t="n"/>
      <c r="E222" s="11" t="n"/>
      <c r="F222" s="9" t="n"/>
      <c r="G222" s="9" t="n"/>
      <c r="H222" s="12">
        <f>IF(A222="","",D222*E222)</f>
        <v/>
      </c>
      <c r="I222" s="12">
        <f>IF(A222="","",IF(Rates!$B$6=1,MIN(H222,Rates!$B$5),H222)*(Rates!$B$4+Rates!$B$13))</f>
        <v/>
      </c>
      <c r="J222" s="12">
        <f>IF(A222="","",IF(D222&lt;=Rates!$B$8,D222*Rates!$B$7,0))</f>
        <v/>
      </c>
      <c r="K222" s="12">
        <f>IF(A222="","",H222*Rates!$B$9)</f>
        <v/>
      </c>
      <c r="L222" s="12">
        <f>IF(A222="","",IF(D222&lt;=Rates!$B$11,H222*Rates!$B$10,0))</f>
        <v/>
      </c>
      <c r="M222" s="12">
        <f>IF(A222="","",Rates!$B$12/12)</f>
        <v/>
      </c>
      <c r="N222" s="12">
        <f>IF(A222="","",D222+I222+J222+K222+L222+M222)</f>
        <v/>
      </c>
      <c r="O222" s="13">
        <f>IF(A222="","",MAX(0,MIN(12,IF(G222="",12,G222))-MAX(1,F222)+1))</f>
        <v/>
      </c>
      <c r="P222" s="12">
        <f>IF(A222="","",N222*O222)</f>
        <v/>
      </c>
      <c r="Q222" s="12">
        <f>IF(A222="","",0.12*IF(Rates!$B$6=1,MIN(H222,Rates!$B$5),H222))</f>
        <v/>
      </c>
      <c r="R222" s="12">
        <f>IF(A222="","",IF(D222&lt;=Rates!$B$8,D222*0.0075,0))</f>
        <v/>
      </c>
    </row>
    <row r="223">
      <c r="A223" s="10" t="n"/>
      <c r="B223" s="10" t="n"/>
      <c r="C223" s="10" t="n"/>
      <c r="D223" s="8" t="n"/>
      <c r="E223" s="11" t="n"/>
      <c r="F223" s="9" t="n"/>
      <c r="G223" s="9" t="n"/>
      <c r="H223" s="12">
        <f>IF(A223="","",D223*E223)</f>
        <v/>
      </c>
      <c r="I223" s="12">
        <f>IF(A223="","",IF(Rates!$B$6=1,MIN(H223,Rates!$B$5),H223)*(Rates!$B$4+Rates!$B$13))</f>
        <v/>
      </c>
      <c r="J223" s="12">
        <f>IF(A223="","",IF(D223&lt;=Rates!$B$8,D223*Rates!$B$7,0))</f>
        <v/>
      </c>
      <c r="K223" s="12">
        <f>IF(A223="","",H223*Rates!$B$9)</f>
        <v/>
      </c>
      <c r="L223" s="12">
        <f>IF(A223="","",IF(D223&lt;=Rates!$B$11,H223*Rates!$B$10,0))</f>
        <v/>
      </c>
      <c r="M223" s="12">
        <f>IF(A223="","",Rates!$B$12/12)</f>
        <v/>
      </c>
      <c r="N223" s="12">
        <f>IF(A223="","",D223+I223+J223+K223+L223+M223)</f>
        <v/>
      </c>
      <c r="O223" s="13">
        <f>IF(A223="","",MAX(0,MIN(12,IF(G223="",12,G223))-MAX(1,F223)+1))</f>
        <v/>
      </c>
      <c r="P223" s="12">
        <f>IF(A223="","",N223*O223)</f>
        <v/>
      </c>
      <c r="Q223" s="12">
        <f>IF(A223="","",0.12*IF(Rates!$B$6=1,MIN(H223,Rates!$B$5),H223))</f>
        <v/>
      </c>
      <c r="R223" s="12">
        <f>IF(A223="","",IF(D223&lt;=Rates!$B$8,D223*0.0075,0))</f>
        <v/>
      </c>
    </row>
    <row r="224">
      <c r="A224" s="10" t="n"/>
      <c r="B224" s="10" t="n"/>
      <c r="C224" s="10" t="n"/>
      <c r="D224" s="8" t="n"/>
      <c r="E224" s="11" t="n"/>
      <c r="F224" s="9" t="n"/>
      <c r="G224" s="9" t="n"/>
      <c r="H224" s="12">
        <f>IF(A224="","",D224*E224)</f>
        <v/>
      </c>
      <c r="I224" s="12">
        <f>IF(A224="","",IF(Rates!$B$6=1,MIN(H224,Rates!$B$5),H224)*(Rates!$B$4+Rates!$B$13))</f>
        <v/>
      </c>
      <c r="J224" s="12">
        <f>IF(A224="","",IF(D224&lt;=Rates!$B$8,D224*Rates!$B$7,0))</f>
        <v/>
      </c>
      <c r="K224" s="12">
        <f>IF(A224="","",H224*Rates!$B$9)</f>
        <v/>
      </c>
      <c r="L224" s="12">
        <f>IF(A224="","",IF(D224&lt;=Rates!$B$11,H224*Rates!$B$10,0))</f>
        <v/>
      </c>
      <c r="M224" s="12">
        <f>IF(A224="","",Rates!$B$12/12)</f>
        <v/>
      </c>
      <c r="N224" s="12">
        <f>IF(A224="","",D224+I224+J224+K224+L224+M224)</f>
        <v/>
      </c>
      <c r="O224" s="13">
        <f>IF(A224="","",MAX(0,MIN(12,IF(G224="",12,G224))-MAX(1,F224)+1))</f>
        <v/>
      </c>
      <c r="P224" s="12">
        <f>IF(A224="","",N224*O224)</f>
        <v/>
      </c>
      <c r="Q224" s="12">
        <f>IF(A224="","",0.12*IF(Rates!$B$6=1,MIN(H224,Rates!$B$5),H224))</f>
        <v/>
      </c>
      <c r="R224" s="12">
        <f>IF(A224="","",IF(D224&lt;=Rates!$B$8,D224*0.0075,0))</f>
        <v/>
      </c>
    </row>
    <row r="225">
      <c r="A225" s="10" t="n"/>
      <c r="B225" s="10" t="n"/>
      <c r="C225" s="10" t="n"/>
      <c r="D225" s="8" t="n"/>
      <c r="E225" s="11" t="n"/>
      <c r="F225" s="9" t="n"/>
      <c r="G225" s="9" t="n"/>
      <c r="H225" s="12">
        <f>IF(A225="","",D225*E225)</f>
        <v/>
      </c>
      <c r="I225" s="12">
        <f>IF(A225="","",IF(Rates!$B$6=1,MIN(H225,Rates!$B$5),H225)*(Rates!$B$4+Rates!$B$13))</f>
        <v/>
      </c>
      <c r="J225" s="12">
        <f>IF(A225="","",IF(D225&lt;=Rates!$B$8,D225*Rates!$B$7,0))</f>
        <v/>
      </c>
      <c r="K225" s="12">
        <f>IF(A225="","",H225*Rates!$B$9)</f>
        <v/>
      </c>
      <c r="L225" s="12">
        <f>IF(A225="","",IF(D225&lt;=Rates!$B$11,H225*Rates!$B$10,0))</f>
        <v/>
      </c>
      <c r="M225" s="12">
        <f>IF(A225="","",Rates!$B$12/12)</f>
        <v/>
      </c>
      <c r="N225" s="12">
        <f>IF(A225="","",D225+I225+J225+K225+L225+M225)</f>
        <v/>
      </c>
      <c r="O225" s="13">
        <f>IF(A225="","",MAX(0,MIN(12,IF(G225="",12,G225))-MAX(1,F225)+1))</f>
        <v/>
      </c>
      <c r="P225" s="12">
        <f>IF(A225="","",N225*O225)</f>
        <v/>
      </c>
      <c r="Q225" s="12">
        <f>IF(A225="","",0.12*IF(Rates!$B$6=1,MIN(H225,Rates!$B$5),H225))</f>
        <v/>
      </c>
      <c r="R225" s="12">
        <f>IF(A225="","",IF(D225&lt;=Rates!$B$8,D225*0.0075,0))</f>
        <v/>
      </c>
    </row>
    <row r="226">
      <c r="A226" s="10" t="n"/>
      <c r="B226" s="10" t="n"/>
      <c r="C226" s="10" t="n"/>
      <c r="D226" s="8" t="n"/>
      <c r="E226" s="11" t="n"/>
      <c r="F226" s="9" t="n"/>
      <c r="G226" s="9" t="n"/>
      <c r="H226" s="12">
        <f>IF(A226="","",D226*E226)</f>
        <v/>
      </c>
      <c r="I226" s="12">
        <f>IF(A226="","",IF(Rates!$B$6=1,MIN(H226,Rates!$B$5),H226)*(Rates!$B$4+Rates!$B$13))</f>
        <v/>
      </c>
      <c r="J226" s="12">
        <f>IF(A226="","",IF(D226&lt;=Rates!$B$8,D226*Rates!$B$7,0))</f>
        <v/>
      </c>
      <c r="K226" s="12">
        <f>IF(A226="","",H226*Rates!$B$9)</f>
        <v/>
      </c>
      <c r="L226" s="12">
        <f>IF(A226="","",IF(D226&lt;=Rates!$B$11,H226*Rates!$B$10,0))</f>
        <v/>
      </c>
      <c r="M226" s="12">
        <f>IF(A226="","",Rates!$B$12/12)</f>
        <v/>
      </c>
      <c r="N226" s="12">
        <f>IF(A226="","",D226+I226+J226+K226+L226+M226)</f>
        <v/>
      </c>
      <c r="O226" s="13">
        <f>IF(A226="","",MAX(0,MIN(12,IF(G226="",12,G226))-MAX(1,F226)+1))</f>
        <v/>
      </c>
      <c r="P226" s="12">
        <f>IF(A226="","",N226*O226)</f>
        <v/>
      </c>
      <c r="Q226" s="12">
        <f>IF(A226="","",0.12*IF(Rates!$B$6=1,MIN(H226,Rates!$B$5),H226))</f>
        <v/>
      </c>
      <c r="R226" s="12">
        <f>IF(A226="","",IF(D226&lt;=Rates!$B$8,D226*0.0075,0))</f>
        <v/>
      </c>
    </row>
    <row r="227">
      <c r="A227" s="10" t="n"/>
      <c r="B227" s="10" t="n"/>
      <c r="C227" s="10" t="n"/>
      <c r="D227" s="8" t="n"/>
      <c r="E227" s="11" t="n"/>
      <c r="F227" s="9" t="n"/>
      <c r="G227" s="9" t="n"/>
      <c r="H227" s="12">
        <f>IF(A227="","",D227*E227)</f>
        <v/>
      </c>
      <c r="I227" s="12">
        <f>IF(A227="","",IF(Rates!$B$6=1,MIN(H227,Rates!$B$5),H227)*(Rates!$B$4+Rates!$B$13))</f>
        <v/>
      </c>
      <c r="J227" s="12">
        <f>IF(A227="","",IF(D227&lt;=Rates!$B$8,D227*Rates!$B$7,0))</f>
        <v/>
      </c>
      <c r="K227" s="12">
        <f>IF(A227="","",H227*Rates!$B$9)</f>
        <v/>
      </c>
      <c r="L227" s="12">
        <f>IF(A227="","",IF(D227&lt;=Rates!$B$11,H227*Rates!$B$10,0))</f>
        <v/>
      </c>
      <c r="M227" s="12">
        <f>IF(A227="","",Rates!$B$12/12)</f>
        <v/>
      </c>
      <c r="N227" s="12">
        <f>IF(A227="","",D227+I227+J227+K227+L227+M227)</f>
        <v/>
      </c>
      <c r="O227" s="13">
        <f>IF(A227="","",MAX(0,MIN(12,IF(G227="",12,G227))-MAX(1,F227)+1))</f>
        <v/>
      </c>
      <c r="P227" s="12">
        <f>IF(A227="","",N227*O227)</f>
        <v/>
      </c>
      <c r="Q227" s="12">
        <f>IF(A227="","",0.12*IF(Rates!$B$6=1,MIN(H227,Rates!$B$5),H227))</f>
        <v/>
      </c>
      <c r="R227" s="12">
        <f>IF(A227="","",IF(D227&lt;=Rates!$B$8,D227*0.0075,0))</f>
        <v/>
      </c>
    </row>
    <row r="228">
      <c r="A228" s="10" t="n"/>
      <c r="B228" s="10" t="n"/>
      <c r="C228" s="10" t="n"/>
      <c r="D228" s="8" t="n"/>
      <c r="E228" s="11" t="n"/>
      <c r="F228" s="9" t="n"/>
      <c r="G228" s="9" t="n"/>
      <c r="H228" s="12">
        <f>IF(A228="","",D228*E228)</f>
        <v/>
      </c>
      <c r="I228" s="12">
        <f>IF(A228="","",IF(Rates!$B$6=1,MIN(H228,Rates!$B$5),H228)*(Rates!$B$4+Rates!$B$13))</f>
        <v/>
      </c>
      <c r="J228" s="12">
        <f>IF(A228="","",IF(D228&lt;=Rates!$B$8,D228*Rates!$B$7,0))</f>
        <v/>
      </c>
      <c r="K228" s="12">
        <f>IF(A228="","",H228*Rates!$B$9)</f>
        <v/>
      </c>
      <c r="L228" s="12">
        <f>IF(A228="","",IF(D228&lt;=Rates!$B$11,H228*Rates!$B$10,0))</f>
        <v/>
      </c>
      <c r="M228" s="12">
        <f>IF(A228="","",Rates!$B$12/12)</f>
        <v/>
      </c>
      <c r="N228" s="12">
        <f>IF(A228="","",D228+I228+J228+K228+L228+M228)</f>
        <v/>
      </c>
      <c r="O228" s="13">
        <f>IF(A228="","",MAX(0,MIN(12,IF(G228="",12,G228))-MAX(1,F228)+1))</f>
        <v/>
      </c>
      <c r="P228" s="12">
        <f>IF(A228="","",N228*O228)</f>
        <v/>
      </c>
      <c r="Q228" s="12">
        <f>IF(A228="","",0.12*IF(Rates!$B$6=1,MIN(H228,Rates!$B$5),H228))</f>
        <v/>
      </c>
      <c r="R228" s="12">
        <f>IF(A228="","",IF(D228&lt;=Rates!$B$8,D228*0.0075,0))</f>
        <v/>
      </c>
    </row>
    <row r="229">
      <c r="A229" s="10" t="n"/>
      <c r="B229" s="10" t="n"/>
      <c r="C229" s="10" t="n"/>
      <c r="D229" s="8" t="n"/>
      <c r="E229" s="11" t="n"/>
      <c r="F229" s="9" t="n"/>
      <c r="G229" s="9" t="n"/>
      <c r="H229" s="12">
        <f>IF(A229="","",D229*E229)</f>
        <v/>
      </c>
      <c r="I229" s="12">
        <f>IF(A229="","",IF(Rates!$B$6=1,MIN(H229,Rates!$B$5),H229)*(Rates!$B$4+Rates!$B$13))</f>
        <v/>
      </c>
      <c r="J229" s="12">
        <f>IF(A229="","",IF(D229&lt;=Rates!$B$8,D229*Rates!$B$7,0))</f>
        <v/>
      </c>
      <c r="K229" s="12">
        <f>IF(A229="","",H229*Rates!$B$9)</f>
        <v/>
      </c>
      <c r="L229" s="12">
        <f>IF(A229="","",IF(D229&lt;=Rates!$B$11,H229*Rates!$B$10,0))</f>
        <v/>
      </c>
      <c r="M229" s="12">
        <f>IF(A229="","",Rates!$B$12/12)</f>
        <v/>
      </c>
      <c r="N229" s="12">
        <f>IF(A229="","",D229+I229+J229+K229+L229+M229)</f>
        <v/>
      </c>
      <c r="O229" s="13">
        <f>IF(A229="","",MAX(0,MIN(12,IF(G229="",12,G229))-MAX(1,F229)+1))</f>
        <v/>
      </c>
      <c r="P229" s="12">
        <f>IF(A229="","",N229*O229)</f>
        <v/>
      </c>
      <c r="Q229" s="12">
        <f>IF(A229="","",0.12*IF(Rates!$B$6=1,MIN(H229,Rates!$B$5),H229))</f>
        <v/>
      </c>
      <c r="R229" s="12">
        <f>IF(A229="","",IF(D229&lt;=Rates!$B$8,D229*0.0075,0))</f>
        <v/>
      </c>
    </row>
    <row r="230">
      <c r="A230" s="10" t="n"/>
      <c r="B230" s="10" t="n"/>
      <c r="C230" s="10" t="n"/>
      <c r="D230" s="8" t="n"/>
      <c r="E230" s="11" t="n"/>
      <c r="F230" s="9" t="n"/>
      <c r="G230" s="9" t="n"/>
      <c r="H230" s="12">
        <f>IF(A230="","",D230*E230)</f>
        <v/>
      </c>
      <c r="I230" s="12">
        <f>IF(A230="","",IF(Rates!$B$6=1,MIN(H230,Rates!$B$5),H230)*(Rates!$B$4+Rates!$B$13))</f>
        <v/>
      </c>
      <c r="J230" s="12">
        <f>IF(A230="","",IF(D230&lt;=Rates!$B$8,D230*Rates!$B$7,0))</f>
        <v/>
      </c>
      <c r="K230" s="12">
        <f>IF(A230="","",H230*Rates!$B$9)</f>
        <v/>
      </c>
      <c r="L230" s="12">
        <f>IF(A230="","",IF(D230&lt;=Rates!$B$11,H230*Rates!$B$10,0))</f>
        <v/>
      </c>
      <c r="M230" s="12">
        <f>IF(A230="","",Rates!$B$12/12)</f>
        <v/>
      </c>
      <c r="N230" s="12">
        <f>IF(A230="","",D230+I230+J230+K230+L230+M230)</f>
        <v/>
      </c>
      <c r="O230" s="13">
        <f>IF(A230="","",MAX(0,MIN(12,IF(G230="",12,G230))-MAX(1,F230)+1))</f>
        <v/>
      </c>
      <c r="P230" s="12">
        <f>IF(A230="","",N230*O230)</f>
        <v/>
      </c>
      <c r="Q230" s="12">
        <f>IF(A230="","",0.12*IF(Rates!$B$6=1,MIN(H230,Rates!$B$5),H230))</f>
        <v/>
      </c>
      <c r="R230" s="12">
        <f>IF(A230="","",IF(D230&lt;=Rates!$B$8,D230*0.0075,0))</f>
        <v/>
      </c>
    </row>
    <row r="231">
      <c r="A231" s="10" t="n"/>
      <c r="B231" s="10" t="n"/>
      <c r="C231" s="10" t="n"/>
      <c r="D231" s="8" t="n"/>
      <c r="E231" s="11" t="n"/>
      <c r="F231" s="9" t="n"/>
      <c r="G231" s="9" t="n"/>
      <c r="H231" s="12">
        <f>IF(A231="","",D231*E231)</f>
        <v/>
      </c>
      <c r="I231" s="12">
        <f>IF(A231="","",IF(Rates!$B$6=1,MIN(H231,Rates!$B$5),H231)*(Rates!$B$4+Rates!$B$13))</f>
        <v/>
      </c>
      <c r="J231" s="12">
        <f>IF(A231="","",IF(D231&lt;=Rates!$B$8,D231*Rates!$B$7,0))</f>
        <v/>
      </c>
      <c r="K231" s="12">
        <f>IF(A231="","",H231*Rates!$B$9)</f>
        <v/>
      </c>
      <c r="L231" s="12">
        <f>IF(A231="","",IF(D231&lt;=Rates!$B$11,H231*Rates!$B$10,0))</f>
        <v/>
      </c>
      <c r="M231" s="12">
        <f>IF(A231="","",Rates!$B$12/12)</f>
        <v/>
      </c>
      <c r="N231" s="12">
        <f>IF(A231="","",D231+I231+J231+K231+L231+M231)</f>
        <v/>
      </c>
      <c r="O231" s="13">
        <f>IF(A231="","",MAX(0,MIN(12,IF(G231="",12,G231))-MAX(1,F231)+1))</f>
        <v/>
      </c>
      <c r="P231" s="12">
        <f>IF(A231="","",N231*O231)</f>
        <v/>
      </c>
      <c r="Q231" s="12">
        <f>IF(A231="","",0.12*IF(Rates!$B$6=1,MIN(H231,Rates!$B$5),H231))</f>
        <v/>
      </c>
      <c r="R231" s="12">
        <f>IF(A231="","",IF(D231&lt;=Rates!$B$8,D231*0.0075,0))</f>
        <v/>
      </c>
    </row>
    <row r="232">
      <c r="A232" s="10" t="n"/>
      <c r="B232" s="10" t="n"/>
      <c r="C232" s="10" t="n"/>
      <c r="D232" s="8" t="n"/>
      <c r="E232" s="11" t="n"/>
      <c r="F232" s="9" t="n"/>
      <c r="G232" s="9" t="n"/>
      <c r="H232" s="12">
        <f>IF(A232="","",D232*E232)</f>
        <v/>
      </c>
      <c r="I232" s="12">
        <f>IF(A232="","",IF(Rates!$B$6=1,MIN(H232,Rates!$B$5),H232)*(Rates!$B$4+Rates!$B$13))</f>
        <v/>
      </c>
      <c r="J232" s="12">
        <f>IF(A232="","",IF(D232&lt;=Rates!$B$8,D232*Rates!$B$7,0))</f>
        <v/>
      </c>
      <c r="K232" s="12">
        <f>IF(A232="","",H232*Rates!$B$9)</f>
        <v/>
      </c>
      <c r="L232" s="12">
        <f>IF(A232="","",IF(D232&lt;=Rates!$B$11,H232*Rates!$B$10,0))</f>
        <v/>
      </c>
      <c r="M232" s="12">
        <f>IF(A232="","",Rates!$B$12/12)</f>
        <v/>
      </c>
      <c r="N232" s="12">
        <f>IF(A232="","",D232+I232+J232+K232+L232+M232)</f>
        <v/>
      </c>
      <c r="O232" s="13">
        <f>IF(A232="","",MAX(0,MIN(12,IF(G232="",12,G232))-MAX(1,F232)+1))</f>
        <v/>
      </c>
      <c r="P232" s="12">
        <f>IF(A232="","",N232*O232)</f>
        <v/>
      </c>
      <c r="Q232" s="12">
        <f>IF(A232="","",0.12*IF(Rates!$B$6=1,MIN(H232,Rates!$B$5),H232))</f>
        <v/>
      </c>
      <c r="R232" s="12">
        <f>IF(A232="","",IF(D232&lt;=Rates!$B$8,D232*0.0075,0))</f>
        <v/>
      </c>
    </row>
    <row r="233">
      <c r="A233" s="10" t="n"/>
      <c r="B233" s="10" t="n"/>
      <c r="C233" s="10" t="n"/>
      <c r="D233" s="8" t="n"/>
      <c r="E233" s="11" t="n"/>
      <c r="F233" s="9" t="n"/>
      <c r="G233" s="9" t="n"/>
      <c r="H233" s="12">
        <f>IF(A233="","",D233*E233)</f>
        <v/>
      </c>
      <c r="I233" s="12">
        <f>IF(A233="","",IF(Rates!$B$6=1,MIN(H233,Rates!$B$5),H233)*(Rates!$B$4+Rates!$B$13))</f>
        <v/>
      </c>
      <c r="J233" s="12">
        <f>IF(A233="","",IF(D233&lt;=Rates!$B$8,D233*Rates!$B$7,0))</f>
        <v/>
      </c>
      <c r="K233" s="12">
        <f>IF(A233="","",H233*Rates!$B$9)</f>
        <v/>
      </c>
      <c r="L233" s="12">
        <f>IF(A233="","",IF(D233&lt;=Rates!$B$11,H233*Rates!$B$10,0))</f>
        <v/>
      </c>
      <c r="M233" s="12">
        <f>IF(A233="","",Rates!$B$12/12)</f>
        <v/>
      </c>
      <c r="N233" s="12">
        <f>IF(A233="","",D233+I233+J233+K233+L233+M233)</f>
        <v/>
      </c>
      <c r="O233" s="13">
        <f>IF(A233="","",MAX(0,MIN(12,IF(G233="",12,G233))-MAX(1,F233)+1))</f>
        <v/>
      </c>
      <c r="P233" s="12">
        <f>IF(A233="","",N233*O233)</f>
        <v/>
      </c>
      <c r="Q233" s="12">
        <f>IF(A233="","",0.12*IF(Rates!$B$6=1,MIN(H233,Rates!$B$5),H233))</f>
        <v/>
      </c>
      <c r="R233" s="12">
        <f>IF(A233="","",IF(D233&lt;=Rates!$B$8,D233*0.0075,0))</f>
        <v/>
      </c>
    </row>
    <row r="234">
      <c r="A234" s="10" t="n"/>
      <c r="B234" s="10" t="n"/>
      <c r="C234" s="10" t="n"/>
      <c r="D234" s="8" t="n"/>
      <c r="E234" s="11" t="n"/>
      <c r="F234" s="9" t="n"/>
      <c r="G234" s="9" t="n"/>
      <c r="H234" s="12">
        <f>IF(A234="","",D234*E234)</f>
        <v/>
      </c>
      <c r="I234" s="12">
        <f>IF(A234="","",IF(Rates!$B$6=1,MIN(H234,Rates!$B$5),H234)*(Rates!$B$4+Rates!$B$13))</f>
        <v/>
      </c>
      <c r="J234" s="12">
        <f>IF(A234="","",IF(D234&lt;=Rates!$B$8,D234*Rates!$B$7,0))</f>
        <v/>
      </c>
      <c r="K234" s="12">
        <f>IF(A234="","",H234*Rates!$B$9)</f>
        <v/>
      </c>
      <c r="L234" s="12">
        <f>IF(A234="","",IF(D234&lt;=Rates!$B$11,H234*Rates!$B$10,0))</f>
        <v/>
      </c>
      <c r="M234" s="12">
        <f>IF(A234="","",Rates!$B$12/12)</f>
        <v/>
      </c>
      <c r="N234" s="12">
        <f>IF(A234="","",D234+I234+J234+K234+L234+M234)</f>
        <v/>
      </c>
      <c r="O234" s="13">
        <f>IF(A234="","",MAX(0,MIN(12,IF(G234="",12,G234))-MAX(1,F234)+1))</f>
        <v/>
      </c>
      <c r="P234" s="12">
        <f>IF(A234="","",N234*O234)</f>
        <v/>
      </c>
      <c r="Q234" s="12">
        <f>IF(A234="","",0.12*IF(Rates!$B$6=1,MIN(H234,Rates!$B$5),H234))</f>
        <v/>
      </c>
      <c r="R234" s="12">
        <f>IF(A234="","",IF(D234&lt;=Rates!$B$8,D234*0.0075,0))</f>
        <v/>
      </c>
    </row>
    <row r="235">
      <c r="A235" s="10" t="n"/>
      <c r="B235" s="10" t="n"/>
      <c r="C235" s="10" t="n"/>
      <c r="D235" s="8" t="n"/>
      <c r="E235" s="11" t="n"/>
      <c r="F235" s="9" t="n"/>
      <c r="G235" s="9" t="n"/>
      <c r="H235" s="12">
        <f>IF(A235="","",D235*E235)</f>
        <v/>
      </c>
      <c r="I235" s="12">
        <f>IF(A235="","",IF(Rates!$B$6=1,MIN(H235,Rates!$B$5),H235)*(Rates!$B$4+Rates!$B$13))</f>
        <v/>
      </c>
      <c r="J235" s="12">
        <f>IF(A235="","",IF(D235&lt;=Rates!$B$8,D235*Rates!$B$7,0))</f>
        <v/>
      </c>
      <c r="K235" s="12">
        <f>IF(A235="","",H235*Rates!$B$9)</f>
        <v/>
      </c>
      <c r="L235" s="12">
        <f>IF(A235="","",IF(D235&lt;=Rates!$B$11,H235*Rates!$B$10,0))</f>
        <v/>
      </c>
      <c r="M235" s="12">
        <f>IF(A235="","",Rates!$B$12/12)</f>
        <v/>
      </c>
      <c r="N235" s="12">
        <f>IF(A235="","",D235+I235+J235+K235+L235+M235)</f>
        <v/>
      </c>
      <c r="O235" s="13">
        <f>IF(A235="","",MAX(0,MIN(12,IF(G235="",12,G235))-MAX(1,F235)+1))</f>
        <v/>
      </c>
      <c r="P235" s="12">
        <f>IF(A235="","",N235*O235)</f>
        <v/>
      </c>
      <c r="Q235" s="12">
        <f>IF(A235="","",0.12*IF(Rates!$B$6=1,MIN(H235,Rates!$B$5),H235))</f>
        <v/>
      </c>
      <c r="R235" s="12">
        <f>IF(A235="","",IF(D235&lt;=Rates!$B$8,D235*0.0075,0))</f>
        <v/>
      </c>
    </row>
    <row r="236">
      <c r="A236" s="10" t="n"/>
      <c r="B236" s="10" t="n"/>
      <c r="C236" s="10" t="n"/>
      <c r="D236" s="8" t="n"/>
      <c r="E236" s="11" t="n"/>
      <c r="F236" s="9" t="n"/>
      <c r="G236" s="9" t="n"/>
      <c r="H236" s="12">
        <f>IF(A236="","",D236*E236)</f>
        <v/>
      </c>
      <c r="I236" s="12">
        <f>IF(A236="","",IF(Rates!$B$6=1,MIN(H236,Rates!$B$5),H236)*(Rates!$B$4+Rates!$B$13))</f>
        <v/>
      </c>
      <c r="J236" s="12">
        <f>IF(A236="","",IF(D236&lt;=Rates!$B$8,D236*Rates!$B$7,0))</f>
        <v/>
      </c>
      <c r="K236" s="12">
        <f>IF(A236="","",H236*Rates!$B$9)</f>
        <v/>
      </c>
      <c r="L236" s="12">
        <f>IF(A236="","",IF(D236&lt;=Rates!$B$11,H236*Rates!$B$10,0))</f>
        <v/>
      </c>
      <c r="M236" s="12">
        <f>IF(A236="","",Rates!$B$12/12)</f>
        <v/>
      </c>
      <c r="N236" s="12">
        <f>IF(A236="","",D236+I236+J236+K236+L236+M236)</f>
        <v/>
      </c>
      <c r="O236" s="13">
        <f>IF(A236="","",MAX(0,MIN(12,IF(G236="",12,G236))-MAX(1,F236)+1))</f>
        <v/>
      </c>
      <c r="P236" s="12">
        <f>IF(A236="","",N236*O236)</f>
        <v/>
      </c>
      <c r="Q236" s="12">
        <f>IF(A236="","",0.12*IF(Rates!$B$6=1,MIN(H236,Rates!$B$5),H236))</f>
        <v/>
      </c>
      <c r="R236" s="12">
        <f>IF(A236="","",IF(D236&lt;=Rates!$B$8,D236*0.0075,0))</f>
        <v/>
      </c>
    </row>
    <row r="237">
      <c r="A237" s="10" t="n"/>
      <c r="B237" s="10" t="n"/>
      <c r="C237" s="10" t="n"/>
      <c r="D237" s="8" t="n"/>
      <c r="E237" s="11" t="n"/>
      <c r="F237" s="9" t="n"/>
      <c r="G237" s="9" t="n"/>
      <c r="H237" s="12">
        <f>IF(A237="","",D237*E237)</f>
        <v/>
      </c>
      <c r="I237" s="12">
        <f>IF(A237="","",IF(Rates!$B$6=1,MIN(H237,Rates!$B$5),H237)*(Rates!$B$4+Rates!$B$13))</f>
        <v/>
      </c>
      <c r="J237" s="12">
        <f>IF(A237="","",IF(D237&lt;=Rates!$B$8,D237*Rates!$B$7,0))</f>
        <v/>
      </c>
      <c r="K237" s="12">
        <f>IF(A237="","",H237*Rates!$B$9)</f>
        <v/>
      </c>
      <c r="L237" s="12">
        <f>IF(A237="","",IF(D237&lt;=Rates!$B$11,H237*Rates!$B$10,0))</f>
        <v/>
      </c>
      <c r="M237" s="12">
        <f>IF(A237="","",Rates!$B$12/12)</f>
        <v/>
      </c>
      <c r="N237" s="12">
        <f>IF(A237="","",D237+I237+J237+K237+L237+M237)</f>
        <v/>
      </c>
      <c r="O237" s="13">
        <f>IF(A237="","",MAX(0,MIN(12,IF(G237="",12,G237))-MAX(1,F237)+1))</f>
        <v/>
      </c>
      <c r="P237" s="12">
        <f>IF(A237="","",N237*O237)</f>
        <v/>
      </c>
      <c r="Q237" s="12">
        <f>IF(A237="","",0.12*IF(Rates!$B$6=1,MIN(H237,Rates!$B$5),H237))</f>
        <v/>
      </c>
      <c r="R237" s="12">
        <f>IF(A237="","",IF(D237&lt;=Rates!$B$8,D237*0.0075,0))</f>
        <v/>
      </c>
    </row>
    <row r="238">
      <c r="A238" s="10" t="n"/>
      <c r="B238" s="10" t="n"/>
      <c r="C238" s="10" t="n"/>
      <c r="D238" s="8" t="n"/>
      <c r="E238" s="11" t="n"/>
      <c r="F238" s="9" t="n"/>
      <c r="G238" s="9" t="n"/>
      <c r="H238" s="12">
        <f>IF(A238="","",D238*E238)</f>
        <v/>
      </c>
      <c r="I238" s="12">
        <f>IF(A238="","",IF(Rates!$B$6=1,MIN(H238,Rates!$B$5),H238)*(Rates!$B$4+Rates!$B$13))</f>
        <v/>
      </c>
      <c r="J238" s="12">
        <f>IF(A238="","",IF(D238&lt;=Rates!$B$8,D238*Rates!$B$7,0))</f>
        <v/>
      </c>
      <c r="K238" s="12">
        <f>IF(A238="","",H238*Rates!$B$9)</f>
        <v/>
      </c>
      <c r="L238" s="12">
        <f>IF(A238="","",IF(D238&lt;=Rates!$B$11,H238*Rates!$B$10,0))</f>
        <v/>
      </c>
      <c r="M238" s="12">
        <f>IF(A238="","",Rates!$B$12/12)</f>
        <v/>
      </c>
      <c r="N238" s="12">
        <f>IF(A238="","",D238+I238+J238+K238+L238+M238)</f>
        <v/>
      </c>
      <c r="O238" s="13">
        <f>IF(A238="","",MAX(0,MIN(12,IF(G238="",12,G238))-MAX(1,F238)+1))</f>
        <v/>
      </c>
      <c r="P238" s="12">
        <f>IF(A238="","",N238*O238)</f>
        <v/>
      </c>
      <c r="Q238" s="12">
        <f>IF(A238="","",0.12*IF(Rates!$B$6=1,MIN(H238,Rates!$B$5),H238))</f>
        <v/>
      </c>
      <c r="R238" s="12">
        <f>IF(A238="","",IF(D238&lt;=Rates!$B$8,D238*0.0075,0))</f>
        <v/>
      </c>
    </row>
    <row r="239">
      <c r="A239" s="10" t="n"/>
      <c r="B239" s="10" t="n"/>
      <c r="C239" s="10" t="n"/>
      <c r="D239" s="8" t="n"/>
      <c r="E239" s="11" t="n"/>
      <c r="F239" s="9" t="n"/>
      <c r="G239" s="9" t="n"/>
      <c r="H239" s="12">
        <f>IF(A239="","",D239*E239)</f>
        <v/>
      </c>
      <c r="I239" s="12">
        <f>IF(A239="","",IF(Rates!$B$6=1,MIN(H239,Rates!$B$5),H239)*(Rates!$B$4+Rates!$B$13))</f>
        <v/>
      </c>
      <c r="J239" s="12">
        <f>IF(A239="","",IF(D239&lt;=Rates!$B$8,D239*Rates!$B$7,0))</f>
        <v/>
      </c>
      <c r="K239" s="12">
        <f>IF(A239="","",H239*Rates!$B$9)</f>
        <v/>
      </c>
      <c r="L239" s="12">
        <f>IF(A239="","",IF(D239&lt;=Rates!$B$11,H239*Rates!$B$10,0))</f>
        <v/>
      </c>
      <c r="M239" s="12">
        <f>IF(A239="","",Rates!$B$12/12)</f>
        <v/>
      </c>
      <c r="N239" s="12">
        <f>IF(A239="","",D239+I239+J239+K239+L239+M239)</f>
        <v/>
      </c>
      <c r="O239" s="13">
        <f>IF(A239="","",MAX(0,MIN(12,IF(G239="",12,G239))-MAX(1,F239)+1))</f>
        <v/>
      </c>
      <c r="P239" s="12">
        <f>IF(A239="","",N239*O239)</f>
        <v/>
      </c>
      <c r="Q239" s="12">
        <f>IF(A239="","",0.12*IF(Rates!$B$6=1,MIN(H239,Rates!$B$5),H239))</f>
        <v/>
      </c>
      <c r="R239" s="12">
        <f>IF(A239="","",IF(D239&lt;=Rates!$B$8,D239*0.0075,0))</f>
        <v/>
      </c>
    </row>
    <row r="240">
      <c r="A240" s="10" t="n"/>
      <c r="B240" s="10" t="n"/>
      <c r="C240" s="10" t="n"/>
      <c r="D240" s="8" t="n"/>
      <c r="E240" s="11" t="n"/>
      <c r="F240" s="9" t="n"/>
      <c r="G240" s="9" t="n"/>
      <c r="H240" s="12">
        <f>IF(A240="","",D240*E240)</f>
        <v/>
      </c>
      <c r="I240" s="12">
        <f>IF(A240="","",IF(Rates!$B$6=1,MIN(H240,Rates!$B$5),H240)*(Rates!$B$4+Rates!$B$13))</f>
        <v/>
      </c>
      <c r="J240" s="12">
        <f>IF(A240="","",IF(D240&lt;=Rates!$B$8,D240*Rates!$B$7,0))</f>
        <v/>
      </c>
      <c r="K240" s="12">
        <f>IF(A240="","",H240*Rates!$B$9)</f>
        <v/>
      </c>
      <c r="L240" s="12">
        <f>IF(A240="","",IF(D240&lt;=Rates!$B$11,H240*Rates!$B$10,0))</f>
        <v/>
      </c>
      <c r="M240" s="12">
        <f>IF(A240="","",Rates!$B$12/12)</f>
        <v/>
      </c>
      <c r="N240" s="12">
        <f>IF(A240="","",D240+I240+J240+K240+L240+M240)</f>
        <v/>
      </c>
      <c r="O240" s="13">
        <f>IF(A240="","",MAX(0,MIN(12,IF(G240="",12,G240))-MAX(1,F240)+1))</f>
        <v/>
      </c>
      <c r="P240" s="12">
        <f>IF(A240="","",N240*O240)</f>
        <v/>
      </c>
      <c r="Q240" s="12">
        <f>IF(A240="","",0.12*IF(Rates!$B$6=1,MIN(H240,Rates!$B$5),H240))</f>
        <v/>
      </c>
      <c r="R240" s="12">
        <f>IF(A240="","",IF(D240&lt;=Rates!$B$8,D240*0.0075,0))</f>
        <v/>
      </c>
    </row>
    <row r="241">
      <c r="A241" s="10" t="n"/>
      <c r="B241" s="10" t="n"/>
      <c r="C241" s="10" t="n"/>
      <c r="D241" s="8" t="n"/>
      <c r="E241" s="11" t="n"/>
      <c r="F241" s="9" t="n"/>
      <c r="G241" s="9" t="n"/>
      <c r="H241" s="12">
        <f>IF(A241="","",D241*E241)</f>
        <v/>
      </c>
      <c r="I241" s="12">
        <f>IF(A241="","",IF(Rates!$B$6=1,MIN(H241,Rates!$B$5),H241)*(Rates!$B$4+Rates!$B$13))</f>
        <v/>
      </c>
      <c r="J241" s="12">
        <f>IF(A241="","",IF(D241&lt;=Rates!$B$8,D241*Rates!$B$7,0))</f>
        <v/>
      </c>
      <c r="K241" s="12">
        <f>IF(A241="","",H241*Rates!$B$9)</f>
        <v/>
      </c>
      <c r="L241" s="12">
        <f>IF(A241="","",IF(D241&lt;=Rates!$B$11,H241*Rates!$B$10,0))</f>
        <v/>
      </c>
      <c r="M241" s="12">
        <f>IF(A241="","",Rates!$B$12/12)</f>
        <v/>
      </c>
      <c r="N241" s="12">
        <f>IF(A241="","",D241+I241+J241+K241+L241+M241)</f>
        <v/>
      </c>
      <c r="O241" s="13">
        <f>IF(A241="","",MAX(0,MIN(12,IF(G241="",12,G241))-MAX(1,F241)+1))</f>
        <v/>
      </c>
      <c r="P241" s="12">
        <f>IF(A241="","",N241*O241)</f>
        <v/>
      </c>
      <c r="Q241" s="12">
        <f>IF(A241="","",0.12*IF(Rates!$B$6=1,MIN(H241,Rates!$B$5),H241))</f>
        <v/>
      </c>
      <c r="R241" s="12">
        <f>IF(A241="","",IF(D241&lt;=Rates!$B$8,D241*0.0075,0))</f>
        <v/>
      </c>
    </row>
    <row r="242">
      <c r="A242" s="10" t="n"/>
      <c r="B242" s="10" t="n"/>
      <c r="C242" s="10" t="n"/>
      <c r="D242" s="8" t="n"/>
      <c r="E242" s="11" t="n"/>
      <c r="F242" s="9" t="n"/>
      <c r="G242" s="9" t="n"/>
      <c r="H242" s="12">
        <f>IF(A242="","",D242*E242)</f>
        <v/>
      </c>
      <c r="I242" s="12">
        <f>IF(A242="","",IF(Rates!$B$6=1,MIN(H242,Rates!$B$5),H242)*(Rates!$B$4+Rates!$B$13))</f>
        <v/>
      </c>
      <c r="J242" s="12">
        <f>IF(A242="","",IF(D242&lt;=Rates!$B$8,D242*Rates!$B$7,0))</f>
        <v/>
      </c>
      <c r="K242" s="12">
        <f>IF(A242="","",H242*Rates!$B$9)</f>
        <v/>
      </c>
      <c r="L242" s="12">
        <f>IF(A242="","",IF(D242&lt;=Rates!$B$11,H242*Rates!$B$10,0))</f>
        <v/>
      </c>
      <c r="M242" s="12">
        <f>IF(A242="","",Rates!$B$12/12)</f>
        <v/>
      </c>
      <c r="N242" s="12">
        <f>IF(A242="","",D242+I242+J242+K242+L242+M242)</f>
        <v/>
      </c>
      <c r="O242" s="13">
        <f>IF(A242="","",MAX(0,MIN(12,IF(G242="",12,G242))-MAX(1,F242)+1))</f>
        <v/>
      </c>
      <c r="P242" s="12">
        <f>IF(A242="","",N242*O242)</f>
        <v/>
      </c>
      <c r="Q242" s="12">
        <f>IF(A242="","",0.12*IF(Rates!$B$6=1,MIN(H242,Rates!$B$5),H242))</f>
        <v/>
      </c>
      <c r="R242" s="12">
        <f>IF(A242="","",IF(D242&lt;=Rates!$B$8,D242*0.0075,0))</f>
        <v/>
      </c>
    </row>
    <row r="243">
      <c r="A243" s="10" t="n"/>
      <c r="B243" s="10" t="n"/>
      <c r="C243" s="10" t="n"/>
      <c r="D243" s="8" t="n"/>
      <c r="E243" s="11" t="n"/>
      <c r="F243" s="9" t="n"/>
      <c r="G243" s="9" t="n"/>
      <c r="H243" s="12">
        <f>IF(A243="","",D243*E243)</f>
        <v/>
      </c>
      <c r="I243" s="12">
        <f>IF(A243="","",IF(Rates!$B$6=1,MIN(H243,Rates!$B$5),H243)*(Rates!$B$4+Rates!$B$13))</f>
        <v/>
      </c>
      <c r="J243" s="12">
        <f>IF(A243="","",IF(D243&lt;=Rates!$B$8,D243*Rates!$B$7,0))</f>
        <v/>
      </c>
      <c r="K243" s="12">
        <f>IF(A243="","",H243*Rates!$B$9)</f>
        <v/>
      </c>
      <c r="L243" s="12">
        <f>IF(A243="","",IF(D243&lt;=Rates!$B$11,H243*Rates!$B$10,0))</f>
        <v/>
      </c>
      <c r="M243" s="12">
        <f>IF(A243="","",Rates!$B$12/12)</f>
        <v/>
      </c>
      <c r="N243" s="12">
        <f>IF(A243="","",D243+I243+J243+K243+L243+M243)</f>
        <v/>
      </c>
      <c r="O243" s="13">
        <f>IF(A243="","",MAX(0,MIN(12,IF(G243="",12,G243))-MAX(1,F243)+1))</f>
        <v/>
      </c>
      <c r="P243" s="12">
        <f>IF(A243="","",N243*O243)</f>
        <v/>
      </c>
      <c r="Q243" s="12">
        <f>IF(A243="","",0.12*IF(Rates!$B$6=1,MIN(H243,Rates!$B$5),H243))</f>
        <v/>
      </c>
      <c r="R243" s="12">
        <f>IF(A243="","",IF(D243&lt;=Rates!$B$8,D243*0.0075,0))</f>
        <v/>
      </c>
    </row>
    <row r="244">
      <c r="A244" s="10" t="n"/>
      <c r="B244" s="10" t="n"/>
      <c r="C244" s="10" t="n"/>
      <c r="D244" s="8" t="n"/>
      <c r="E244" s="11" t="n"/>
      <c r="F244" s="9" t="n"/>
      <c r="G244" s="9" t="n"/>
      <c r="H244" s="12">
        <f>IF(A244="","",D244*E244)</f>
        <v/>
      </c>
      <c r="I244" s="12">
        <f>IF(A244="","",IF(Rates!$B$6=1,MIN(H244,Rates!$B$5),H244)*(Rates!$B$4+Rates!$B$13))</f>
        <v/>
      </c>
      <c r="J244" s="12">
        <f>IF(A244="","",IF(D244&lt;=Rates!$B$8,D244*Rates!$B$7,0))</f>
        <v/>
      </c>
      <c r="K244" s="12">
        <f>IF(A244="","",H244*Rates!$B$9)</f>
        <v/>
      </c>
      <c r="L244" s="12">
        <f>IF(A244="","",IF(D244&lt;=Rates!$B$11,H244*Rates!$B$10,0))</f>
        <v/>
      </c>
      <c r="M244" s="12">
        <f>IF(A244="","",Rates!$B$12/12)</f>
        <v/>
      </c>
      <c r="N244" s="12">
        <f>IF(A244="","",D244+I244+J244+K244+L244+M244)</f>
        <v/>
      </c>
      <c r="O244" s="13">
        <f>IF(A244="","",MAX(0,MIN(12,IF(G244="",12,G244))-MAX(1,F244)+1))</f>
        <v/>
      </c>
      <c r="P244" s="12">
        <f>IF(A244="","",N244*O244)</f>
        <v/>
      </c>
      <c r="Q244" s="12">
        <f>IF(A244="","",0.12*IF(Rates!$B$6=1,MIN(H244,Rates!$B$5),H244))</f>
        <v/>
      </c>
      <c r="R244" s="12">
        <f>IF(A244="","",IF(D244&lt;=Rates!$B$8,D244*0.0075,0))</f>
        <v/>
      </c>
    </row>
    <row r="245">
      <c r="A245" s="10" t="n"/>
      <c r="B245" s="10" t="n"/>
      <c r="C245" s="10" t="n"/>
      <c r="D245" s="8" t="n"/>
      <c r="E245" s="11" t="n"/>
      <c r="F245" s="9" t="n"/>
      <c r="G245" s="9" t="n"/>
      <c r="H245" s="12">
        <f>IF(A245="","",D245*E245)</f>
        <v/>
      </c>
      <c r="I245" s="12">
        <f>IF(A245="","",IF(Rates!$B$6=1,MIN(H245,Rates!$B$5),H245)*(Rates!$B$4+Rates!$B$13))</f>
        <v/>
      </c>
      <c r="J245" s="12">
        <f>IF(A245="","",IF(D245&lt;=Rates!$B$8,D245*Rates!$B$7,0))</f>
        <v/>
      </c>
      <c r="K245" s="12">
        <f>IF(A245="","",H245*Rates!$B$9)</f>
        <v/>
      </c>
      <c r="L245" s="12">
        <f>IF(A245="","",IF(D245&lt;=Rates!$B$11,H245*Rates!$B$10,0))</f>
        <v/>
      </c>
      <c r="M245" s="12">
        <f>IF(A245="","",Rates!$B$12/12)</f>
        <v/>
      </c>
      <c r="N245" s="12">
        <f>IF(A245="","",D245+I245+J245+K245+L245+M245)</f>
        <v/>
      </c>
      <c r="O245" s="13">
        <f>IF(A245="","",MAX(0,MIN(12,IF(G245="",12,G245))-MAX(1,F245)+1))</f>
        <v/>
      </c>
      <c r="P245" s="12">
        <f>IF(A245="","",N245*O245)</f>
        <v/>
      </c>
      <c r="Q245" s="12">
        <f>IF(A245="","",0.12*IF(Rates!$B$6=1,MIN(H245,Rates!$B$5),H245))</f>
        <v/>
      </c>
      <c r="R245" s="12">
        <f>IF(A245="","",IF(D245&lt;=Rates!$B$8,D245*0.0075,0))</f>
        <v/>
      </c>
    </row>
    <row r="246">
      <c r="A246" s="10" t="n"/>
      <c r="B246" s="10" t="n"/>
      <c r="C246" s="10" t="n"/>
      <c r="D246" s="8" t="n"/>
      <c r="E246" s="11" t="n"/>
      <c r="F246" s="9" t="n"/>
      <c r="G246" s="9" t="n"/>
      <c r="H246" s="12">
        <f>IF(A246="","",D246*E246)</f>
        <v/>
      </c>
      <c r="I246" s="12">
        <f>IF(A246="","",IF(Rates!$B$6=1,MIN(H246,Rates!$B$5),H246)*(Rates!$B$4+Rates!$B$13))</f>
        <v/>
      </c>
      <c r="J246" s="12">
        <f>IF(A246="","",IF(D246&lt;=Rates!$B$8,D246*Rates!$B$7,0))</f>
        <v/>
      </c>
      <c r="K246" s="12">
        <f>IF(A246="","",H246*Rates!$B$9)</f>
        <v/>
      </c>
      <c r="L246" s="12">
        <f>IF(A246="","",IF(D246&lt;=Rates!$B$11,H246*Rates!$B$10,0))</f>
        <v/>
      </c>
      <c r="M246" s="12">
        <f>IF(A246="","",Rates!$B$12/12)</f>
        <v/>
      </c>
      <c r="N246" s="12">
        <f>IF(A246="","",D246+I246+J246+K246+L246+M246)</f>
        <v/>
      </c>
      <c r="O246" s="13">
        <f>IF(A246="","",MAX(0,MIN(12,IF(G246="",12,G246))-MAX(1,F246)+1))</f>
        <v/>
      </c>
      <c r="P246" s="12">
        <f>IF(A246="","",N246*O246)</f>
        <v/>
      </c>
      <c r="Q246" s="12">
        <f>IF(A246="","",0.12*IF(Rates!$B$6=1,MIN(H246,Rates!$B$5),H246))</f>
        <v/>
      </c>
      <c r="R246" s="12">
        <f>IF(A246="","",IF(D246&lt;=Rates!$B$8,D246*0.0075,0))</f>
        <v/>
      </c>
    </row>
    <row r="247">
      <c r="A247" s="10" t="n"/>
      <c r="B247" s="10" t="n"/>
      <c r="C247" s="10" t="n"/>
      <c r="D247" s="8" t="n"/>
      <c r="E247" s="11" t="n"/>
      <c r="F247" s="9" t="n"/>
      <c r="G247" s="9" t="n"/>
      <c r="H247" s="12">
        <f>IF(A247="","",D247*E247)</f>
        <v/>
      </c>
      <c r="I247" s="12">
        <f>IF(A247="","",IF(Rates!$B$6=1,MIN(H247,Rates!$B$5),H247)*(Rates!$B$4+Rates!$B$13))</f>
        <v/>
      </c>
      <c r="J247" s="12">
        <f>IF(A247="","",IF(D247&lt;=Rates!$B$8,D247*Rates!$B$7,0))</f>
        <v/>
      </c>
      <c r="K247" s="12">
        <f>IF(A247="","",H247*Rates!$B$9)</f>
        <v/>
      </c>
      <c r="L247" s="12">
        <f>IF(A247="","",IF(D247&lt;=Rates!$B$11,H247*Rates!$B$10,0))</f>
        <v/>
      </c>
      <c r="M247" s="12">
        <f>IF(A247="","",Rates!$B$12/12)</f>
        <v/>
      </c>
      <c r="N247" s="12">
        <f>IF(A247="","",D247+I247+J247+K247+L247+M247)</f>
        <v/>
      </c>
      <c r="O247" s="13">
        <f>IF(A247="","",MAX(0,MIN(12,IF(G247="",12,G247))-MAX(1,F247)+1))</f>
        <v/>
      </c>
      <c r="P247" s="12">
        <f>IF(A247="","",N247*O247)</f>
        <v/>
      </c>
      <c r="Q247" s="12">
        <f>IF(A247="","",0.12*IF(Rates!$B$6=1,MIN(H247,Rates!$B$5),H247))</f>
        <v/>
      </c>
      <c r="R247" s="12">
        <f>IF(A247="","",IF(D247&lt;=Rates!$B$8,D247*0.0075,0))</f>
        <v/>
      </c>
    </row>
    <row r="248">
      <c r="A248" s="10" t="n"/>
      <c r="B248" s="10" t="n"/>
      <c r="C248" s="10" t="n"/>
      <c r="D248" s="8" t="n"/>
      <c r="E248" s="11" t="n"/>
      <c r="F248" s="9" t="n"/>
      <c r="G248" s="9" t="n"/>
      <c r="H248" s="12">
        <f>IF(A248="","",D248*E248)</f>
        <v/>
      </c>
      <c r="I248" s="12">
        <f>IF(A248="","",IF(Rates!$B$6=1,MIN(H248,Rates!$B$5),H248)*(Rates!$B$4+Rates!$B$13))</f>
        <v/>
      </c>
      <c r="J248" s="12">
        <f>IF(A248="","",IF(D248&lt;=Rates!$B$8,D248*Rates!$B$7,0))</f>
        <v/>
      </c>
      <c r="K248" s="12">
        <f>IF(A248="","",H248*Rates!$B$9)</f>
        <v/>
      </c>
      <c r="L248" s="12">
        <f>IF(A248="","",IF(D248&lt;=Rates!$B$11,H248*Rates!$B$10,0))</f>
        <v/>
      </c>
      <c r="M248" s="12">
        <f>IF(A248="","",Rates!$B$12/12)</f>
        <v/>
      </c>
      <c r="N248" s="12">
        <f>IF(A248="","",D248+I248+J248+K248+L248+M248)</f>
        <v/>
      </c>
      <c r="O248" s="13">
        <f>IF(A248="","",MAX(0,MIN(12,IF(G248="",12,G248))-MAX(1,F248)+1))</f>
        <v/>
      </c>
      <c r="P248" s="12">
        <f>IF(A248="","",N248*O248)</f>
        <v/>
      </c>
      <c r="Q248" s="12">
        <f>IF(A248="","",0.12*IF(Rates!$B$6=1,MIN(H248,Rates!$B$5),H248))</f>
        <v/>
      </c>
      <c r="R248" s="12">
        <f>IF(A248="","",IF(D248&lt;=Rates!$B$8,D248*0.0075,0))</f>
        <v/>
      </c>
    </row>
    <row r="249">
      <c r="A249" s="10" t="n"/>
      <c r="B249" s="10" t="n"/>
      <c r="C249" s="10" t="n"/>
      <c r="D249" s="8" t="n"/>
      <c r="E249" s="11" t="n"/>
      <c r="F249" s="9" t="n"/>
      <c r="G249" s="9" t="n"/>
      <c r="H249" s="12">
        <f>IF(A249="","",D249*E249)</f>
        <v/>
      </c>
      <c r="I249" s="12">
        <f>IF(A249="","",IF(Rates!$B$6=1,MIN(H249,Rates!$B$5),H249)*(Rates!$B$4+Rates!$B$13))</f>
        <v/>
      </c>
      <c r="J249" s="12">
        <f>IF(A249="","",IF(D249&lt;=Rates!$B$8,D249*Rates!$B$7,0))</f>
        <v/>
      </c>
      <c r="K249" s="12">
        <f>IF(A249="","",H249*Rates!$B$9)</f>
        <v/>
      </c>
      <c r="L249" s="12">
        <f>IF(A249="","",IF(D249&lt;=Rates!$B$11,H249*Rates!$B$10,0))</f>
        <v/>
      </c>
      <c r="M249" s="12">
        <f>IF(A249="","",Rates!$B$12/12)</f>
        <v/>
      </c>
      <c r="N249" s="12">
        <f>IF(A249="","",D249+I249+J249+K249+L249+M249)</f>
        <v/>
      </c>
      <c r="O249" s="13">
        <f>IF(A249="","",MAX(0,MIN(12,IF(G249="",12,G249))-MAX(1,F249)+1))</f>
        <v/>
      </c>
      <c r="P249" s="12">
        <f>IF(A249="","",N249*O249)</f>
        <v/>
      </c>
      <c r="Q249" s="12">
        <f>IF(A249="","",0.12*IF(Rates!$B$6=1,MIN(H249,Rates!$B$5),H249))</f>
        <v/>
      </c>
      <c r="R249" s="12">
        <f>IF(A249="","",IF(D249&lt;=Rates!$B$8,D249*0.0075,0))</f>
        <v/>
      </c>
    </row>
    <row r="250">
      <c r="A250" s="10" t="n"/>
      <c r="B250" s="10" t="n"/>
      <c r="C250" s="10" t="n"/>
      <c r="D250" s="8" t="n"/>
      <c r="E250" s="11" t="n"/>
      <c r="F250" s="9" t="n"/>
      <c r="G250" s="9" t="n"/>
      <c r="H250" s="12">
        <f>IF(A250="","",D250*E250)</f>
        <v/>
      </c>
      <c r="I250" s="12">
        <f>IF(A250="","",IF(Rates!$B$6=1,MIN(H250,Rates!$B$5),H250)*(Rates!$B$4+Rates!$B$13))</f>
        <v/>
      </c>
      <c r="J250" s="12">
        <f>IF(A250="","",IF(D250&lt;=Rates!$B$8,D250*Rates!$B$7,0))</f>
        <v/>
      </c>
      <c r="K250" s="12">
        <f>IF(A250="","",H250*Rates!$B$9)</f>
        <v/>
      </c>
      <c r="L250" s="12">
        <f>IF(A250="","",IF(D250&lt;=Rates!$B$11,H250*Rates!$B$10,0))</f>
        <v/>
      </c>
      <c r="M250" s="12">
        <f>IF(A250="","",Rates!$B$12/12)</f>
        <v/>
      </c>
      <c r="N250" s="12">
        <f>IF(A250="","",D250+I250+J250+K250+L250+M250)</f>
        <v/>
      </c>
      <c r="O250" s="13">
        <f>IF(A250="","",MAX(0,MIN(12,IF(G250="",12,G250))-MAX(1,F250)+1))</f>
        <v/>
      </c>
      <c r="P250" s="12">
        <f>IF(A250="","",N250*O250)</f>
        <v/>
      </c>
      <c r="Q250" s="12">
        <f>IF(A250="","",0.12*IF(Rates!$B$6=1,MIN(H250,Rates!$B$5),H250))</f>
        <v/>
      </c>
      <c r="R250" s="12">
        <f>IF(A250="","",IF(D250&lt;=Rates!$B$8,D250*0.0075,0))</f>
        <v/>
      </c>
    </row>
    <row r="251">
      <c r="A251" s="10" t="n"/>
      <c r="B251" s="10" t="n"/>
      <c r="C251" s="10" t="n"/>
      <c r="D251" s="8" t="n"/>
      <c r="E251" s="11" t="n"/>
      <c r="F251" s="9" t="n"/>
      <c r="G251" s="9" t="n"/>
      <c r="H251" s="12">
        <f>IF(A251="","",D251*E251)</f>
        <v/>
      </c>
      <c r="I251" s="12">
        <f>IF(A251="","",IF(Rates!$B$6=1,MIN(H251,Rates!$B$5),H251)*(Rates!$B$4+Rates!$B$13))</f>
        <v/>
      </c>
      <c r="J251" s="12">
        <f>IF(A251="","",IF(D251&lt;=Rates!$B$8,D251*Rates!$B$7,0))</f>
        <v/>
      </c>
      <c r="K251" s="12">
        <f>IF(A251="","",H251*Rates!$B$9)</f>
        <v/>
      </c>
      <c r="L251" s="12">
        <f>IF(A251="","",IF(D251&lt;=Rates!$B$11,H251*Rates!$B$10,0))</f>
        <v/>
      </c>
      <c r="M251" s="12">
        <f>IF(A251="","",Rates!$B$12/12)</f>
        <v/>
      </c>
      <c r="N251" s="12">
        <f>IF(A251="","",D251+I251+J251+K251+L251+M251)</f>
        <v/>
      </c>
      <c r="O251" s="13">
        <f>IF(A251="","",MAX(0,MIN(12,IF(G251="",12,G251))-MAX(1,F251)+1))</f>
        <v/>
      </c>
      <c r="P251" s="12">
        <f>IF(A251="","",N251*O251)</f>
        <v/>
      </c>
      <c r="Q251" s="12">
        <f>IF(A251="","",0.12*IF(Rates!$B$6=1,MIN(H251,Rates!$B$5),H251))</f>
        <v/>
      </c>
      <c r="R251" s="12">
        <f>IF(A251="","",IF(D251&lt;=Rates!$B$8,D251*0.0075,0))</f>
        <v/>
      </c>
    </row>
    <row r="252">
      <c r="A252" s="10" t="n"/>
      <c r="B252" s="10" t="n"/>
      <c r="C252" s="10" t="n"/>
      <c r="D252" s="8" t="n"/>
      <c r="E252" s="11" t="n"/>
      <c r="F252" s="9" t="n"/>
      <c r="G252" s="9" t="n"/>
      <c r="H252" s="12">
        <f>IF(A252="","",D252*E252)</f>
        <v/>
      </c>
      <c r="I252" s="12">
        <f>IF(A252="","",IF(Rates!$B$6=1,MIN(H252,Rates!$B$5),H252)*(Rates!$B$4+Rates!$B$13))</f>
        <v/>
      </c>
      <c r="J252" s="12">
        <f>IF(A252="","",IF(D252&lt;=Rates!$B$8,D252*Rates!$B$7,0))</f>
        <v/>
      </c>
      <c r="K252" s="12">
        <f>IF(A252="","",H252*Rates!$B$9)</f>
        <v/>
      </c>
      <c r="L252" s="12">
        <f>IF(A252="","",IF(D252&lt;=Rates!$B$11,H252*Rates!$B$10,0))</f>
        <v/>
      </c>
      <c r="M252" s="12">
        <f>IF(A252="","",Rates!$B$12/12)</f>
        <v/>
      </c>
      <c r="N252" s="12">
        <f>IF(A252="","",D252+I252+J252+K252+L252+M252)</f>
        <v/>
      </c>
      <c r="O252" s="13">
        <f>IF(A252="","",MAX(0,MIN(12,IF(G252="",12,G252))-MAX(1,F252)+1))</f>
        <v/>
      </c>
      <c r="P252" s="12">
        <f>IF(A252="","",N252*O252)</f>
        <v/>
      </c>
      <c r="Q252" s="12">
        <f>IF(A252="","",0.12*IF(Rates!$B$6=1,MIN(H252,Rates!$B$5),H252))</f>
        <v/>
      </c>
      <c r="R252" s="12">
        <f>IF(A252="","",IF(D252&lt;=Rates!$B$8,D252*0.0075,0))</f>
        <v/>
      </c>
    </row>
    <row r="253">
      <c r="A253" s="10" t="n"/>
      <c r="B253" s="10" t="n"/>
      <c r="C253" s="10" t="n"/>
      <c r="D253" s="8" t="n"/>
      <c r="E253" s="11" t="n"/>
      <c r="F253" s="9" t="n"/>
      <c r="G253" s="9" t="n"/>
      <c r="H253" s="12">
        <f>IF(A253="","",D253*E253)</f>
        <v/>
      </c>
      <c r="I253" s="12">
        <f>IF(A253="","",IF(Rates!$B$6=1,MIN(H253,Rates!$B$5),H253)*(Rates!$B$4+Rates!$B$13))</f>
        <v/>
      </c>
      <c r="J253" s="12">
        <f>IF(A253="","",IF(D253&lt;=Rates!$B$8,D253*Rates!$B$7,0))</f>
        <v/>
      </c>
      <c r="K253" s="12">
        <f>IF(A253="","",H253*Rates!$B$9)</f>
        <v/>
      </c>
      <c r="L253" s="12">
        <f>IF(A253="","",IF(D253&lt;=Rates!$B$11,H253*Rates!$B$10,0))</f>
        <v/>
      </c>
      <c r="M253" s="12">
        <f>IF(A253="","",Rates!$B$12/12)</f>
        <v/>
      </c>
      <c r="N253" s="12">
        <f>IF(A253="","",D253+I253+J253+K253+L253+M253)</f>
        <v/>
      </c>
      <c r="O253" s="13">
        <f>IF(A253="","",MAX(0,MIN(12,IF(G253="",12,G253))-MAX(1,F253)+1))</f>
        <v/>
      </c>
      <c r="P253" s="12">
        <f>IF(A253="","",N253*O253)</f>
        <v/>
      </c>
      <c r="Q253" s="12">
        <f>IF(A253="","",0.12*IF(Rates!$B$6=1,MIN(H253,Rates!$B$5),H253))</f>
        <v/>
      </c>
      <c r="R253" s="12">
        <f>IF(A253="","",IF(D253&lt;=Rates!$B$8,D253*0.0075,0))</f>
        <v/>
      </c>
    </row>
    <row r="254">
      <c r="A254" s="10" t="n"/>
      <c r="B254" s="10" t="n"/>
      <c r="C254" s="10" t="n"/>
      <c r="D254" s="8" t="n"/>
      <c r="E254" s="11" t="n"/>
      <c r="F254" s="9" t="n"/>
      <c r="G254" s="9" t="n"/>
      <c r="H254" s="12">
        <f>IF(A254="","",D254*E254)</f>
        <v/>
      </c>
      <c r="I254" s="12">
        <f>IF(A254="","",IF(Rates!$B$6=1,MIN(H254,Rates!$B$5),H254)*(Rates!$B$4+Rates!$B$13))</f>
        <v/>
      </c>
      <c r="J254" s="12">
        <f>IF(A254="","",IF(D254&lt;=Rates!$B$8,D254*Rates!$B$7,0))</f>
        <v/>
      </c>
      <c r="K254" s="12">
        <f>IF(A254="","",H254*Rates!$B$9)</f>
        <v/>
      </c>
      <c r="L254" s="12">
        <f>IF(A254="","",IF(D254&lt;=Rates!$B$11,H254*Rates!$B$10,0))</f>
        <v/>
      </c>
      <c r="M254" s="12">
        <f>IF(A254="","",Rates!$B$12/12)</f>
        <v/>
      </c>
      <c r="N254" s="12">
        <f>IF(A254="","",D254+I254+J254+K254+L254+M254)</f>
        <v/>
      </c>
      <c r="O254" s="13">
        <f>IF(A254="","",MAX(0,MIN(12,IF(G254="",12,G254))-MAX(1,F254)+1))</f>
        <v/>
      </c>
      <c r="P254" s="12">
        <f>IF(A254="","",N254*O254)</f>
        <v/>
      </c>
      <c r="Q254" s="12">
        <f>IF(A254="","",0.12*IF(Rates!$B$6=1,MIN(H254,Rates!$B$5),H254))</f>
        <v/>
      </c>
      <c r="R254" s="12">
        <f>IF(A254="","",IF(D254&lt;=Rates!$B$8,D254*0.0075,0))</f>
        <v/>
      </c>
    </row>
    <row r="255">
      <c r="A255" s="10" t="n"/>
      <c r="B255" s="10" t="n"/>
      <c r="C255" s="10" t="n"/>
      <c r="D255" s="8" t="n"/>
      <c r="E255" s="11" t="n"/>
      <c r="F255" s="9" t="n"/>
      <c r="G255" s="9" t="n"/>
      <c r="H255" s="12">
        <f>IF(A255="","",D255*E255)</f>
        <v/>
      </c>
      <c r="I255" s="12">
        <f>IF(A255="","",IF(Rates!$B$6=1,MIN(H255,Rates!$B$5),H255)*(Rates!$B$4+Rates!$B$13))</f>
        <v/>
      </c>
      <c r="J255" s="12">
        <f>IF(A255="","",IF(D255&lt;=Rates!$B$8,D255*Rates!$B$7,0))</f>
        <v/>
      </c>
      <c r="K255" s="12">
        <f>IF(A255="","",H255*Rates!$B$9)</f>
        <v/>
      </c>
      <c r="L255" s="12">
        <f>IF(A255="","",IF(D255&lt;=Rates!$B$11,H255*Rates!$B$10,0))</f>
        <v/>
      </c>
      <c r="M255" s="12">
        <f>IF(A255="","",Rates!$B$12/12)</f>
        <v/>
      </c>
      <c r="N255" s="12">
        <f>IF(A255="","",D255+I255+J255+K255+L255+M255)</f>
        <v/>
      </c>
      <c r="O255" s="13">
        <f>IF(A255="","",MAX(0,MIN(12,IF(G255="",12,G255))-MAX(1,F255)+1))</f>
        <v/>
      </c>
      <c r="P255" s="12">
        <f>IF(A255="","",N255*O255)</f>
        <v/>
      </c>
      <c r="Q255" s="12">
        <f>IF(A255="","",0.12*IF(Rates!$B$6=1,MIN(H255,Rates!$B$5),H255))</f>
        <v/>
      </c>
      <c r="R255" s="12">
        <f>IF(A255="","",IF(D255&lt;=Rates!$B$8,D255*0.0075,0))</f>
        <v/>
      </c>
    </row>
    <row r="256">
      <c r="A256" s="10" t="n"/>
      <c r="B256" s="10" t="n"/>
      <c r="C256" s="10" t="n"/>
      <c r="D256" s="8" t="n"/>
      <c r="E256" s="11" t="n"/>
      <c r="F256" s="9" t="n"/>
      <c r="G256" s="9" t="n"/>
      <c r="H256" s="12">
        <f>IF(A256="","",D256*E256)</f>
        <v/>
      </c>
      <c r="I256" s="12">
        <f>IF(A256="","",IF(Rates!$B$6=1,MIN(H256,Rates!$B$5),H256)*(Rates!$B$4+Rates!$B$13))</f>
        <v/>
      </c>
      <c r="J256" s="12">
        <f>IF(A256="","",IF(D256&lt;=Rates!$B$8,D256*Rates!$B$7,0))</f>
        <v/>
      </c>
      <c r="K256" s="12">
        <f>IF(A256="","",H256*Rates!$B$9)</f>
        <v/>
      </c>
      <c r="L256" s="12">
        <f>IF(A256="","",IF(D256&lt;=Rates!$B$11,H256*Rates!$B$10,0))</f>
        <v/>
      </c>
      <c r="M256" s="12">
        <f>IF(A256="","",Rates!$B$12/12)</f>
        <v/>
      </c>
      <c r="N256" s="12">
        <f>IF(A256="","",D256+I256+J256+K256+L256+M256)</f>
        <v/>
      </c>
      <c r="O256" s="13">
        <f>IF(A256="","",MAX(0,MIN(12,IF(G256="",12,G256))-MAX(1,F256)+1))</f>
        <v/>
      </c>
      <c r="P256" s="12">
        <f>IF(A256="","",N256*O256)</f>
        <v/>
      </c>
      <c r="Q256" s="12">
        <f>IF(A256="","",0.12*IF(Rates!$B$6=1,MIN(H256,Rates!$B$5),H256))</f>
        <v/>
      </c>
      <c r="R256" s="12">
        <f>IF(A256="","",IF(D256&lt;=Rates!$B$8,D256*0.0075,0))</f>
        <v/>
      </c>
    </row>
    <row r="257">
      <c r="A257" s="10" t="n"/>
      <c r="B257" s="10" t="n"/>
      <c r="C257" s="10" t="n"/>
      <c r="D257" s="8" t="n"/>
      <c r="E257" s="11" t="n"/>
      <c r="F257" s="9" t="n"/>
      <c r="G257" s="9" t="n"/>
      <c r="H257" s="12">
        <f>IF(A257="","",D257*E257)</f>
        <v/>
      </c>
      <c r="I257" s="12">
        <f>IF(A257="","",IF(Rates!$B$6=1,MIN(H257,Rates!$B$5),H257)*(Rates!$B$4+Rates!$B$13))</f>
        <v/>
      </c>
      <c r="J257" s="12">
        <f>IF(A257="","",IF(D257&lt;=Rates!$B$8,D257*Rates!$B$7,0))</f>
        <v/>
      </c>
      <c r="K257" s="12">
        <f>IF(A257="","",H257*Rates!$B$9)</f>
        <v/>
      </c>
      <c r="L257" s="12">
        <f>IF(A257="","",IF(D257&lt;=Rates!$B$11,H257*Rates!$B$10,0))</f>
        <v/>
      </c>
      <c r="M257" s="12">
        <f>IF(A257="","",Rates!$B$12/12)</f>
        <v/>
      </c>
      <c r="N257" s="12">
        <f>IF(A257="","",D257+I257+J257+K257+L257+M257)</f>
        <v/>
      </c>
      <c r="O257" s="13">
        <f>IF(A257="","",MAX(0,MIN(12,IF(G257="",12,G257))-MAX(1,F257)+1))</f>
        <v/>
      </c>
      <c r="P257" s="12">
        <f>IF(A257="","",N257*O257)</f>
        <v/>
      </c>
      <c r="Q257" s="12">
        <f>IF(A257="","",0.12*IF(Rates!$B$6=1,MIN(H257,Rates!$B$5),H257))</f>
        <v/>
      </c>
      <c r="R257" s="12">
        <f>IF(A257="","",IF(D257&lt;=Rates!$B$8,D257*0.0075,0))</f>
        <v/>
      </c>
    </row>
    <row r="258">
      <c r="A258" s="10" t="n"/>
      <c r="B258" s="10" t="n"/>
      <c r="C258" s="10" t="n"/>
      <c r="D258" s="8" t="n"/>
      <c r="E258" s="11" t="n"/>
      <c r="F258" s="9" t="n"/>
      <c r="G258" s="9" t="n"/>
      <c r="H258" s="12">
        <f>IF(A258="","",D258*E258)</f>
        <v/>
      </c>
      <c r="I258" s="12">
        <f>IF(A258="","",IF(Rates!$B$6=1,MIN(H258,Rates!$B$5),H258)*(Rates!$B$4+Rates!$B$13))</f>
        <v/>
      </c>
      <c r="J258" s="12">
        <f>IF(A258="","",IF(D258&lt;=Rates!$B$8,D258*Rates!$B$7,0))</f>
        <v/>
      </c>
      <c r="K258" s="12">
        <f>IF(A258="","",H258*Rates!$B$9)</f>
        <v/>
      </c>
      <c r="L258" s="12">
        <f>IF(A258="","",IF(D258&lt;=Rates!$B$11,H258*Rates!$B$10,0))</f>
        <v/>
      </c>
      <c r="M258" s="12">
        <f>IF(A258="","",Rates!$B$12/12)</f>
        <v/>
      </c>
      <c r="N258" s="12">
        <f>IF(A258="","",D258+I258+J258+K258+L258+M258)</f>
        <v/>
      </c>
      <c r="O258" s="13">
        <f>IF(A258="","",MAX(0,MIN(12,IF(G258="",12,G258))-MAX(1,F258)+1))</f>
        <v/>
      </c>
      <c r="P258" s="12">
        <f>IF(A258="","",N258*O258)</f>
        <v/>
      </c>
      <c r="Q258" s="12">
        <f>IF(A258="","",0.12*IF(Rates!$B$6=1,MIN(H258,Rates!$B$5),H258))</f>
        <v/>
      </c>
      <c r="R258" s="12">
        <f>IF(A258="","",IF(D258&lt;=Rates!$B$8,D258*0.0075,0))</f>
        <v/>
      </c>
    </row>
    <row r="259">
      <c r="A259" s="10" t="n"/>
      <c r="B259" s="10" t="n"/>
      <c r="C259" s="10" t="n"/>
      <c r="D259" s="8" t="n"/>
      <c r="E259" s="11" t="n"/>
      <c r="F259" s="9" t="n"/>
      <c r="G259" s="9" t="n"/>
      <c r="H259" s="12">
        <f>IF(A259="","",D259*E259)</f>
        <v/>
      </c>
      <c r="I259" s="12">
        <f>IF(A259="","",IF(Rates!$B$6=1,MIN(H259,Rates!$B$5),H259)*(Rates!$B$4+Rates!$B$13))</f>
        <v/>
      </c>
      <c r="J259" s="12">
        <f>IF(A259="","",IF(D259&lt;=Rates!$B$8,D259*Rates!$B$7,0))</f>
        <v/>
      </c>
      <c r="K259" s="12">
        <f>IF(A259="","",H259*Rates!$B$9)</f>
        <v/>
      </c>
      <c r="L259" s="12">
        <f>IF(A259="","",IF(D259&lt;=Rates!$B$11,H259*Rates!$B$10,0))</f>
        <v/>
      </c>
      <c r="M259" s="12">
        <f>IF(A259="","",Rates!$B$12/12)</f>
        <v/>
      </c>
      <c r="N259" s="12">
        <f>IF(A259="","",D259+I259+J259+K259+L259+M259)</f>
        <v/>
      </c>
      <c r="O259" s="13">
        <f>IF(A259="","",MAX(0,MIN(12,IF(G259="",12,G259))-MAX(1,F259)+1))</f>
        <v/>
      </c>
      <c r="P259" s="12">
        <f>IF(A259="","",N259*O259)</f>
        <v/>
      </c>
      <c r="Q259" s="12">
        <f>IF(A259="","",0.12*IF(Rates!$B$6=1,MIN(H259,Rates!$B$5),H259))</f>
        <v/>
      </c>
      <c r="R259" s="12">
        <f>IF(A259="","",IF(D259&lt;=Rates!$B$8,D259*0.0075,0))</f>
        <v/>
      </c>
    </row>
    <row r="260">
      <c r="A260" s="10" t="n"/>
      <c r="B260" s="10" t="n"/>
      <c r="C260" s="10" t="n"/>
      <c r="D260" s="8" t="n"/>
      <c r="E260" s="11" t="n"/>
      <c r="F260" s="9" t="n"/>
      <c r="G260" s="9" t="n"/>
      <c r="H260" s="12">
        <f>IF(A260="","",D260*E260)</f>
        <v/>
      </c>
      <c r="I260" s="12">
        <f>IF(A260="","",IF(Rates!$B$6=1,MIN(H260,Rates!$B$5),H260)*(Rates!$B$4+Rates!$B$13))</f>
        <v/>
      </c>
      <c r="J260" s="12">
        <f>IF(A260="","",IF(D260&lt;=Rates!$B$8,D260*Rates!$B$7,0))</f>
        <v/>
      </c>
      <c r="K260" s="12">
        <f>IF(A260="","",H260*Rates!$B$9)</f>
        <v/>
      </c>
      <c r="L260" s="12">
        <f>IF(A260="","",IF(D260&lt;=Rates!$B$11,H260*Rates!$B$10,0))</f>
        <v/>
      </c>
      <c r="M260" s="12">
        <f>IF(A260="","",Rates!$B$12/12)</f>
        <v/>
      </c>
      <c r="N260" s="12">
        <f>IF(A260="","",D260+I260+J260+K260+L260+M260)</f>
        <v/>
      </c>
      <c r="O260" s="13">
        <f>IF(A260="","",MAX(0,MIN(12,IF(G260="",12,G260))-MAX(1,F260)+1))</f>
        <v/>
      </c>
      <c r="P260" s="12">
        <f>IF(A260="","",N260*O260)</f>
        <v/>
      </c>
      <c r="Q260" s="12">
        <f>IF(A260="","",0.12*IF(Rates!$B$6=1,MIN(H260,Rates!$B$5),H260))</f>
        <v/>
      </c>
      <c r="R260" s="12">
        <f>IF(A260="","",IF(D260&lt;=Rates!$B$8,D260*0.0075,0))</f>
        <v/>
      </c>
    </row>
    <row r="261">
      <c r="A261" s="10" t="n"/>
      <c r="B261" s="10" t="n"/>
      <c r="C261" s="10" t="n"/>
      <c r="D261" s="8" t="n"/>
      <c r="E261" s="11" t="n"/>
      <c r="F261" s="9" t="n"/>
      <c r="G261" s="9" t="n"/>
      <c r="H261" s="12">
        <f>IF(A261="","",D261*E261)</f>
        <v/>
      </c>
      <c r="I261" s="12">
        <f>IF(A261="","",IF(Rates!$B$6=1,MIN(H261,Rates!$B$5),H261)*(Rates!$B$4+Rates!$B$13))</f>
        <v/>
      </c>
      <c r="J261" s="12">
        <f>IF(A261="","",IF(D261&lt;=Rates!$B$8,D261*Rates!$B$7,0))</f>
        <v/>
      </c>
      <c r="K261" s="12">
        <f>IF(A261="","",H261*Rates!$B$9)</f>
        <v/>
      </c>
      <c r="L261" s="12">
        <f>IF(A261="","",IF(D261&lt;=Rates!$B$11,H261*Rates!$B$10,0))</f>
        <v/>
      </c>
      <c r="M261" s="12">
        <f>IF(A261="","",Rates!$B$12/12)</f>
        <v/>
      </c>
      <c r="N261" s="12">
        <f>IF(A261="","",D261+I261+J261+K261+L261+M261)</f>
        <v/>
      </c>
      <c r="O261" s="13">
        <f>IF(A261="","",MAX(0,MIN(12,IF(G261="",12,G261))-MAX(1,F261)+1))</f>
        <v/>
      </c>
      <c r="P261" s="12">
        <f>IF(A261="","",N261*O261)</f>
        <v/>
      </c>
      <c r="Q261" s="12">
        <f>IF(A261="","",0.12*IF(Rates!$B$6=1,MIN(H261,Rates!$B$5),H261))</f>
        <v/>
      </c>
      <c r="R261" s="12">
        <f>IF(A261="","",IF(D261&lt;=Rates!$B$8,D261*0.0075,0))</f>
        <v/>
      </c>
    </row>
    <row r="262">
      <c r="A262" s="10" t="n"/>
      <c r="B262" s="10" t="n"/>
      <c r="C262" s="10" t="n"/>
      <c r="D262" s="8" t="n"/>
      <c r="E262" s="11" t="n"/>
      <c r="F262" s="9" t="n"/>
      <c r="G262" s="9" t="n"/>
      <c r="H262" s="12">
        <f>IF(A262="","",D262*E262)</f>
        <v/>
      </c>
      <c r="I262" s="12">
        <f>IF(A262="","",IF(Rates!$B$6=1,MIN(H262,Rates!$B$5),H262)*(Rates!$B$4+Rates!$B$13))</f>
        <v/>
      </c>
      <c r="J262" s="12">
        <f>IF(A262="","",IF(D262&lt;=Rates!$B$8,D262*Rates!$B$7,0))</f>
        <v/>
      </c>
      <c r="K262" s="12">
        <f>IF(A262="","",H262*Rates!$B$9)</f>
        <v/>
      </c>
      <c r="L262" s="12">
        <f>IF(A262="","",IF(D262&lt;=Rates!$B$11,H262*Rates!$B$10,0))</f>
        <v/>
      </c>
      <c r="M262" s="12">
        <f>IF(A262="","",Rates!$B$12/12)</f>
        <v/>
      </c>
      <c r="N262" s="12">
        <f>IF(A262="","",D262+I262+J262+K262+L262+M262)</f>
        <v/>
      </c>
      <c r="O262" s="13">
        <f>IF(A262="","",MAX(0,MIN(12,IF(G262="",12,G262))-MAX(1,F262)+1))</f>
        <v/>
      </c>
      <c r="P262" s="12">
        <f>IF(A262="","",N262*O262)</f>
        <v/>
      </c>
      <c r="Q262" s="12">
        <f>IF(A262="","",0.12*IF(Rates!$B$6=1,MIN(H262,Rates!$B$5),H262))</f>
        <v/>
      </c>
      <c r="R262" s="12">
        <f>IF(A262="","",IF(D262&lt;=Rates!$B$8,D262*0.0075,0))</f>
        <v/>
      </c>
    </row>
    <row r="263">
      <c r="A263" s="10" t="n"/>
      <c r="B263" s="10" t="n"/>
      <c r="C263" s="10" t="n"/>
      <c r="D263" s="8" t="n"/>
      <c r="E263" s="11" t="n"/>
      <c r="F263" s="9" t="n"/>
      <c r="G263" s="9" t="n"/>
      <c r="H263" s="12">
        <f>IF(A263="","",D263*E263)</f>
        <v/>
      </c>
      <c r="I263" s="12">
        <f>IF(A263="","",IF(Rates!$B$6=1,MIN(H263,Rates!$B$5),H263)*(Rates!$B$4+Rates!$B$13))</f>
        <v/>
      </c>
      <c r="J263" s="12">
        <f>IF(A263="","",IF(D263&lt;=Rates!$B$8,D263*Rates!$B$7,0))</f>
        <v/>
      </c>
      <c r="K263" s="12">
        <f>IF(A263="","",H263*Rates!$B$9)</f>
        <v/>
      </c>
      <c r="L263" s="12">
        <f>IF(A263="","",IF(D263&lt;=Rates!$B$11,H263*Rates!$B$10,0))</f>
        <v/>
      </c>
      <c r="M263" s="12">
        <f>IF(A263="","",Rates!$B$12/12)</f>
        <v/>
      </c>
      <c r="N263" s="12">
        <f>IF(A263="","",D263+I263+J263+K263+L263+M263)</f>
        <v/>
      </c>
      <c r="O263" s="13">
        <f>IF(A263="","",MAX(0,MIN(12,IF(G263="",12,G263))-MAX(1,F263)+1))</f>
        <v/>
      </c>
      <c r="P263" s="12">
        <f>IF(A263="","",N263*O263)</f>
        <v/>
      </c>
      <c r="Q263" s="12">
        <f>IF(A263="","",0.12*IF(Rates!$B$6=1,MIN(H263,Rates!$B$5),H263))</f>
        <v/>
      </c>
      <c r="R263" s="12">
        <f>IF(A263="","",IF(D263&lt;=Rates!$B$8,D263*0.0075,0))</f>
        <v/>
      </c>
    </row>
    <row r="264">
      <c r="A264" s="10" t="n"/>
      <c r="B264" s="10" t="n"/>
      <c r="C264" s="10" t="n"/>
      <c r="D264" s="8" t="n"/>
      <c r="E264" s="11" t="n"/>
      <c r="F264" s="9" t="n"/>
      <c r="G264" s="9" t="n"/>
      <c r="H264" s="12">
        <f>IF(A264="","",D264*E264)</f>
        <v/>
      </c>
      <c r="I264" s="12">
        <f>IF(A264="","",IF(Rates!$B$6=1,MIN(H264,Rates!$B$5),H264)*(Rates!$B$4+Rates!$B$13))</f>
        <v/>
      </c>
      <c r="J264" s="12">
        <f>IF(A264="","",IF(D264&lt;=Rates!$B$8,D264*Rates!$B$7,0))</f>
        <v/>
      </c>
      <c r="K264" s="12">
        <f>IF(A264="","",H264*Rates!$B$9)</f>
        <v/>
      </c>
      <c r="L264" s="12">
        <f>IF(A264="","",IF(D264&lt;=Rates!$B$11,H264*Rates!$B$10,0))</f>
        <v/>
      </c>
      <c r="M264" s="12">
        <f>IF(A264="","",Rates!$B$12/12)</f>
        <v/>
      </c>
      <c r="N264" s="12">
        <f>IF(A264="","",D264+I264+J264+K264+L264+M264)</f>
        <v/>
      </c>
      <c r="O264" s="13">
        <f>IF(A264="","",MAX(0,MIN(12,IF(G264="",12,G264))-MAX(1,F264)+1))</f>
        <v/>
      </c>
      <c r="P264" s="12">
        <f>IF(A264="","",N264*O264)</f>
        <v/>
      </c>
      <c r="Q264" s="12">
        <f>IF(A264="","",0.12*IF(Rates!$B$6=1,MIN(H264,Rates!$B$5),H264))</f>
        <v/>
      </c>
      <c r="R264" s="12">
        <f>IF(A264="","",IF(D264&lt;=Rates!$B$8,D264*0.0075,0))</f>
        <v/>
      </c>
    </row>
    <row r="265">
      <c r="A265" s="10" t="n"/>
      <c r="B265" s="10" t="n"/>
      <c r="C265" s="10" t="n"/>
      <c r="D265" s="8" t="n"/>
      <c r="E265" s="11" t="n"/>
      <c r="F265" s="9" t="n"/>
      <c r="G265" s="9" t="n"/>
      <c r="H265" s="12">
        <f>IF(A265="","",D265*E265)</f>
        <v/>
      </c>
      <c r="I265" s="12">
        <f>IF(A265="","",IF(Rates!$B$6=1,MIN(H265,Rates!$B$5),H265)*(Rates!$B$4+Rates!$B$13))</f>
        <v/>
      </c>
      <c r="J265" s="12">
        <f>IF(A265="","",IF(D265&lt;=Rates!$B$8,D265*Rates!$B$7,0))</f>
        <v/>
      </c>
      <c r="K265" s="12">
        <f>IF(A265="","",H265*Rates!$B$9)</f>
        <v/>
      </c>
      <c r="L265" s="12">
        <f>IF(A265="","",IF(D265&lt;=Rates!$B$11,H265*Rates!$B$10,0))</f>
        <v/>
      </c>
      <c r="M265" s="12">
        <f>IF(A265="","",Rates!$B$12/12)</f>
        <v/>
      </c>
      <c r="N265" s="12">
        <f>IF(A265="","",D265+I265+J265+K265+L265+M265)</f>
        <v/>
      </c>
      <c r="O265" s="13">
        <f>IF(A265="","",MAX(0,MIN(12,IF(G265="",12,G265))-MAX(1,F265)+1))</f>
        <v/>
      </c>
      <c r="P265" s="12">
        <f>IF(A265="","",N265*O265)</f>
        <v/>
      </c>
      <c r="Q265" s="12">
        <f>IF(A265="","",0.12*IF(Rates!$B$6=1,MIN(H265,Rates!$B$5),H265))</f>
        <v/>
      </c>
      <c r="R265" s="12">
        <f>IF(A265="","",IF(D265&lt;=Rates!$B$8,D265*0.0075,0))</f>
        <v/>
      </c>
    </row>
    <row r="266">
      <c r="A266" s="10" t="n"/>
      <c r="B266" s="10" t="n"/>
      <c r="C266" s="10" t="n"/>
      <c r="D266" s="8" t="n"/>
      <c r="E266" s="11" t="n"/>
      <c r="F266" s="9" t="n"/>
      <c r="G266" s="9" t="n"/>
      <c r="H266" s="12">
        <f>IF(A266="","",D266*E266)</f>
        <v/>
      </c>
      <c r="I266" s="12">
        <f>IF(A266="","",IF(Rates!$B$6=1,MIN(H266,Rates!$B$5),H266)*(Rates!$B$4+Rates!$B$13))</f>
        <v/>
      </c>
      <c r="J266" s="12">
        <f>IF(A266="","",IF(D266&lt;=Rates!$B$8,D266*Rates!$B$7,0))</f>
        <v/>
      </c>
      <c r="K266" s="12">
        <f>IF(A266="","",H266*Rates!$B$9)</f>
        <v/>
      </c>
      <c r="L266" s="12">
        <f>IF(A266="","",IF(D266&lt;=Rates!$B$11,H266*Rates!$B$10,0))</f>
        <v/>
      </c>
      <c r="M266" s="12">
        <f>IF(A266="","",Rates!$B$12/12)</f>
        <v/>
      </c>
      <c r="N266" s="12">
        <f>IF(A266="","",D266+I266+J266+K266+L266+M266)</f>
        <v/>
      </c>
      <c r="O266" s="13">
        <f>IF(A266="","",MAX(0,MIN(12,IF(G266="",12,G266))-MAX(1,F266)+1))</f>
        <v/>
      </c>
      <c r="P266" s="12">
        <f>IF(A266="","",N266*O266)</f>
        <v/>
      </c>
      <c r="Q266" s="12">
        <f>IF(A266="","",0.12*IF(Rates!$B$6=1,MIN(H266,Rates!$B$5),H266))</f>
        <v/>
      </c>
      <c r="R266" s="12">
        <f>IF(A266="","",IF(D266&lt;=Rates!$B$8,D266*0.0075,0))</f>
        <v/>
      </c>
    </row>
    <row r="267">
      <c r="A267" s="10" t="n"/>
      <c r="B267" s="10" t="n"/>
      <c r="C267" s="10" t="n"/>
      <c r="D267" s="8" t="n"/>
      <c r="E267" s="11" t="n"/>
      <c r="F267" s="9" t="n"/>
      <c r="G267" s="9" t="n"/>
      <c r="H267" s="12">
        <f>IF(A267="","",D267*E267)</f>
        <v/>
      </c>
      <c r="I267" s="12">
        <f>IF(A267="","",IF(Rates!$B$6=1,MIN(H267,Rates!$B$5),H267)*(Rates!$B$4+Rates!$B$13))</f>
        <v/>
      </c>
      <c r="J267" s="12">
        <f>IF(A267="","",IF(D267&lt;=Rates!$B$8,D267*Rates!$B$7,0))</f>
        <v/>
      </c>
      <c r="K267" s="12">
        <f>IF(A267="","",H267*Rates!$B$9)</f>
        <v/>
      </c>
      <c r="L267" s="12">
        <f>IF(A267="","",IF(D267&lt;=Rates!$B$11,H267*Rates!$B$10,0))</f>
        <v/>
      </c>
      <c r="M267" s="12">
        <f>IF(A267="","",Rates!$B$12/12)</f>
        <v/>
      </c>
      <c r="N267" s="12">
        <f>IF(A267="","",D267+I267+J267+K267+L267+M267)</f>
        <v/>
      </c>
      <c r="O267" s="13">
        <f>IF(A267="","",MAX(0,MIN(12,IF(G267="",12,G267))-MAX(1,F267)+1))</f>
        <v/>
      </c>
      <c r="P267" s="12">
        <f>IF(A267="","",N267*O267)</f>
        <v/>
      </c>
      <c r="Q267" s="12">
        <f>IF(A267="","",0.12*IF(Rates!$B$6=1,MIN(H267,Rates!$B$5),H267))</f>
        <v/>
      </c>
      <c r="R267" s="12">
        <f>IF(A267="","",IF(D267&lt;=Rates!$B$8,D267*0.0075,0))</f>
        <v/>
      </c>
    </row>
    <row r="268">
      <c r="A268" s="10" t="n"/>
      <c r="B268" s="10" t="n"/>
      <c r="C268" s="10" t="n"/>
      <c r="D268" s="8" t="n"/>
      <c r="E268" s="11" t="n"/>
      <c r="F268" s="9" t="n"/>
      <c r="G268" s="9" t="n"/>
      <c r="H268" s="12">
        <f>IF(A268="","",D268*E268)</f>
        <v/>
      </c>
      <c r="I268" s="12">
        <f>IF(A268="","",IF(Rates!$B$6=1,MIN(H268,Rates!$B$5),H268)*(Rates!$B$4+Rates!$B$13))</f>
        <v/>
      </c>
      <c r="J268" s="12">
        <f>IF(A268="","",IF(D268&lt;=Rates!$B$8,D268*Rates!$B$7,0))</f>
        <v/>
      </c>
      <c r="K268" s="12">
        <f>IF(A268="","",H268*Rates!$B$9)</f>
        <v/>
      </c>
      <c r="L268" s="12">
        <f>IF(A268="","",IF(D268&lt;=Rates!$B$11,H268*Rates!$B$10,0))</f>
        <v/>
      </c>
      <c r="M268" s="12">
        <f>IF(A268="","",Rates!$B$12/12)</f>
        <v/>
      </c>
      <c r="N268" s="12">
        <f>IF(A268="","",D268+I268+J268+K268+L268+M268)</f>
        <v/>
      </c>
      <c r="O268" s="13">
        <f>IF(A268="","",MAX(0,MIN(12,IF(G268="",12,G268))-MAX(1,F268)+1))</f>
        <v/>
      </c>
      <c r="P268" s="12">
        <f>IF(A268="","",N268*O268)</f>
        <v/>
      </c>
      <c r="Q268" s="12">
        <f>IF(A268="","",0.12*IF(Rates!$B$6=1,MIN(H268,Rates!$B$5),H268))</f>
        <v/>
      </c>
      <c r="R268" s="12">
        <f>IF(A268="","",IF(D268&lt;=Rates!$B$8,D268*0.0075,0))</f>
        <v/>
      </c>
    </row>
    <row r="269">
      <c r="A269" s="10" t="n"/>
      <c r="B269" s="10" t="n"/>
      <c r="C269" s="10" t="n"/>
      <c r="D269" s="8" t="n"/>
      <c r="E269" s="11" t="n"/>
      <c r="F269" s="9" t="n"/>
      <c r="G269" s="9" t="n"/>
      <c r="H269" s="12">
        <f>IF(A269="","",D269*E269)</f>
        <v/>
      </c>
      <c r="I269" s="12">
        <f>IF(A269="","",IF(Rates!$B$6=1,MIN(H269,Rates!$B$5),H269)*(Rates!$B$4+Rates!$B$13))</f>
        <v/>
      </c>
      <c r="J269" s="12">
        <f>IF(A269="","",IF(D269&lt;=Rates!$B$8,D269*Rates!$B$7,0))</f>
        <v/>
      </c>
      <c r="K269" s="12">
        <f>IF(A269="","",H269*Rates!$B$9)</f>
        <v/>
      </c>
      <c r="L269" s="12">
        <f>IF(A269="","",IF(D269&lt;=Rates!$B$11,H269*Rates!$B$10,0))</f>
        <v/>
      </c>
      <c r="M269" s="12">
        <f>IF(A269="","",Rates!$B$12/12)</f>
        <v/>
      </c>
      <c r="N269" s="12">
        <f>IF(A269="","",D269+I269+J269+K269+L269+M269)</f>
        <v/>
      </c>
      <c r="O269" s="13">
        <f>IF(A269="","",MAX(0,MIN(12,IF(G269="",12,G269))-MAX(1,F269)+1))</f>
        <v/>
      </c>
      <c r="P269" s="12">
        <f>IF(A269="","",N269*O269)</f>
        <v/>
      </c>
      <c r="Q269" s="12">
        <f>IF(A269="","",0.12*IF(Rates!$B$6=1,MIN(H269,Rates!$B$5),H269))</f>
        <v/>
      </c>
      <c r="R269" s="12">
        <f>IF(A269="","",IF(D269&lt;=Rates!$B$8,D269*0.0075,0))</f>
        <v/>
      </c>
    </row>
    <row r="270">
      <c r="A270" s="10" t="n"/>
      <c r="B270" s="10" t="n"/>
      <c r="C270" s="10" t="n"/>
      <c r="D270" s="8" t="n"/>
      <c r="E270" s="11" t="n"/>
      <c r="F270" s="9" t="n"/>
      <c r="G270" s="9" t="n"/>
      <c r="H270" s="12">
        <f>IF(A270="","",D270*E270)</f>
        <v/>
      </c>
      <c r="I270" s="12">
        <f>IF(A270="","",IF(Rates!$B$6=1,MIN(H270,Rates!$B$5),H270)*(Rates!$B$4+Rates!$B$13))</f>
        <v/>
      </c>
      <c r="J270" s="12">
        <f>IF(A270="","",IF(D270&lt;=Rates!$B$8,D270*Rates!$B$7,0))</f>
        <v/>
      </c>
      <c r="K270" s="12">
        <f>IF(A270="","",H270*Rates!$B$9)</f>
        <v/>
      </c>
      <c r="L270" s="12">
        <f>IF(A270="","",IF(D270&lt;=Rates!$B$11,H270*Rates!$B$10,0))</f>
        <v/>
      </c>
      <c r="M270" s="12">
        <f>IF(A270="","",Rates!$B$12/12)</f>
        <v/>
      </c>
      <c r="N270" s="12">
        <f>IF(A270="","",D270+I270+J270+K270+L270+M270)</f>
        <v/>
      </c>
      <c r="O270" s="13">
        <f>IF(A270="","",MAX(0,MIN(12,IF(G270="",12,G270))-MAX(1,F270)+1))</f>
        <v/>
      </c>
      <c r="P270" s="12">
        <f>IF(A270="","",N270*O270)</f>
        <v/>
      </c>
      <c r="Q270" s="12">
        <f>IF(A270="","",0.12*IF(Rates!$B$6=1,MIN(H270,Rates!$B$5),H270))</f>
        <v/>
      </c>
      <c r="R270" s="12">
        <f>IF(A270="","",IF(D270&lt;=Rates!$B$8,D270*0.0075,0))</f>
        <v/>
      </c>
    </row>
    <row r="271">
      <c r="A271" s="10" t="n"/>
      <c r="B271" s="10" t="n"/>
      <c r="C271" s="10" t="n"/>
      <c r="D271" s="8" t="n"/>
      <c r="E271" s="11" t="n"/>
      <c r="F271" s="9" t="n"/>
      <c r="G271" s="9" t="n"/>
      <c r="H271" s="12">
        <f>IF(A271="","",D271*E271)</f>
        <v/>
      </c>
      <c r="I271" s="12">
        <f>IF(A271="","",IF(Rates!$B$6=1,MIN(H271,Rates!$B$5),H271)*(Rates!$B$4+Rates!$B$13))</f>
        <v/>
      </c>
      <c r="J271" s="12">
        <f>IF(A271="","",IF(D271&lt;=Rates!$B$8,D271*Rates!$B$7,0))</f>
        <v/>
      </c>
      <c r="K271" s="12">
        <f>IF(A271="","",H271*Rates!$B$9)</f>
        <v/>
      </c>
      <c r="L271" s="12">
        <f>IF(A271="","",IF(D271&lt;=Rates!$B$11,H271*Rates!$B$10,0))</f>
        <v/>
      </c>
      <c r="M271" s="12">
        <f>IF(A271="","",Rates!$B$12/12)</f>
        <v/>
      </c>
      <c r="N271" s="12">
        <f>IF(A271="","",D271+I271+J271+K271+L271+M271)</f>
        <v/>
      </c>
      <c r="O271" s="13">
        <f>IF(A271="","",MAX(0,MIN(12,IF(G271="",12,G271))-MAX(1,F271)+1))</f>
        <v/>
      </c>
      <c r="P271" s="12">
        <f>IF(A271="","",N271*O271)</f>
        <v/>
      </c>
      <c r="Q271" s="12">
        <f>IF(A271="","",0.12*IF(Rates!$B$6=1,MIN(H271,Rates!$B$5),H271))</f>
        <v/>
      </c>
      <c r="R271" s="12">
        <f>IF(A271="","",IF(D271&lt;=Rates!$B$8,D271*0.0075,0))</f>
        <v/>
      </c>
    </row>
    <row r="272">
      <c r="A272" s="10" t="n"/>
      <c r="B272" s="10" t="n"/>
      <c r="C272" s="10" t="n"/>
      <c r="D272" s="8" t="n"/>
      <c r="E272" s="11" t="n"/>
      <c r="F272" s="9" t="n"/>
      <c r="G272" s="9" t="n"/>
      <c r="H272" s="12">
        <f>IF(A272="","",D272*E272)</f>
        <v/>
      </c>
      <c r="I272" s="12">
        <f>IF(A272="","",IF(Rates!$B$6=1,MIN(H272,Rates!$B$5),H272)*(Rates!$B$4+Rates!$B$13))</f>
        <v/>
      </c>
      <c r="J272" s="12">
        <f>IF(A272="","",IF(D272&lt;=Rates!$B$8,D272*Rates!$B$7,0))</f>
        <v/>
      </c>
      <c r="K272" s="12">
        <f>IF(A272="","",H272*Rates!$B$9)</f>
        <v/>
      </c>
      <c r="L272" s="12">
        <f>IF(A272="","",IF(D272&lt;=Rates!$B$11,H272*Rates!$B$10,0))</f>
        <v/>
      </c>
      <c r="M272" s="12">
        <f>IF(A272="","",Rates!$B$12/12)</f>
        <v/>
      </c>
      <c r="N272" s="12">
        <f>IF(A272="","",D272+I272+J272+K272+L272+M272)</f>
        <v/>
      </c>
      <c r="O272" s="13">
        <f>IF(A272="","",MAX(0,MIN(12,IF(G272="",12,G272))-MAX(1,F272)+1))</f>
        <v/>
      </c>
      <c r="P272" s="12">
        <f>IF(A272="","",N272*O272)</f>
        <v/>
      </c>
      <c r="Q272" s="12">
        <f>IF(A272="","",0.12*IF(Rates!$B$6=1,MIN(H272,Rates!$B$5),H272))</f>
        <v/>
      </c>
      <c r="R272" s="12">
        <f>IF(A272="","",IF(D272&lt;=Rates!$B$8,D272*0.0075,0))</f>
        <v/>
      </c>
    </row>
    <row r="273">
      <c r="A273" s="10" t="n"/>
      <c r="B273" s="10" t="n"/>
      <c r="C273" s="10" t="n"/>
      <c r="D273" s="8" t="n"/>
      <c r="E273" s="11" t="n"/>
      <c r="F273" s="9" t="n"/>
      <c r="G273" s="9" t="n"/>
      <c r="H273" s="12">
        <f>IF(A273="","",D273*E273)</f>
        <v/>
      </c>
      <c r="I273" s="12">
        <f>IF(A273="","",IF(Rates!$B$6=1,MIN(H273,Rates!$B$5),H273)*(Rates!$B$4+Rates!$B$13))</f>
        <v/>
      </c>
      <c r="J273" s="12">
        <f>IF(A273="","",IF(D273&lt;=Rates!$B$8,D273*Rates!$B$7,0))</f>
        <v/>
      </c>
      <c r="K273" s="12">
        <f>IF(A273="","",H273*Rates!$B$9)</f>
        <v/>
      </c>
      <c r="L273" s="12">
        <f>IF(A273="","",IF(D273&lt;=Rates!$B$11,H273*Rates!$B$10,0))</f>
        <v/>
      </c>
      <c r="M273" s="12">
        <f>IF(A273="","",Rates!$B$12/12)</f>
        <v/>
      </c>
      <c r="N273" s="12">
        <f>IF(A273="","",D273+I273+J273+K273+L273+M273)</f>
        <v/>
      </c>
      <c r="O273" s="13">
        <f>IF(A273="","",MAX(0,MIN(12,IF(G273="",12,G273))-MAX(1,F273)+1))</f>
        <v/>
      </c>
      <c r="P273" s="12">
        <f>IF(A273="","",N273*O273)</f>
        <v/>
      </c>
      <c r="Q273" s="12">
        <f>IF(A273="","",0.12*IF(Rates!$B$6=1,MIN(H273,Rates!$B$5),H273))</f>
        <v/>
      </c>
      <c r="R273" s="12">
        <f>IF(A273="","",IF(D273&lt;=Rates!$B$8,D273*0.0075,0))</f>
        <v/>
      </c>
    </row>
    <row r="274">
      <c r="A274" s="10" t="n"/>
      <c r="B274" s="10" t="n"/>
      <c r="C274" s="10" t="n"/>
      <c r="D274" s="8" t="n"/>
      <c r="E274" s="11" t="n"/>
      <c r="F274" s="9" t="n"/>
      <c r="G274" s="9" t="n"/>
      <c r="H274" s="12">
        <f>IF(A274="","",D274*E274)</f>
        <v/>
      </c>
      <c r="I274" s="12">
        <f>IF(A274="","",IF(Rates!$B$6=1,MIN(H274,Rates!$B$5),H274)*(Rates!$B$4+Rates!$B$13))</f>
        <v/>
      </c>
      <c r="J274" s="12">
        <f>IF(A274="","",IF(D274&lt;=Rates!$B$8,D274*Rates!$B$7,0))</f>
        <v/>
      </c>
      <c r="K274" s="12">
        <f>IF(A274="","",H274*Rates!$B$9)</f>
        <v/>
      </c>
      <c r="L274" s="12">
        <f>IF(A274="","",IF(D274&lt;=Rates!$B$11,H274*Rates!$B$10,0))</f>
        <v/>
      </c>
      <c r="M274" s="12">
        <f>IF(A274="","",Rates!$B$12/12)</f>
        <v/>
      </c>
      <c r="N274" s="12">
        <f>IF(A274="","",D274+I274+J274+K274+L274+M274)</f>
        <v/>
      </c>
      <c r="O274" s="13">
        <f>IF(A274="","",MAX(0,MIN(12,IF(G274="",12,G274))-MAX(1,F274)+1))</f>
        <v/>
      </c>
      <c r="P274" s="12">
        <f>IF(A274="","",N274*O274)</f>
        <v/>
      </c>
      <c r="Q274" s="12">
        <f>IF(A274="","",0.12*IF(Rates!$B$6=1,MIN(H274,Rates!$B$5),H274))</f>
        <v/>
      </c>
      <c r="R274" s="12">
        <f>IF(A274="","",IF(D274&lt;=Rates!$B$8,D274*0.0075,0))</f>
        <v/>
      </c>
    </row>
    <row r="275">
      <c r="A275" s="10" t="n"/>
      <c r="B275" s="10" t="n"/>
      <c r="C275" s="10" t="n"/>
      <c r="D275" s="8" t="n"/>
      <c r="E275" s="11" t="n"/>
      <c r="F275" s="9" t="n"/>
      <c r="G275" s="9" t="n"/>
      <c r="H275" s="12">
        <f>IF(A275="","",D275*E275)</f>
        <v/>
      </c>
      <c r="I275" s="12">
        <f>IF(A275="","",IF(Rates!$B$6=1,MIN(H275,Rates!$B$5),H275)*(Rates!$B$4+Rates!$B$13))</f>
        <v/>
      </c>
      <c r="J275" s="12">
        <f>IF(A275="","",IF(D275&lt;=Rates!$B$8,D275*Rates!$B$7,0))</f>
        <v/>
      </c>
      <c r="K275" s="12">
        <f>IF(A275="","",H275*Rates!$B$9)</f>
        <v/>
      </c>
      <c r="L275" s="12">
        <f>IF(A275="","",IF(D275&lt;=Rates!$B$11,H275*Rates!$B$10,0))</f>
        <v/>
      </c>
      <c r="M275" s="12">
        <f>IF(A275="","",Rates!$B$12/12)</f>
        <v/>
      </c>
      <c r="N275" s="12">
        <f>IF(A275="","",D275+I275+J275+K275+L275+M275)</f>
        <v/>
      </c>
      <c r="O275" s="13">
        <f>IF(A275="","",MAX(0,MIN(12,IF(G275="",12,G275))-MAX(1,F275)+1))</f>
        <v/>
      </c>
      <c r="P275" s="12">
        <f>IF(A275="","",N275*O275)</f>
        <v/>
      </c>
      <c r="Q275" s="12">
        <f>IF(A275="","",0.12*IF(Rates!$B$6=1,MIN(H275,Rates!$B$5),H275))</f>
        <v/>
      </c>
      <c r="R275" s="12">
        <f>IF(A275="","",IF(D275&lt;=Rates!$B$8,D275*0.0075,0))</f>
        <v/>
      </c>
    </row>
    <row r="276">
      <c r="A276" s="10" t="n"/>
      <c r="B276" s="10" t="n"/>
      <c r="C276" s="10" t="n"/>
      <c r="D276" s="8" t="n"/>
      <c r="E276" s="11" t="n"/>
      <c r="F276" s="9" t="n"/>
      <c r="G276" s="9" t="n"/>
      <c r="H276" s="12">
        <f>IF(A276="","",D276*E276)</f>
        <v/>
      </c>
      <c r="I276" s="12">
        <f>IF(A276="","",IF(Rates!$B$6=1,MIN(H276,Rates!$B$5),H276)*(Rates!$B$4+Rates!$B$13))</f>
        <v/>
      </c>
      <c r="J276" s="12">
        <f>IF(A276="","",IF(D276&lt;=Rates!$B$8,D276*Rates!$B$7,0))</f>
        <v/>
      </c>
      <c r="K276" s="12">
        <f>IF(A276="","",H276*Rates!$B$9)</f>
        <v/>
      </c>
      <c r="L276" s="12">
        <f>IF(A276="","",IF(D276&lt;=Rates!$B$11,H276*Rates!$B$10,0))</f>
        <v/>
      </c>
      <c r="M276" s="12">
        <f>IF(A276="","",Rates!$B$12/12)</f>
        <v/>
      </c>
      <c r="N276" s="12">
        <f>IF(A276="","",D276+I276+J276+K276+L276+M276)</f>
        <v/>
      </c>
      <c r="O276" s="13">
        <f>IF(A276="","",MAX(0,MIN(12,IF(G276="",12,G276))-MAX(1,F276)+1))</f>
        <v/>
      </c>
      <c r="P276" s="12">
        <f>IF(A276="","",N276*O276)</f>
        <v/>
      </c>
      <c r="Q276" s="12">
        <f>IF(A276="","",0.12*IF(Rates!$B$6=1,MIN(H276,Rates!$B$5),H276))</f>
        <v/>
      </c>
      <c r="R276" s="12">
        <f>IF(A276="","",IF(D276&lt;=Rates!$B$8,D276*0.0075,0))</f>
        <v/>
      </c>
    </row>
    <row r="277">
      <c r="A277" s="10" t="n"/>
      <c r="B277" s="10" t="n"/>
      <c r="C277" s="10" t="n"/>
      <c r="D277" s="8" t="n"/>
      <c r="E277" s="11" t="n"/>
      <c r="F277" s="9" t="n"/>
      <c r="G277" s="9" t="n"/>
      <c r="H277" s="12">
        <f>IF(A277="","",D277*E277)</f>
        <v/>
      </c>
      <c r="I277" s="12">
        <f>IF(A277="","",IF(Rates!$B$6=1,MIN(H277,Rates!$B$5),H277)*(Rates!$B$4+Rates!$B$13))</f>
        <v/>
      </c>
      <c r="J277" s="12">
        <f>IF(A277="","",IF(D277&lt;=Rates!$B$8,D277*Rates!$B$7,0))</f>
        <v/>
      </c>
      <c r="K277" s="12">
        <f>IF(A277="","",H277*Rates!$B$9)</f>
        <v/>
      </c>
      <c r="L277" s="12">
        <f>IF(A277="","",IF(D277&lt;=Rates!$B$11,H277*Rates!$B$10,0))</f>
        <v/>
      </c>
      <c r="M277" s="12">
        <f>IF(A277="","",Rates!$B$12/12)</f>
        <v/>
      </c>
      <c r="N277" s="12">
        <f>IF(A277="","",D277+I277+J277+K277+L277+M277)</f>
        <v/>
      </c>
      <c r="O277" s="13">
        <f>IF(A277="","",MAX(0,MIN(12,IF(G277="",12,G277))-MAX(1,F277)+1))</f>
        <v/>
      </c>
      <c r="P277" s="12">
        <f>IF(A277="","",N277*O277)</f>
        <v/>
      </c>
      <c r="Q277" s="12">
        <f>IF(A277="","",0.12*IF(Rates!$B$6=1,MIN(H277,Rates!$B$5),H277))</f>
        <v/>
      </c>
      <c r="R277" s="12">
        <f>IF(A277="","",IF(D277&lt;=Rates!$B$8,D277*0.0075,0))</f>
        <v/>
      </c>
    </row>
    <row r="278">
      <c r="A278" s="10" t="n"/>
      <c r="B278" s="10" t="n"/>
      <c r="C278" s="10" t="n"/>
      <c r="D278" s="8" t="n"/>
      <c r="E278" s="11" t="n"/>
      <c r="F278" s="9" t="n"/>
      <c r="G278" s="9" t="n"/>
      <c r="H278" s="12">
        <f>IF(A278="","",D278*E278)</f>
        <v/>
      </c>
      <c r="I278" s="12">
        <f>IF(A278="","",IF(Rates!$B$6=1,MIN(H278,Rates!$B$5),H278)*(Rates!$B$4+Rates!$B$13))</f>
        <v/>
      </c>
      <c r="J278" s="12">
        <f>IF(A278="","",IF(D278&lt;=Rates!$B$8,D278*Rates!$B$7,0))</f>
        <v/>
      </c>
      <c r="K278" s="12">
        <f>IF(A278="","",H278*Rates!$B$9)</f>
        <v/>
      </c>
      <c r="L278" s="12">
        <f>IF(A278="","",IF(D278&lt;=Rates!$B$11,H278*Rates!$B$10,0))</f>
        <v/>
      </c>
      <c r="M278" s="12">
        <f>IF(A278="","",Rates!$B$12/12)</f>
        <v/>
      </c>
      <c r="N278" s="12">
        <f>IF(A278="","",D278+I278+J278+K278+L278+M278)</f>
        <v/>
      </c>
      <c r="O278" s="13">
        <f>IF(A278="","",MAX(0,MIN(12,IF(G278="",12,G278))-MAX(1,F278)+1))</f>
        <v/>
      </c>
      <c r="P278" s="12">
        <f>IF(A278="","",N278*O278)</f>
        <v/>
      </c>
      <c r="Q278" s="12">
        <f>IF(A278="","",0.12*IF(Rates!$B$6=1,MIN(H278,Rates!$B$5),H278))</f>
        <v/>
      </c>
      <c r="R278" s="12">
        <f>IF(A278="","",IF(D278&lt;=Rates!$B$8,D278*0.0075,0))</f>
        <v/>
      </c>
    </row>
    <row r="279">
      <c r="A279" s="10" t="n"/>
      <c r="B279" s="10" t="n"/>
      <c r="C279" s="10" t="n"/>
      <c r="D279" s="8" t="n"/>
      <c r="E279" s="11" t="n"/>
      <c r="F279" s="9" t="n"/>
      <c r="G279" s="9" t="n"/>
      <c r="H279" s="12">
        <f>IF(A279="","",D279*E279)</f>
        <v/>
      </c>
      <c r="I279" s="12">
        <f>IF(A279="","",IF(Rates!$B$6=1,MIN(H279,Rates!$B$5),H279)*(Rates!$B$4+Rates!$B$13))</f>
        <v/>
      </c>
      <c r="J279" s="12">
        <f>IF(A279="","",IF(D279&lt;=Rates!$B$8,D279*Rates!$B$7,0))</f>
        <v/>
      </c>
      <c r="K279" s="12">
        <f>IF(A279="","",H279*Rates!$B$9)</f>
        <v/>
      </c>
      <c r="L279" s="12">
        <f>IF(A279="","",IF(D279&lt;=Rates!$B$11,H279*Rates!$B$10,0))</f>
        <v/>
      </c>
      <c r="M279" s="12">
        <f>IF(A279="","",Rates!$B$12/12)</f>
        <v/>
      </c>
      <c r="N279" s="12">
        <f>IF(A279="","",D279+I279+J279+K279+L279+M279)</f>
        <v/>
      </c>
      <c r="O279" s="13">
        <f>IF(A279="","",MAX(0,MIN(12,IF(G279="",12,G279))-MAX(1,F279)+1))</f>
        <v/>
      </c>
      <c r="P279" s="12">
        <f>IF(A279="","",N279*O279)</f>
        <v/>
      </c>
      <c r="Q279" s="12">
        <f>IF(A279="","",0.12*IF(Rates!$B$6=1,MIN(H279,Rates!$B$5),H279))</f>
        <v/>
      </c>
      <c r="R279" s="12">
        <f>IF(A279="","",IF(D279&lt;=Rates!$B$8,D279*0.0075,0))</f>
        <v/>
      </c>
    </row>
    <row r="280">
      <c r="A280" s="10" t="n"/>
      <c r="B280" s="10" t="n"/>
      <c r="C280" s="10" t="n"/>
      <c r="D280" s="8" t="n"/>
      <c r="E280" s="11" t="n"/>
      <c r="F280" s="9" t="n"/>
      <c r="G280" s="9" t="n"/>
      <c r="H280" s="12">
        <f>IF(A280="","",D280*E280)</f>
        <v/>
      </c>
      <c r="I280" s="12">
        <f>IF(A280="","",IF(Rates!$B$6=1,MIN(H280,Rates!$B$5),H280)*(Rates!$B$4+Rates!$B$13))</f>
        <v/>
      </c>
      <c r="J280" s="12">
        <f>IF(A280="","",IF(D280&lt;=Rates!$B$8,D280*Rates!$B$7,0))</f>
        <v/>
      </c>
      <c r="K280" s="12">
        <f>IF(A280="","",H280*Rates!$B$9)</f>
        <v/>
      </c>
      <c r="L280" s="12">
        <f>IF(A280="","",IF(D280&lt;=Rates!$B$11,H280*Rates!$B$10,0))</f>
        <v/>
      </c>
      <c r="M280" s="12">
        <f>IF(A280="","",Rates!$B$12/12)</f>
        <v/>
      </c>
      <c r="N280" s="12">
        <f>IF(A280="","",D280+I280+J280+K280+L280+M280)</f>
        <v/>
      </c>
      <c r="O280" s="13">
        <f>IF(A280="","",MAX(0,MIN(12,IF(G280="",12,G280))-MAX(1,F280)+1))</f>
        <v/>
      </c>
      <c r="P280" s="12">
        <f>IF(A280="","",N280*O280)</f>
        <v/>
      </c>
      <c r="Q280" s="12">
        <f>IF(A280="","",0.12*IF(Rates!$B$6=1,MIN(H280,Rates!$B$5),H280))</f>
        <v/>
      </c>
      <c r="R280" s="12">
        <f>IF(A280="","",IF(D280&lt;=Rates!$B$8,D280*0.0075,0))</f>
        <v/>
      </c>
    </row>
    <row r="281">
      <c r="A281" s="10" t="n"/>
      <c r="B281" s="10" t="n"/>
      <c r="C281" s="10" t="n"/>
      <c r="D281" s="8" t="n"/>
      <c r="E281" s="11" t="n"/>
      <c r="F281" s="9" t="n"/>
      <c r="G281" s="9" t="n"/>
      <c r="H281" s="12">
        <f>IF(A281="","",D281*E281)</f>
        <v/>
      </c>
      <c r="I281" s="12">
        <f>IF(A281="","",IF(Rates!$B$6=1,MIN(H281,Rates!$B$5),H281)*(Rates!$B$4+Rates!$B$13))</f>
        <v/>
      </c>
      <c r="J281" s="12">
        <f>IF(A281="","",IF(D281&lt;=Rates!$B$8,D281*Rates!$B$7,0))</f>
        <v/>
      </c>
      <c r="K281" s="12">
        <f>IF(A281="","",H281*Rates!$B$9)</f>
        <v/>
      </c>
      <c r="L281" s="12">
        <f>IF(A281="","",IF(D281&lt;=Rates!$B$11,H281*Rates!$B$10,0))</f>
        <v/>
      </c>
      <c r="M281" s="12">
        <f>IF(A281="","",Rates!$B$12/12)</f>
        <v/>
      </c>
      <c r="N281" s="12">
        <f>IF(A281="","",D281+I281+J281+K281+L281+M281)</f>
        <v/>
      </c>
      <c r="O281" s="13">
        <f>IF(A281="","",MAX(0,MIN(12,IF(G281="",12,G281))-MAX(1,F281)+1))</f>
        <v/>
      </c>
      <c r="P281" s="12">
        <f>IF(A281="","",N281*O281)</f>
        <v/>
      </c>
      <c r="Q281" s="12">
        <f>IF(A281="","",0.12*IF(Rates!$B$6=1,MIN(H281,Rates!$B$5),H281))</f>
        <v/>
      </c>
      <c r="R281" s="12">
        <f>IF(A281="","",IF(D281&lt;=Rates!$B$8,D281*0.0075,0))</f>
        <v/>
      </c>
    </row>
    <row r="282">
      <c r="A282" s="10" t="n"/>
      <c r="B282" s="10" t="n"/>
      <c r="C282" s="10" t="n"/>
      <c r="D282" s="8" t="n"/>
      <c r="E282" s="11" t="n"/>
      <c r="F282" s="9" t="n"/>
      <c r="G282" s="9" t="n"/>
      <c r="H282" s="12">
        <f>IF(A282="","",D282*E282)</f>
        <v/>
      </c>
      <c r="I282" s="12">
        <f>IF(A282="","",IF(Rates!$B$6=1,MIN(H282,Rates!$B$5),H282)*(Rates!$B$4+Rates!$B$13))</f>
        <v/>
      </c>
      <c r="J282" s="12">
        <f>IF(A282="","",IF(D282&lt;=Rates!$B$8,D282*Rates!$B$7,0))</f>
        <v/>
      </c>
      <c r="K282" s="12">
        <f>IF(A282="","",H282*Rates!$B$9)</f>
        <v/>
      </c>
      <c r="L282" s="12">
        <f>IF(A282="","",IF(D282&lt;=Rates!$B$11,H282*Rates!$B$10,0))</f>
        <v/>
      </c>
      <c r="M282" s="12">
        <f>IF(A282="","",Rates!$B$12/12)</f>
        <v/>
      </c>
      <c r="N282" s="12">
        <f>IF(A282="","",D282+I282+J282+K282+L282+M282)</f>
        <v/>
      </c>
      <c r="O282" s="13">
        <f>IF(A282="","",MAX(0,MIN(12,IF(G282="",12,G282))-MAX(1,F282)+1))</f>
        <v/>
      </c>
      <c r="P282" s="12">
        <f>IF(A282="","",N282*O282)</f>
        <v/>
      </c>
      <c r="Q282" s="12">
        <f>IF(A282="","",0.12*IF(Rates!$B$6=1,MIN(H282,Rates!$B$5),H282))</f>
        <v/>
      </c>
      <c r="R282" s="12">
        <f>IF(A282="","",IF(D282&lt;=Rates!$B$8,D282*0.0075,0))</f>
        <v/>
      </c>
    </row>
    <row r="283">
      <c r="A283" s="10" t="n"/>
      <c r="B283" s="10" t="n"/>
      <c r="C283" s="10" t="n"/>
      <c r="D283" s="8" t="n"/>
      <c r="E283" s="11" t="n"/>
      <c r="F283" s="9" t="n"/>
      <c r="G283" s="9" t="n"/>
      <c r="H283" s="12">
        <f>IF(A283="","",D283*E283)</f>
        <v/>
      </c>
      <c r="I283" s="12">
        <f>IF(A283="","",IF(Rates!$B$6=1,MIN(H283,Rates!$B$5),H283)*(Rates!$B$4+Rates!$B$13))</f>
        <v/>
      </c>
      <c r="J283" s="12">
        <f>IF(A283="","",IF(D283&lt;=Rates!$B$8,D283*Rates!$B$7,0))</f>
        <v/>
      </c>
      <c r="K283" s="12">
        <f>IF(A283="","",H283*Rates!$B$9)</f>
        <v/>
      </c>
      <c r="L283" s="12">
        <f>IF(A283="","",IF(D283&lt;=Rates!$B$11,H283*Rates!$B$10,0))</f>
        <v/>
      </c>
      <c r="M283" s="12">
        <f>IF(A283="","",Rates!$B$12/12)</f>
        <v/>
      </c>
      <c r="N283" s="12">
        <f>IF(A283="","",D283+I283+J283+K283+L283+M283)</f>
        <v/>
      </c>
      <c r="O283" s="13">
        <f>IF(A283="","",MAX(0,MIN(12,IF(G283="",12,G283))-MAX(1,F283)+1))</f>
        <v/>
      </c>
      <c r="P283" s="12">
        <f>IF(A283="","",N283*O283)</f>
        <v/>
      </c>
      <c r="Q283" s="12">
        <f>IF(A283="","",0.12*IF(Rates!$B$6=1,MIN(H283,Rates!$B$5),H283))</f>
        <v/>
      </c>
      <c r="R283" s="12">
        <f>IF(A283="","",IF(D283&lt;=Rates!$B$8,D283*0.0075,0))</f>
        <v/>
      </c>
    </row>
    <row r="284">
      <c r="A284" s="10" t="n"/>
      <c r="B284" s="10" t="n"/>
      <c r="C284" s="10" t="n"/>
      <c r="D284" s="8" t="n"/>
      <c r="E284" s="11" t="n"/>
      <c r="F284" s="9" t="n"/>
      <c r="G284" s="9" t="n"/>
      <c r="H284" s="12">
        <f>IF(A284="","",D284*E284)</f>
        <v/>
      </c>
      <c r="I284" s="12">
        <f>IF(A284="","",IF(Rates!$B$6=1,MIN(H284,Rates!$B$5),H284)*(Rates!$B$4+Rates!$B$13))</f>
        <v/>
      </c>
      <c r="J284" s="12">
        <f>IF(A284="","",IF(D284&lt;=Rates!$B$8,D284*Rates!$B$7,0))</f>
        <v/>
      </c>
      <c r="K284" s="12">
        <f>IF(A284="","",H284*Rates!$B$9)</f>
        <v/>
      </c>
      <c r="L284" s="12">
        <f>IF(A284="","",IF(D284&lt;=Rates!$B$11,H284*Rates!$B$10,0))</f>
        <v/>
      </c>
      <c r="M284" s="12">
        <f>IF(A284="","",Rates!$B$12/12)</f>
        <v/>
      </c>
      <c r="N284" s="12">
        <f>IF(A284="","",D284+I284+J284+K284+L284+M284)</f>
        <v/>
      </c>
      <c r="O284" s="13">
        <f>IF(A284="","",MAX(0,MIN(12,IF(G284="",12,G284))-MAX(1,F284)+1))</f>
        <v/>
      </c>
      <c r="P284" s="12">
        <f>IF(A284="","",N284*O284)</f>
        <v/>
      </c>
      <c r="Q284" s="12">
        <f>IF(A284="","",0.12*IF(Rates!$B$6=1,MIN(H284,Rates!$B$5),H284))</f>
        <v/>
      </c>
      <c r="R284" s="12">
        <f>IF(A284="","",IF(D284&lt;=Rates!$B$8,D284*0.0075,0))</f>
        <v/>
      </c>
    </row>
    <row r="285">
      <c r="A285" s="10" t="n"/>
      <c r="B285" s="10" t="n"/>
      <c r="C285" s="10" t="n"/>
      <c r="D285" s="8" t="n"/>
      <c r="E285" s="11" t="n"/>
      <c r="F285" s="9" t="n"/>
      <c r="G285" s="9" t="n"/>
      <c r="H285" s="12">
        <f>IF(A285="","",D285*E285)</f>
        <v/>
      </c>
      <c r="I285" s="12">
        <f>IF(A285="","",IF(Rates!$B$6=1,MIN(H285,Rates!$B$5),H285)*(Rates!$B$4+Rates!$B$13))</f>
        <v/>
      </c>
      <c r="J285" s="12">
        <f>IF(A285="","",IF(D285&lt;=Rates!$B$8,D285*Rates!$B$7,0))</f>
        <v/>
      </c>
      <c r="K285" s="12">
        <f>IF(A285="","",H285*Rates!$B$9)</f>
        <v/>
      </c>
      <c r="L285" s="12">
        <f>IF(A285="","",IF(D285&lt;=Rates!$B$11,H285*Rates!$B$10,0))</f>
        <v/>
      </c>
      <c r="M285" s="12">
        <f>IF(A285="","",Rates!$B$12/12)</f>
        <v/>
      </c>
      <c r="N285" s="12">
        <f>IF(A285="","",D285+I285+J285+K285+L285+M285)</f>
        <v/>
      </c>
      <c r="O285" s="13">
        <f>IF(A285="","",MAX(0,MIN(12,IF(G285="",12,G285))-MAX(1,F285)+1))</f>
        <v/>
      </c>
      <c r="P285" s="12">
        <f>IF(A285="","",N285*O285)</f>
        <v/>
      </c>
      <c r="Q285" s="12">
        <f>IF(A285="","",0.12*IF(Rates!$B$6=1,MIN(H285,Rates!$B$5),H285))</f>
        <v/>
      </c>
      <c r="R285" s="12">
        <f>IF(A285="","",IF(D285&lt;=Rates!$B$8,D285*0.0075,0))</f>
        <v/>
      </c>
    </row>
    <row r="286">
      <c r="A286" s="10" t="n"/>
      <c r="B286" s="10" t="n"/>
      <c r="C286" s="10" t="n"/>
      <c r="D286" s="8" t="n"/>
      <c r="E286" s="11" t="n"/>
      <c r="F286" s="9" t="n"/>
      <c r="G286" s="9" t="n"/>
      <c r="H286" s="12">
        <f>IF(A286="","",D286*E286)</f>
        <v/>
      </c>
      <c r="I286" s="12">
        <f>IF(A286="","",IF(Rates!$B$6=1,MIN(H286,Rates!$B$5),H286)*(Rates!$B$4+Rates!$B$13))</f>
        <v/>
      </c>
      <c r="J286" s="12">
        <f>IF(A286="","",IF(D286&lt;=Rates!$B$8,D286*Rates!$B$7,0))</f>
        <v/>
      </c>
      <c r="K286" s="12">
        <f>IF(A286="","",H286*Rates!$B$9)</f>
        <v/>
      </c>
      <c r="L286" s="12">
        <f>IF(A286="","",IF(D286&lt;=Rates!$B$11,H286*Rates!$B$10,0))</f>
        <v/>
      </c>
      <c r="M286" s="12">
        <f>IF(A286="","",Rates!$B$12/12)</f>
        <v/>
      </c>
      <c r="N286" s="12">
        <f>IF(A286="","",D286+I286+J286+K286+L286+M286)</f>
        <v/>
      </c>
      <c r="O286" s="13">
        <f>IF(A286="","",MAX(0,MIN(12,IF(G286="",12,G286))-MAX(1,F286)+1))</f>
        <v/>
      </c>
      <c r="P286" s="12">
        <f>IF(A286="","",N286*O286)</f>
        <v/>
      </c>
      <c r="Q286" s="12">
        <f>IF(A286="","",0.12*IF(Rates!$B$6=1,MIN(H286,Rates!$B$5),H286))</f>
        <v/>
      </c>
      <c r="R286" s="12">
        <f>IF(A286="","",IF(D286&lt;=Rates!$B$8,D286*0.0075,0))</f>
        <v/>
      </c>
    </row>
    <row r="287">
      <c r="A287" s="10" t="n"/>
      <c r="B287" s="10" t="n"/>
      <c r="C287" s="10" t="n"/>
      <c r="D287" s="8" t="n"/>
      <c r="E287" s="11" t="n"/>
      <c r="F287" s="9" t="n"/>
      <c r="G287" s="9" t="n"/>
      <c r="H287" s="12">
        <f>IF(A287="","",D287*E287)</f>
        <v/>
      </c>
      <c r="I287" s="12">
        <f>IF(A287="","",IF(Rates!$B$6=1,MIN(H287,Rates!$B$5),H287)*(Rates!$B$4+Rates!$B$13))</f>
        <v/>
      </c>
      <c r="J287" s="12">
        <f>IF(A287="","",IF(D287&lt;=Rates!$B$8,D287*Rates!$B$7,0))</f>
        <v/>
      </c>
      <c r="K287" s="12">
        <f>IF(A287="","",H287*Rates!$B$9)</f>
        <v/>
      </c>
      <c r="L287" s="12">
        <f>IF(A287="","",IF(D287&lt;=Rates!$B$11,H287*Rates!$B$10,0))</f>
        <v/>
      </c>
      <c r="M287" s="12">
        <f>IF(A287="","",Rates!$B$12/12)</f>
        <v/>
      </c>
      <c r="N287" s="12">
        <f>IF(A287="","",D287+I287+J287+K287+L287+M287)</f>
        <v/>
      </c>
      <c r="O287" s="13">
        <f>IF(A287="","",MAX(0,MIN(12,IF(G287="",12,G287))-MAX(1,F287)+1))</f>
        <v/>
      </c>
      <c r="P287" s="12">
        <f>IF(A287="","",N287*O287)</f>
        <v/>
      </c>
      <c r="Q287" s="12">
        <f>IF(A287="","",0.12*IF(Rates!$B$6=1,MIN(H287,Rates!$B$5),H287))</f>
        <v/>
      </c>
      <c r="R287" s="12">
        <f>IF(A287="","",IF(D287&lt;=Rates!$B$8,D287*0.0075,0))</f>
        <v/>
      </c>
    </row>
    <row r="288">
      <c r="A288" s="10" t="n"/>
      <c r="B288" s="10" t="n"/>
      <c r="C288" s="10" t="n"/>
      <c r="D288" s="8" t="n"/>
      <c r="E288" s="11" t="n"/>
      <c r="F288" s="9" t="n"/>
      <c r="G288" s="9" t="n"/>
      <c r="H288" s="12">
        <f>IF(A288="","",D288*E288)</f>
        <v/>
      </c>
      <c r="I288" s="12">
        <f>IF(A288="","",IF(Rates!$B$6=1,MIN(H288,Rates!$B$5),H288)*(Rates!$B$4+Rates!$B$13))</f>
        <v/>
      </c>
      <c r="J288" s="12">
        <f>IF(A288="","",IF(D288&lt;=Rates!$B$8,D288*Rates!$B$7,0))</f>
        <v/>
      </c>
      <c r="K288" s="12">
        <f>IF(A288="","",H288*Rates!$B$9)</f>
        <v/>
      </c>
      <c r="L288" s="12">
        <f>IF(A288="","",IF(D288&lt;=Rates!$B$11,H288*Rates!$B$10,0))</f>
        <v/>
      </c>
      <c r="M288" s="12">
        <f>IF(A288="","",Rates!$B$12/12)</f>
        <v/>
      </c>
      <c r="N288" s="12">
        <f>IF(A288="","",D288+I288+J288+K288+L288+M288)</f>
        <v/>
      </c>
      <c r="O288" s="13">
        <f>IF(A288="","",MAX(0,MIN(12,IF(G288="",12,G288))-MAX(1,F288)+1))</f>
        <v/>
      </c>
      <c r="P288" s="12">
        <f>IF(A288="","",N288*O288)</f>
        <v/>
      </c>
      <c r="Q288" s="12">
        <f>IF(A288="","",0.12*IF(Rates!$B$6=1,MIN(H288,Rates!$B$5),H288))</f>
        <v/>
      </c>
      <c r="R288" s="12">
        <f>IF(A288="","",IF(D288&lt;=Rates!$B$8,D288*0.0075,0))</f>
        <v/>
      </c>
    </row>
    <row r="289">
      <c r="A289" s="10" t="n"/>
      <c r="B289" s="10" t="n"/>
      <c r="C289" s="10" t="n"/>
      <c r="D289" s="8" t="n"/>
      <c r="E289" s="11" t="n"/>
      <c r="F289" s="9" t="n"/>
      <c r="G289" s="9" t="n"/>
      <c r="H289" s="12">
        <f>IF(A289="","",D289*E289)</f>
        <v/>
      </c>
      <c r="I289" s="12">
        <f>IF(A289="","",IF(Rates!$B$6=1,MIN(H289,Rates!$B$5),H289)*(Rates!$B$4+Rates!$B$13))</f>
        <v/>
      </c>
      <c r="J289" s="12">
        <f>IF(A289="","",IF(D289&lt;=Rates!$B$8,D289*Rates!$B$7,0))</f>
        <v/>
      </c>
      <c r="K289" s="12">
        <f>IF(A289="","",H289*Rates!$B$9)</f>
        <v/>
      </c>
      <c r="L289" s="12">
        <f>IF(A289="","",IF(D289&lt;=Rates!$B$11,H289*Rates!$B$10,0))</f>
        <v/>
      </c>
      <c r="M289" s="12">
        <f>IF(A289="","",Rates!$B$12/12)</f>
        <v/>
      </c>
      <c r="N289" s="12">
        <f>IF(A289="","",D289+I289+J289+K289+L289+M289)</f>
        <v/>
      </c>
      <c r="O289" s="13">
        <f>IF(A289="","",MAX(0,MIN(12,IF(G289="",12,G289))-MAX(1,F289)+1))</f>
        <v/>
      </c>
      <c r="P289" s="12">
        <f>IF(A289="","",N289*O289)</f>
        <v/>
      </c>
      <c r="Q289" s="12">
        <f>IF(A289="","",0.12*IF(Rates!$B$6=1,MIN(H289,Rates!$B$5),H289))</f>
        <v/>
      </c>
      <c r="R289" s="12">
        <f>IF(A289="","",IF(D289&lt;=Rates!$B$8,D289*0.0075,0))</f>
        <v/>
      </c>
    </row>
    <row r="290">
      <c r="A290" s="10" t="n"/>
      <c r="B290" s="10" t="n"/>
      <c r="C290" s="10" t="n"/>
      <c r="D290" s="8" t="n"/>
      <c r="E290" s="11" t="n"/>
      <c r="F290" s="9" t="n"/>
      <c r="G290" s="9" t="n"/>
      <c r="H290" s="12">
        <f>IF(A290="","",D290*E290)</f>
        <v/>
      </c>
      <c r="I290" s="12">
        <f>IF(A290="","",IF(Rates!$B$6=1,MIN(H290,Rates!$B$5),H290)*(Rates!$B$4+Rates!$B$13))</f>
        <v/>
      </c>
      <c r="J290" s="12">
        <f>IF(A290="","",IF(D290&lt;=Rates!$B$8,D290*Rates!$B$7,0))</f>
        <v/>
      </c>
      <c r="K290" s="12">
        <f>IF(A290="","",H290*Rates!$B$9)</f>
        <v/>
      </c>
      <c r="L290" s="12">
        <f>IF(A290="","",IF(D290&lt;=Rates!$B$11,H290*Rates!$B$10,0))</f>
        <v/>
      </c>
      <c r="M290" s="12">
        <f>IF(A290="","",Rates!$B$12/12)</f>
        <v/>
      </c>
      <c r="N290" s="12">
        <f>IF(A290="","",D290+I290+J290+K290+L290+M290)</f>
        <v/>
      </c>
      <c r="O290" s="13">
        <f>IF(A290="","",MAX(0,MIN(12,IF(G290="",12,G290))-MAX(1,F290)+1))</f>
        <v/>
      </c>
      <c r="P290" s="12">
        <f>IF(A290="","",N290*O290)</f>
        <v/>
      </c>
      <c r="Q290" s="12">
        <f>IF(A290="","",0.12*IF(Rates!$B$6=1,MIN(H290,Rates!$B$5),H290))</f>
        <v/>
      </c>
      <c r="R290" s="12">
        <f>IF(A290="","",IF(D290&lt;=Rates!$B$8,D290*0.0075,0))</f>
        <v/>
      </c>
    </row>
    <row r="291">
      <c r="A291" s="10" t="n"/>
      <c r="B291" s="10" t="n"/>
      <c r="C291" s="10" t="n"/>
      <c r="D291" s="8" t="n"/>
      <c r="E291" s="11" t="n"/>
      <c r="F291" s="9" t="n"/>
      <c r="G291" s="9" t="n"/>
      <c r="H291" s="12">
        <f>IF(A291="","",D291*E291)</f>
        <v/>
      </c>
      <c r="I291" s="12">
        <f>IF(A291="","",IF(Rates!$B$6=1,MIN(H291,Rates!$B$5),H291)*(Rates!$B$4+Rates!$B$13))</f>
        <v/>
      </c>
      <c r="J291" s="12">
        <f>IF(A291="","",IF(D291&lt;=Rates!$B$8,D291*Rates!$B$7,0))</f>
        <v/>
      </c>
      <c r="K291" s="12">
        <f>IF(A291="","",H291*Rates!$B$9)</f>
        <v/>
      </c>
      <c r="L291" s="12">
        <f>IF(A291="","",IF(D291&lt;=Rates!$B$11,H291*Rates!$B$10,0))</f>
        <v/>
      </c>
      <c r="M291" s="12">
        <f>IF(A291="","",Rates!$B$12/12)</f>
        <v/>
      </c>
      <c r="N291" s="12">
        <f>IF(A291="","",D291+I291+J291+K291+L291+M291)</f>
        <v/>
      </c>
      <c r="O291" s="13">
        <f>IF(A291="","",MAX(0,MIN(12,IF(G291="",12,G291))-MAX(1,F291)+1))</f>
        <v/>
      </c>
      <c r="P291" s="12">
        <f>IF(A291="","",N291*O291)</f>
        <v/>
      </c>
      <c r="Q291" s="12">
        <f>IF(A291="","",0.12*IF(Rates!$B$6=1,MIN(H291,Rates!$B$5),H291))</f>
        <v/>
      </c>
      <c r="R291" s="12">
        <f>IF(A291="","",IF(D291&lt;=Rates!$B$8,D291*0.0075,0))</f>
        <v/>
      </c>
    </row>
    <row r="292">
      <c r="A292" s="10" t="n"/>
      <c r="B292" s="10" t="n"/>
      <c r="C292" s="10" t="n"/>
      <c r="D292" s="8" t="n"/>
      <c r="E292" s="11" t="n"/>
      <c r="F292" s="9" t="n"/>
      <c r="G292" s="9" t="n"/>
      <c r="H292" s="12">
        <f>IF(A292="","",D292*E292)</f>
        <v/>
      </c>
      <c r="I292" s="12">
        <f>IF(A292="","",IF(Rates!$B$6=1,MIN(H292,Rates!$B$5),H292)*(Rates!$B$4+Rates!$B$13))</f>
        <v/>
      </c>
      <c r="J292" s="12">
        <f>IF(A292="","",IF(D292&lt;=Rates!$B$8,D292*Rates!$B$7,0))</f>
        <v/>
      </c>
      <c r="K292" s="12">
        <f>IF(A292="","",H292*Rates!$B$9)</f>
        <v/>
      </c>
      <c r="L292" s="12">
        <f>IF(A292="","",IF(D292&lt;=Rates!$B$11,H292*Rates!$B$10,0))</f>
        <v/>
      </c>
      <c r="M292" s="12">
        <f>IF(A292="","",Rates!$B$12/12)</f>
        <v/>
      </c>
      <c r="N292" s="12">
        <f>IF(A292="","",D292+I292+J292+K292+L292+M292)</f>
        <v/>
      </c>
      <c r="O292" s="13">
        <f>IF(A292="","",MAX(0,MIN(12,IF(G292="",12,G292))-MAX(1,F292)+1))</f>
        <v/>
      </c>
      <c r="P292" s="12">
        <f>IF(A292="","",N292*O292)</f>
        <v/>
      </c>
      <c r="Q292" s="12">
        <f>IF(A292="","",0.12*IF(Rates!$B$6=1,MIN(H292,Rates!$B$5),H292))</f>
        <v/>
      </c>
      <c r="R292" s="12">
        <f>IF(A292="","",IF(D292&lt;=Rates!$B$8,D292*0.0075,0))</f>
        <v/>
      </c>
    </row>
    <row r="293">
      <c r="A293" s="10" t="n"/>
      <c r="B293" s="10" t="n"/>
      <c r="C293" s="10" t="n"/>
      <c r="D293" s="8" t="n"/>
      <c r="E293" s="11" t="n"/>
      <c r="F293" s="9" t="n"/>
      <c r="G293" s="9" t="n"/>
      <c r="H293" s="12">
        <f>IF(A293="","",D293*E293)</f>
        <v/>
      </c>
      <c r="I293" s="12">
        <f>IF(A293="","",IF(Rates!$B$6=1,MIN(H293,Rates!$B$5),H293)*(Rates!$B$4+Rates!$B$13))</f>
        <v/>
      </c>
      <c r="J293" s="12">
        <f>IF(A293="","",IF(D293&lt;=Rates!$B$8,D293*Rates!$B$7,0))</f>
        <v/>
      </c>
      <c r="K293" s="12">
        <f>IF(A293="","",H293*Rates!$B$9)</f>
        <v/>
      </c>
      <c r="L293" s="12">
        <f>IF(A293="","",IF(D293&lt;=Rates!$B$11,H293*Rates!$B$10,0))</f>
        <v/>
      </c>
      <c r="M293" s="12">
        <f>IF(A293="","",Rates!$B$12/12)</f>
        <v/>
      </c>
      <c r="N293" s="12">
        <f>IF(A293="","",D293+I293+J293+K293+L293+M293)</f>
        <v/>
      </c>
      <c r="O293" s="13">
        <f>IF(A293="","",MAX(0,MIN(12,IF(G293="",12,G293))-MAX(1,F293)+1))</f>
        <v/>
      </c>
      <c r="P293" s="12">
        <f>IF(A293="","",N293*O293)</f>
        <v/>
      </c>
      <c r="Q293" s="12">
        <f>IF(A293="","",0.12*IF(Rates!$B$6=1,MIN(H293,Rates!$B$5),H293))</f>
        <v/>
      </c>
      <c r="R293" s="12">
        <f>IF(A293="","",IF(D293&lt;=Rates!$B$8,D293*0.0075,0))</f>
        <v/>
      </c>
    </row>
    <row r="294">
      <c r="A294" s="10" t="n"/>
      <c r="B294" s="10" t="n"/>
      <c r="C294" s="10" t="n"/>
      <c r="D294" s="8" t="n"/>
      <c r="E294" s="11" t="n"/>
      <c r="F294" s="9" t="n"/>
      <c r="G294" s="9" t="n"/>
      <c r="H294" s="12">
        <f>IF(A294="","",D294*E294)</f>
        <v/>
      </c>
      <c r="I294" s="12">
        <f>IF(A294="","",IF(Rates!$B$6=1,MIN(H294,Rates!$B$5),H294)*(Rates!$B$4+Rates!$B$13))</f>
        <v/>
      </c>
      <c r="J294" s="12">
        <f>IF(A294="","",IF(D294&lt;=Rates!$B$8,D294*Rates!$B$7,0))</f>
        <v/>
      </c>
      <c r="K294" s="12">
        <f>IF(A294="","",H294*Rates!$B$9)</f>
        <v/>
      </c>
      <c r="L294" s="12">
        <f>IF(A294="","",IF(D294&lt;=Rates!$B$11,H294*Rates!$B$10,0))</f>
        <v/>
      </c>
      <c r="M294" s="12">
        <f>IF(A294="","",Rates!$B$12/12)</f>
        <v/>
      </c>
      <c r="N294" s="12">
        <f>IF(A294="","",D294+I294+J294+K294+L294+M294)</f>
        <v/>
      </c>
      <c r="O294" s="13">
        <f>IF(A294="","",MAX(0,MIN(12,IF(G294="",12,G294))-MAX(1,F294)+1))</f>
        <v/>
      </c>
      <c r="P294" s="12">
        <f>IF(A294="","",N294*O294)</f>
        <v/>
      </c>
      <c r="Q294" s="12">
        <f>IF(A294="","",0.12*IF(Rates!$B$6=1,MIN(H294,Rates!$B$5),H294))</f>
        <v/>
      </c>
      <c r="R294" s="12">
        <f>IF(A294="","",IF(D294&lt;=Rates!$B$8,D294*0.0075,0))</f>
        <v/>
      </c>
    </row>
    <row r="295">
      <c r="A295" s="10" t="n"/>
      <c r="B295" s="10" t="n"/>
      <c r="C295" s="10" t="n"/>
      <c r="D295" s="8" t="n"/>
      <c r="E295" s="11" t="n"/>
      <c r="F295" s="9" t="n"/>
      <c r="G295" s="9" t="n"/>
      <c r="H295" s="12">
        <f>IF(A295="","",D295*E295)</f>
        <v/>
      </c>
      <c r="I295" s="12">
        <f>IF(A295="","",IF(Rates!$B$6=1,MIN(H295,Rates!$B$5),H295)*(Rates!$B$4+Rates!$B$13))</f>
        <v/>
      </c>
      <c r="J295" s="12">
        <f>IF(A295="","",IF(D295&lt;=Rates!$B$8,D295*Rates!$B$7,0))</f>
        <v/>
      </c>
      <c r="K295" s="12">
        <f>IF(A295="","",H295*Rates!$B$9)</f>
        <v/>
      </c>
      <c r="L295" s="12">
        <f>IF(A295="","",IF(D295&lt;=Rates!$B$11,H295*Rates!$B$10,0))</f>
        <v/>
      </c>
      <c r="M295" s="12">
        <f>IF(A295="","",Rates!$B$12/12)</f>
        <v/>
      </c>
      <c r="N295" s="12">
        <f>IF(A295="","",D295+I295+J295+K295+L295+M295)</f>
        <v/>
      </c>
      <c r="O295" s="13">
        <f>IF(A295="","",MAX(0,MIN(12,IF(G295="",12,G295))-MAX(1,F295)+1))</f>
        <v/>
      </c>
      <c r="P295" s="12">
        <f>IF(A295="","",N295*O295)</f>
        <v/>
      </c>
      <c r="Q295" s="12">
        <f>IF(A295="","",0.12*IF(Rates!$B$6=1,MIN(H295,Rates!$B$5),H295))</f>
        <v/>
      </c>
      <c r="R295" s="12">
        <f>IF(A295="","",IF(D295&lt;=Rates!$B$8,D295*0.0075,0))</f>
        <v/>
      </c>
    </row>
    <row r="296">
      <c r="A296" s="10" t="n"/>
      <c r="B296" s="10" t="n"/>
      <c r="C296" s="10" t="n"/>
      <c r="D296" s="8" t="n"/>
      <c r="E296" s="11" t="n"/>
      <c r="F296" s="9" t="n"/>
      <c r="G296" s="9" t="n"/>
      <c r="H296" s="12">
        <f>IF(A296="","",D296*E296)</f>
        <v/>
      </c>
      <c r="I296" s="12">
        <f>IF(A296="","",IF(Rates!$B$6=1,MIN(H296,Rates!$B$5),H296)*(Rates!$B$4+Rates!$B$13))</f>
        <v/>
      </c>
      <c r="J296" s="12">
        <f>IF(A296="","",IF(D296&lt;=Rates!$B$8,D296*Rates!$B$7,0))</f>
        <v/>
      </c>
      <c r="K296" s="12">
        <f>IF(A296="","",H296*Rates!$B$9)</f>
        <v/>
      </c>
      <c r="L296" s="12">
        <f>IF(A296="","",IF(D296&lt;=Rates!$B$11,H296*Rates!$B$10,0))</f>
        <v/>
      </c>
      <c r="M296" s="12">
        <f>IF(A296="","",Rates!$B$12/12)</f>
        <v/>
      </c>
      <c r="N296" s="12">
        <f>IF(A296="","",D296+I296+J296+K296+L296+M296)</f>
        <v/>
      </c>
      <c r="O296" s="13">
        <f>IF(A296="","",MAX(0,MIN(12,IF(G296="",12,G296))-MAX(1,F296)+1))</f>
        <v/>
      </c>
      <c r="P296" s="12">
        <f>IF(A296="","",N296*O296)</f>
        <v/>
      </c>
      <c r="Q296" s="12">
        <f>IF(A296="","",0.12*IF(Rates!$B$6=1,MIN(H296,Rates!$B$5),H296))</f>
        <v/>
      </c>
      <c r="R296" s="12">
        <f>IF(A296="","",IF(D296&lt;=Rates!$B$8,D296*0.0075,0))</f>
        <v/>
      </c>
    </row>
    <row r="297">
      <c r="A297" s="10" t="n"/>
      <c r="B297" s="10" t="n"/>
      <c r="C297" s="10" t="n"/>
      <c r="D297" s="8" t="n"/>
      <c r="E297" s="11" t="n"/>
      <c r="F297" s="9" t="n"/>
      <c r="G297" s="9" t="n"/>
      <c r="H297" s="12">
        <f>IF(A297="","",D297*E297)</f>
        <v/>
      </c>
      <c r="I297" s="12">
        <f>IF(A297="","",IF(Rates!$B$6=1,MIN(H297,Rates!$B$5),H297)*(Rates!$B$4+Rates!$B$13))</f>
        <v/>
      </c>
      <c r="J297" s="12">
        <f>IF(A297="","",IF(D297&lt;=Rates!$B$8,D297*Rates!$B$7,0))</f>
        <v/>
      </c>
      <c r="K297" s="12">
        <f>IF(A297="","",H297*Rates!$B$9)</f>
        <v/>
      </c>
      <c r="L297" s="12">
        <f>IF(A297="","",IF(D297&lt;=Rates!$B$11,H297*Rates!$B$10,0))</f>
        <v/>
      </c>
      <c r="M297" s="12">
        <f>IF(A297="","",Rates!$B$12/12)</f>
        <v/>
      </c>
      <c r="N297" s="12">
        <f>IF(A297="","",D297+I297+J297+K297+L297+M297)</f>
        <v/>
      </c>
      <c r="O297" s="13">
        <f>IF(A297="","",MAX(0,MIN(12,IF(G297="",12,G297))-MAX(1,F297)+1))</f>
        <v/>
      </c>
      <c r="P297" s="12">
        <f>IF(A297="","",N297*O297)</f>
        <v/>
      </c>
      <c r="Q297" s="12">
        <f>IF(A297="","",0.12*IF(Rates!$B$6=1,MIN(H297,Rates!$B$5),H297))</f>
        <v/>
      </c>
      <c r="R297" s="12">
        <f>IF(A297="","",IF(D297&lt;=Rates!$B$8,D297*0.0075,0))</f>
        <v/>
      </c>
    </row>
    <row r="298">
      <c r="A298" s="10" t="n"/>
      <c r="B298" s="10" t="n"/>
      <c r="C298" s="10" t="n"/>
      <c r="D298" s="8" t="n"/>
      <c r="E298" s="11" t="n"/>
      <c r="F298" s="9" t="n"/>
      <c r="G298" s="9" t="n"/>
      <c r="H298" s="12">
        <f>IF(A298="","",D298*E298)</f>
        <v/>
      </c>
      <c r="I298" s="12">
        <f>IF(A298="","",IF(Rates!$B$6=1,MIN(H298,Rates!$B$5),H298)*(Rates!$B$4+Rates!$B$13))</f>
        <v/>
      </c>
      <c r="J298" s="12">
        <f>IF(A298="","",IF(D298&lt;=Rates!$B$8,D298*Rates!$B$7,0))</f>
        <v/>
      </c>
      <c r="K298" s="12">
        <f>IF(A298="","",H298*Rates!$B$9)</f>
        <v/>
      </c>
      <c r="L298" s="12">
        <f>IF(A298="","",IF(D298&lt;=Rates!$B$11,H298*Rates!$B$10,0))</f>
        <v/>
      </c>
      <c r="M298" s="12">
        <f>IF(A298="","",Rates!$B$12/12)</f>
        <v/>
      </c>
      <c r="N298" s="12">
        <f>IF(A298="","",D298+I298+J298+K298+L298+M298)</f>
        <v/>
      </c>
      <c r="O298" s="13">
        <f>IF(A298="","",MAX(0,MIN(12,IF(G298="",12,G298))-MAX(1,F298)+1))</f>
        <v/>
      </c>
      <c r="P298" s="12">
        <f>IF(A298="","",N298*O298)</f>
        <v/>
      </c>
      <c r="Q298" s="12">
        <f>IF(A298="","",0.12*IF(Rates!$B$6=1,MIN(H298,Rates!$B$5),H298))</f>
        <v/>
      </c>
      <c r="R298" s="12">
        <f>IF(A298="","",IF(D298&lt;=Rates!$B$8,D298*0.0075,0))</f>
        <v/>
      </c>
    </row>
    <row r="299">
      <c r="A299" s="10" t="n"/>
      <c r="B299" s="10" t="n"/>
      <c r="C299" s="10" t="n"/>
      <c r="D299" s="8" t="n"/>
      <c r="E299" s="11" t="n"/>
      <c r="F299" s="9" t="n"/>
      <c r="G299" s="9" t="n"/>
      <c r="H299" s="12">
        <f>IF(A299="","",D299*E299)</f>
        <v/>
      </c>
      <c r="I299" s="12">
        <f>IF(A299="","",IF(Rates!$B$6=1,MIN(H299,Rates!$B$5),H299)*(Rates!$B$4+Rates!$B$13))</f>
        <v/>
      </c>
      <c r="J299" s="12">
        <f>IF(A299="","",IF(D299&lt;=Rates!$B$8,D299*Rates!$B$7,0))</f>
        <v/>
      </c>
      <c r="K299" s="12">
        <f>IF(A299="","",H299*Rates!$B$9)</f>
        <v/>
      </c>
      <c r="L299" s="12">
        <f>IF(A299="","",IF(D299&lt;=Rates!$B$11,H299*Rates!$B$10,0))</f>
        <v/>
      </c>
      <c r="M299" s="12">
        <f>IF(A299="","",Rates!$B$12/12)</f>
        <v/>
      </c>
      <c r="N299" s="12">
        <f>IF(A299="","",D299+I299+J299+K299+L299+M299)</f>
        <v/>
      </c>
      <c r="O299" s="13">
        <f>IF(A299="","",MAX(0,MIN(12,IF(G299="",12,G299))-MAX(1,F299)+1))</f>
        <v/>
      </c>
      <c r="P299" s="12">
        <f>IF(A299="","",N299*O299)</f>
        <v/>
      </c>
      <c r="Q299" s="12">
        <f>IF(A299="","",0.12*IF(Rates!$B$6=1,MIN(H299,Rates!$B$5),H299))</f>
        <v/>
      </c>
      <c r="R299" s="12">
        <f>IF(A299="","",IF(D299&lt;=Rates!$B$8,D299*0.0075,0))</f>
        <v/>
      </c>
    </row>
    <row r="300">
      <c r="A300" s="10" t="n"/>
      <c r="B300" s="10" t="n"/>
      <c r="C300" s="10" t="n"/>
      <c r="D300" s="8" t="n"/>
      <c r="E300" s="11" t="n"/>
      <c r="F300" s="9" t="n"/>
      <c r="G300" s="9" t="n"/>
      <c r="H300" s="12">
        <f>IF(A300="","",D300*E300)</f>
        <v/>
      </c>
      <c r="I300" s="12">
        <f>IF(A300="","",IF(Rates!$B$6=1,MIN(H300,Rates!$B$5),H300)*(Rates!$B$4+Rates!$B$13))</f>
        <v/>
      </c>
      <c r="J300" s="12">
        <f>IF(A300="","",IF(D300&lt;=Rates!$B$8,D300*Rates!$B$7,0))</f>
        <v/>
      </c>
      <c r="K300" s="12">
        <f>IF(A300="","",H300*Rates!$B$9)</f>
        <v/>
      </c>
      <c r="L300" s="12">
        <f>IF(A300="","",IF(D300&lt;=Rates!$B$11,H300*Rates!$B$10,0))</f>
        <v/>
      </c>
      <c r="M300" s="12">
        <f>IF(A300="","",Rates!$B$12/12)</f>
        <v/>
      </c>
      <c r="N300" s="12">
        <f>IF(A300="","",D300+I300+J300+K300+L300+M300)</f>
        <v/>
      </c>
      <c r="O300" s="13">
        <f>IF(A300="","",MAX(0,MIN(12,IF(G300="",12,G300))-MAX(1,F300)+1))</f>
        <v/>
      </c>
      <c r="P300" s="12">
        <f>IF(A300="","",N300*O300)</f>
        <v/>
      </c>
      <c r="Q300" s="12">
        <f>IF(A300="","",0.12*IF(Rates!$B$6=1,MIN(H300,Rates!$B$5),H300))</f>
        <v/>
      </c>
      <c r="R300" s="12">
        <f>IF(A300="","",IF(D300&lt;=Rates!$B$8,D300*0.0075,0))</f>
        <v/>
      </c>
    </row>
    <row r="301">
      <c r="A301" s="10" t="n"/>
      <c r="B301" s="10" t="n"/>
      <c r="C301" s="10" t="n"/>
      <c r="D301" s="8" t="n"/>
      <c r="E301" s="11" t="n"/>
      <c r="F301" s="9" t="n"/>
      <c r="G301" s="9" t="n"/>
      <c r="H301" s="12">
        <f>IF(A301="","",D301*E301)</f>
        <v/>
      </c>
      <c r="I301" s="12">
        <f>IF(A301="","",IF(Rates!$B$6=1,MIN(H301,Rates!$B$5),H301)*(Rates!$B$4+Rates!$B$13))</f>
        <v/>
      </c>
      <c r="J301" s="12">
        <f>IF(A301="","",IF(D301&lt;=Rates!$B$8,D301*Rates!$B$7,0))</f>
        <v/>
      </c>
      <c r="K301" s="12">
        <f>IF(A301="","",H301*Rates!$B$9)</f>
        <v/>
      </c>
      <c r="L301" s="12">
        <f>IF(A301="","",IF(D301&lt;=Rates!$B$11,H301*Rates!$B$10,0))</f>
        <v/>
      </c>
      <c r="M301" s="12">
        <f>IF(A301="","",Rates!$B$12/12)</f>
        <v/>
      </c>
      <c r="N301" s="12">
        <f>IF(A301="","",D301+I301+J301+K301+L301+M301)</f>
        <v/>
      </c>
      <c r="O301" s="13">
        <f>IF(A301="","",MAX(0,MIN(12,IF(G301="",12,G301))-MAX(1,F301)+1))</f>
        <v/>
      </c>
      <c r="P301" s="12">
        <f>IF(A301="","",N301*O301)</f>
        <v/>
      </c>
      <c r="Q301" s="12">
        <f>IF(A301="","",0.12*IF(Rates!$B$6=1,MIN(H301,Rates!$B$5),H301))</f>
        <v/>
      </c>
      <c r="R301" s="12">
        <f>IF(A301="","",IF(D301&lt;=Rates!$B$8,D301*0.0075,0))</f>
        <v/>
      </c>
    </row>
    <row r="302">
      <c r="A302" s="10" t="n"/>
      <c r="B302" s="10" t="n"/>
      <c r="C302" s="10" t="n"/>
      <c r="D302" s="8" t="n"/>
      <c r="E302" s="11" t="n"/>
      <c r="F302" s="9" t="n"/>
      <c r="G302" s="9" t="n"/>
      <c r="H302" s="12">
        <f>IF(A302="","",D302*E302)</f>
        <v/>
      </c>
      <c r="I302" s="12">
        <f>IF(A302="","",IF(Rates!$B$6=1,MIN(H302,Rates!$B$5),H302)*(Rates!$B$4+Rates!$B$13))</f>
        <v/>
      </c>
      <c r="J302" s="12">
        <f>IF(A302="","",IF(D302&lt;=Rates!$B$8,D302*Rates!$B$7,0))</f>
        <v/>
      </c>
      <c r="K302" s="12">
        <f>IF(A302="","",H302*Rates!$B$9)</f>
        <v/>
      </c>
      <c r="L302" s="12">
        <f>IF(A302="","",IF(D302&lt;=Rates!$B$11,H302*Rates!$B$10,0))</f>
        <v/>
      </c>
      <c r="M302" s="12">
        <f>IF(A302="","",Rates!$B$12/12)</f>
        <v/>
      </c>
      <c r="N302" s="12">
        <f>IF(A302="","",D302+I302+J302+K302+L302+M302)</f>
        <v/>
      </c>
      <c r="O302" s="13">
        <f>IF(A302="","",MAX(0,MIN(12,IF(G302="",12,G302))-MAX(1,F302)+1))</f>
        <v/>
      </c>
      <c r="P302" s="12">
        <f>IF(A302="","",N302*O302)</f>
        <v/>
      </c>
      <c r="Q302" s="12">
        <f>IF(A302="","",0.12*IF(Rates!$B$6=1,MIN(H302,Rates!$B$5),H302))</f>
        <v/>
      </c>
      <c r="R302" s="12">
        <f>IF(A302="","",IF(D302&lt;=Rates!$B$8,D302*0.0075,0))</f>
        <v/>
      </c>
    </row>
    <row r="303">
      <c r="A303" s="10" t="n"/>
      <c r="B303" s="10" t="n"/>
      <c r="C303" s="10" t="n"/>
      <c r="D303" s="8" t="n"/>
      <c r="E303" s="11" t="n"/>
      <c r="F303" s="9" t="n"/>
      <c r="G303" s="9" t="n"/>
      <c r="H303" s="12">
        <f>IF(A303="","",D303*E303)</f>
        <v/>
      </c>
      <c r="I303" s="12">
        <f>IF(A303="","",IF(Rates!$B$6=1,MIN(H303,Rates!$B$5),H303)*(Rates!$B$4+Rates!$B$13))</f>
        <v/>
      </c>
      <c r="J303" s="12">
        <f>IF(A303="","",IF(D303&lt;=Rates!$B$8,D303*Rates!$B$7,0))</f>
        <v/>
      </c>
      <c r="K303" s="12">
        <f>IF(A303="","",H303*Rates!$B$9)</f>
        <v/>
      </c>
      <c r="L303" s="12">
        <f>IF(A303="","",IF(D303&lt;=Rates!$B$11,H303*Rates!$B$10,0))</f>
        <v/>
      </c>
      <c r="M303" s="12">
        <f>IF(A303="","",Rates!$B$12/12)</f>
        <v/>
      </c>
      <c r="N303" s="12">
        <f>IF(A303="","",D303+I303+J303+K303+L303+M303)</f>
        <v/>
      </c>
      <c r="O303" s="13">
        <f>IF(A303="","",MAX(0,MIN(12,IF(G303="",12,G303))-MAX(1,F303)+1))</f>
        <v/>
      </c>
      <c r="P303" s="12">
        <f>IF(A303="","",N303*O303)</f>
        <v/>
      </c>
      <c r="Q303" s="12">
        <f>IF(A303="","",0.12*IF(Rates!$B$6=1,MIN(H303,Rates!$B$5),H303))</f>
        <v/>
      </c>
      <c r="R303" s="12">
        <f>IF(A303="","",IF(D303&lt;=Rates!$B$8,D303*0.0075,0))</f>
        <v/>
      </c>
    </row>
    <row r="304">
      <c r="A304" s="10" t="n"/>
      <c r="B304" s="10" t="n"/>
      <c r="C304" s="10" t="n"/>
      <c r="D304" s="8" t="n"/>
      <c r="E304" s="11" t="n"/>
      <c r="F304" s="9" t="n"/>
      <c r="G304" s="9" t="n"/>
      <c r="H304" s="12">
        <f>IF(A304="","",D304*E304)</f>
        <v/>
      </c>
      <c r="I304" s="12">
        <f>IF(A304="","",IF(Rates!$B$6=1,MIN(H304,Rates!$B$5),H304)*(Rates!$B$4+Rates!$B$13))</f>
        <v/>
      </c>
      <c r="J304" s="12">
        <f>IF(A304="","",IF(D304&lt;=Rates!$B$8,D304*Rates!$B$7,0))</f>
        <v/>
      </c>
      <c r="K304" s="12">
        <f>IF(A304="","",H304*Rates!$B$9)</f>
        <v/>
      </c>
      <c r="L304" s="12">
        <f>IF(A304="","",IF(D304&lt;=Rates!$B$11,H304*Rates!$B$10,0))</f>
        <v/>
      </c>
      <c r="M304" s="12">
        <f>IF(A304="","",Rates!$B$12/12)</f>
        <v/>
      </c>
      <c r="N304" s="12">
        <f>IF(A304="","",D304+I304+J304+K304+L304+M304)</f>
        <v/>
      </c>
      <c r="O304" s="13">
        <f>IF(A304="","",MAX(0,MIN(12,IF(G304="",12,G304))-MAX(1,F304)+1))</f>
        <v/>
      </c>
      <c r="P304" s="12">
        <f>IF(A304="","",N304*O304)</f>
        <v/>
      </c>
      <c r="Q304" s="12">
        <f>IF(A304="","",0.12*IF(Rates!$B$6=1,MIN(H304,Rates!$B$5),H304))</f>
        <v/>
      </c>
      <c r="R304" s="12">
        <f>IF(A304="","",IF(D304&lt;=Rates!$B$8,D304*0.0075,0))</f>
        <v/>
      </c>
    </row>
    <row r="305">
      <c r="A305" s="10" t="n"/>
      <c r="B305" s="10" t="n"/>
      <c r="C305" s="10" t="n"/>
      <c r="D305" s="8" t="n"/>
      <c r="E305" s="11" t="n"/>
      <c r="F305" s="9" t="n"/>
      <c r="G305" s="9" t="n"/>
      <c r="H305" s="12">
        <f>IF(A305="","",D305*E305)</f>
        <v/>
      </c>
      <c r="I305" s="12">
        <f>IF(A305="","",IF(Rates!$B$6=1,MIN(H305,Rates!$B$5),H305)*(Rates!$B$4+Rates!$B$13))</f>
        <v/>
      </c>
      <c r="J305" s="12">
        <f>IF(A305="","",IF(D305&lt;=Rates!$B$8,D305*Rates!$B$7,0))</f>
        <v/>
      </c>
      <c r="K305" s="12">
        <f>IF(A305="","",H305*Rates!$B$9)</f>
        <v/>
      </c>
      <c r="L305" s="12">
        <f>IF(A305="","",IF(D305&lt;=Rates!$B$11,H305*Rates!$B$10,0))</f>
        <v/>
      </c>
      <c r="M305" s="12">
        <f>IF(A305="","",Rates!$B$12/12)</f>
        <v/>
      </c>
      <c r="N305" s="12">
        <f>IF(A305="","",D305+I305+J305+K305+L305+M305)</f>
        <v/>
      </c>
      <c r="O305" s="13">
        <f>IF(A305="","",MAX(0,MIN(12,IF(G305="",12,G305))-MAX(1,F305)+1))</f>
        <v/>
      </c>
      <c r="P305" s="12">
        <f>IF(A305="","",N305*O305)</f>
        <v/>
      </c>
      <c r="Q305" s="12">
        <f>IF(A305="","",0.12*IF(Rates!$B$6=1,MIN(H305,Rates!$B$5),H305))</f>
        <v/>
      </c>
      <c r="R305" s="12">
        <f>IF(A305="","",IF(D305&lt;=Rates!$B$8,D305*0.0075,0))</f>
        <v/>
      </c>
    </row>
    <row r="306">
      <c r="A306" s="10" t="n"/>
      <c r="B306" s="10" t="n"/>
      <c r="C306" s="10" t="n"/>
      <c r="D306" s="8" t="n"/>
      <c r="E306" s="11" t="n"/>
      <c r="F306" s="9" t="n"/>
      <c r="G306" s="9" t="n"/>
      <c r="H306" s="12">
        <f>IF(A306="","",D306*E306)</f>
        <v/>
      </c>
      <c r="I306" s="12">
        <f>IF(A306="","",IF(Rates!$B$6=1,MIN(H306,Rates!$B$5),H306)*(Rates!$B$4+Rates!$B$13))</f>
        <v/>
      </c>
      <c r="J306" s="12">
        <f>IF(A306="","",IF(D306&lt;=Rates!$B$8,D306*Rates!$B$7,0))</f>
        <v/>
      </c>
      <c r="K306" s="12">
        <f>IF(A306="","",H306*Rates!$B$9)</f>
        <v/>
      </c>
      <c r="L306" s="12">
        <f>IF(A306="","",IF(D306&lt;=Rates!$B$11,H306*Rates!$B$10,0))</f>
        <v/>
      </c>
      <c r="M306" s="12">
        <f>IF(A306="","",Rates!$B$12/12)</f>
        <v/>
      </c>
      <c r="N306" s="12">
        <f>IF(A306="","",D306+I306+J306+K306+L306+M306)</f>
        <v/>
      </c>
      <c r="O306" s="13">
        <f>IF(A306="","",MAX(0,MIN(12,IF(G306="",12,G306))-MAX(1,F306)+1))</f>
        <v/>
      </c>
      <c r="P306" s="12">
        <f>IF(A306="","",N306*O306)</f>
        <v/>
      </c>
      <c r="Q306" s="12">
        <f>IF(A306="","",0.12*IF(Rates!$B$6=1,MIN(H306,Rates!$B$5),H306))</f>
        <v/>
      </c>
      <c r="R306" s="12">
        <f>IF(A306="","",IF(D306&lt;=Rates!$B$8,D306*0.0075,0))</f>
        <v/>
      </c>
    </row>
    <row r="307">
      <c r="A307" s="10" t="n"/>
      <c r="B307" s="10" t="n"/>
      <c r="C307" s="10" t="n"/>
      <c r="D307" s="8" t="n"/>
      <c r="E307" s="11" t="n"/>
      <c r="F307" s="9" t="n"/>
      <c r="G307" s="9" t="n"/>
      <c r="H307" s="12">
        <f>IF(A307="","",D307*E307)</f>
        <v/>
      </c>
      <c r="I307" s="12">
        <f>IF(A307="","",IF(Rates!$B$6=1,MIN(H307,Rates!$B$5),H307)*(Rates!$B$4+Rates!$B$13))</f>
        <v/>
      </c>
      <c r="J307" s="12">
        <f>IF(A307="","",IF(D307&lt;=Rates!$B$8,D307*Rates!$B$7,0))</f>
        <v/>
      </c>
      <c r="K307" s="12">
        <f>IF(A307="","",H307*Rates!$B$9)</f>
        <v/>
      </c>
      <c r="L307" s="12">
        <f>IF(A307="","",IF(D307&lt;=Rates!$B$11,H307*Rates!$B$10,0))</f>
        <v/>
      </c>
      <c r="M307" s="12">
        <f>IF(A307="","",Rates!$B$12/12)</f>
        <v/>
      </c>
      <c r="N307" s="12">
        <f>IF(A307="","",D307+I307+J307+K307+L307+M307)</f>
        <v/>
      </c>
      <c r="O307" s="13">
        <f>IF(A307="","",MAX(0,MIN(12,IF(G307="",12,G307))-MAX(1,F307)+1))</f>
        <v/>
      </c>
      <c r="P307" s="12">
        <f>IF(A307="","",N307*O307)</f>
        <v/>
      </c>
      <c r="Q307" s="12">
        <f>IF(A307="","",0.12*IF(Rates!$B$6=1,MIN(H307,Rates!$B$5),H307))</f>
        <v/>
      </c>
      <c r="R307" s="12">
        <f>IF(A307="","",IF(D307&lt;=Rates!$B$8,D307*0.0075,0))</f>
        <v/>
      </c>
    </row>
    <row r="308">
      <c r="A308" s="10" t="n"/>
      <c r="B308" s="10" t="n"/>
      <c r="C308" s="10" t="n"/>
      <c r="D308" s="8" t="n"/>
      <c r="E308" s="11" t="n"/>
      <c r="F308" s="9" t="n"/>
      <c r="G308" s="9" t="n"/>
      <c r="H308" s="12">
        <f>IF(A308="","",D308*E308)</f>
        <v/>
      </c>
      <c r="I308" s="12">
        <f>IF(A308="","",IF(Rates!$B$6=1,MIN(H308,Rates!$B$5),H308)*(Rates!$B$4+Rates!$B$13))</f>
        <v/>
      </c>
      <c r="J308" s="12">
        <f>IF(A308="","",IF(D308&lt;=Rates!$B$8,D308*Rates!$B$7,0))</f>
        <v/>
      </c>
      <c r="K308" s="12">
        <f>IF(A308="","",H308*Rates!$B$9)</f>
        <v/>
      </c>
      <c r="L308" s="12">
        <f>IF(A308="","",IF(D308&lt;=Rates!$B$11,H308*Rates!$B$10,0))</f>
        <v/>
      </c>
      <c r="M308" s="12">
        <f>IF(A308="","",Rates!$B$12/12)</f>
        <v/>
      </c>
      <c r="N308" s="12">
        <f>IF(A308="","",D308+I308+J308+K308+L308+M308)</f>
        <v/>
      </c>
      <c r="O308" s="13">
        <f>IF(A308="","",MAX(0,MIN(12,IF(G308="",12,G308))-MAX(1,F308)+1))</f>
        <v/>
      </c>
      <c r="P308" s="12">
        <f>IF(A308="","",N308*O308)</f>
        <v/>
      </c>
      <c r="Q308" s="12">
        <f>IF(A308="","",0.12*IF(Rates!$B$6=1,MIN(H308,Rates!$B$5),H308))</f>
        <v/>
      </c>
      <c r="R308" s="12">
        <f>IF(A308="","",IF(D308&lt;=Rates!$B$8,D308*0.0075,0))</f>
        <v/>
      </c>
    </row>
    <row r="309">
      <c r="A309" s="10" t="n"/>
      <c r="B309" s="10" t="n"/>
      <c r="C309" s="10" t="n"/>
      <c r="D309" s="8" t="n"/>
      <c r="E309" s="11" t="n"/>
      <c r="F309" s="9" t="n"/>
      <c r="G309" s="9" t="n"/>
      <c r="H309" s="12">
        <f>IF(A309="","",D309*E309)</f>
        <v/>
      </c>
      <c r="I309" s="12">
        <f>IF(A309="","",IF(Rates!$B$6=1,MIN(H309,Rates!$B$5),H309)*(Rates!$B$4+Rates!$B$13))</f>
        <v/>
      </c>
      <c r="J309" s="12">
        <f>IF(A309="","",IF(D309&lt;=Rates!$B$8,D309*Rates!$B$7,0))</f>
        <v/>
      </c>
      <c r="K309" s="12">
        <f>IF(A309="","",H309*Rates!$B$9)</f>
        <v/>
      </c>
      <c r="L309" s="12">
        <f>IF(A309="","",IF(D309&lt;=Rates!$B$11,H309*Rates!$B$10,0))</f>
        <v/>
      </c>
      <c r="M309" s="12">
        <f>IF(A309="","",Rates!$B$12/12)</f>
        <v/>
      </c>
      <c r="N309" s="12">
        <f>IF(A309="","",D309+I309+J309+K309+L309+M309)</f>
        <v/>
      </c>
      <c r="O309" s="13">
        <f>IF(A309="","",MAX(0,MIN(12,IF(G309="",12,G309))-MAX(1,F309)+1))</f>
        <v/>
      </c>
      <c r="P309" s="12">
        <f>IF(A309="","",N309*O309)</f>
        <v/>
      </c>
      <c r="Q309" s="12">
        <f>IF(A309="","",0.12*IF(Rates!$B$6=1,MIN(H309,Rates!$B$5),H309))</f>
        <v/>
      </c>
      <c r="R309" s="12">
        <f>IF(A309="","",IF(D309&lt;=Rates!$B$8,D309*0.0075,0))</f>
        <v/>
      </c>
    </row>
    <row r="310">
      <c r="A310" s="10" t="n"/>
      <c r="B310" s="10" t="n"/>
      <c r="C310" s="10" t="n"/>
      <c r="D310" s="8" t="n"/>
      <c r="E310" s="11" t="n"/>
      <c r="F310" s="9" t="n"/>
      <c r="G310" s="9" t="n"/>
      <c r="H310" s="12">
        <f>IF(A310="","",D310*E310)</f>
        <v/>
      </c>
      <c r="I310" s="12">
        <f>IF(A310="","",IF(Rates!$B$6=1,MIN(H310,Rates!$B$5),H310)*(Rates!$B$4+Rates!$B$13))</f>
        <v/>
      </c>
      <c r="J310" s="12">
        <f>IF(A310="","",IF(D310&lt;=Rates!$B$8,D310*Rates!$B$7,0))</f>
        <v/>
      </c>
      <c r="K310" s="12">
        <f>IF(A310="","",H310*Rates!$B$9)</f>
        <v/>
      </c>
      <c r="L310" s="12">
        <f>IF(A310="","",IF(D310&lt;=Rates!$B$11,H310*Rates!$B$10,0))</f>
        <v/>
      </c>
      <c r="M310" s="12">
        <f>IF(A310="","",Rates!$B$12/12)</f>
        <v/>
      </c>
      <c r="N310" s="12">
        <f>IF(A310="","",D310+I310+J310+K310+L310+M310)</f>
        <v/>
      </c>
      <c r="O310" s="13">
        <f>IF(A310="","",MAX(0,MIN(12,IF(G310="",12,G310))-MAX(1,F310)+1))</f>
        <v/>
      </c>
      <c r="P310" s="12">
        <f>IF(A310="","",N310*O310)</f>
        <v/>
      </c>
      <c r="Q310" s="12">
        <f>IF(A310="","",0.12*IF(Rates!$B$6=1,MIN(H310,Rates!$B$5),H310))</f>
        <v/>
      </c>
      <c r="R310" s="12">
        <f>IF(A310="","",IF(D310&lt;=Rates!$B$8,D310*0.0075,0))</f>
        <v/>
      </c>
    </row>
    <row r="311">
      <c r="A311" s="10" t="n"/>
      <c r="B311" s="10" t="n"/>
      <c r="C311" s="10" t="n"/>
      <c r="D311" s="8" t="n"/>
      <c r="E311" s="11" t="n"/>
      <c r="F311" s="9" t="n"/>
      <c r="G311" s="9" t="n"/>
      <c r="H311" s="12">
        <f>IF(A311="","",D311*E311)</f>
        <v/>
      </c>
      <c r="I311" s="12">
        <f>IF(A311="","",IF(Rates!$B$6=1,MIN(H311,Rates!$B$5),H311)*(Rates!$B$4+Rates!$B$13))</f>
        <v/>
      </c>
      <c r="J311" s="12">
        <f>IF(A311="","",IF(D311&lt;=Rates!$B$8,D311*Rates!$B$7,0))</f>
        <v/>
      </c>
      <c r="K311" s="12">
        <f>IF(A311="","",H311*Rates!$B$9)</f>
        <v/>
      </c>
      <c r="L311" s="12">
        <f>IF(A311="","",IF(D311&lt;=Rates!$B$11,H311*Rates!$B$10,0))</f>
        <v/>
      </c>
      <c r="M311" s="12">
        <f>IF(A311="","",Rates!$B$12/12)</f>
        <v/>
      </c>
      <c r="N311" s="12">
        <f>IF(A311="","",D311+I311+J311+K311+L311+M311)</f>
        <v/>
      </c>
      <c r="O311" s="13">
        <f>IF(A311="","",MAX(0,MIN(12,IF(G311="",12,G311))-MAX(1,F311)+1))</f>
        <v/>
      </c>
      <c r="P311" s="12">
        <f>IF(A311="","",N311*O311)</f>
        <v/>
      </c>
      <c r="Q311" s="12">
        <f>IF(A311="","",0.12*IF(Rates!$B$6=1,MIN(H311,Rates!$B$5),H311))</f>
        <v/>
      </c>
      <c r="R311" s="12">
        <f>IF(A311="","",IF(D311&lt;=Rates!$B$8,D311*0.0075,0))</f>
        <v/>
      </c>
    </row>
    <row r="312">
      <c r="A312" s="10" t="n"/>
      <c r="B312" s="10" t="n"/>
      <c r="C312" s="10" t="n"/>
      <c r="D312" s="8" t="n"/>
      <c r="E312" s="11" t="n"/>
      <c r="F312" s="9" t="n"/>
      <c r="G312" s="9" t="n"/>
      <c r="H312" s="12">
        <f>IF(A312="","",D312*E312)</f>
        <v/>
      </c>
      <c r="I312" s="12">
        <f>IF(A312="","",IF(Rates!$B$6=1,MIN(H312,Rates!$B$5),H312)*(Rates!$B$4+Rates!$B$13))</f>
        <v/>
      </c>
      <c r="J312" s="12">
        <f>IF(A312="","",IF(D312&lt;=Rates!$B$8,D312*Rates!$B$7,0))</f>
        <v/>
      </c>
      <c r="K312" s="12">
        <f>IF(A312="","",H312*Rates!$B$9)</f>
        <v/>
      </c>
      <c r="L312" s="12">
        <f>IF(A312="","",IF(D312&lt;=Rates!$B$11,H312*Rates!$B$10,0))</f>
        <v/>
      </c>
      <c r="M312" s="12">
        <f>IF(A312="","",Rates!$B$12/12)</f>
        <v/>
      </c>
      <c r="N312" s="12">
        <f>IF(A312="","",D312+I312+J312+K312+L312+M312)</f>
        <v/>
      </c>
      <c r="O312" s="13">
        <f>IF(A312="","",MAX(0,MIN(12,IF(G312="",12,G312))-MAX(1,F312)+1))</f>
        <v/>
      </c>
      <c r="P312" s="12">
        <f>IF(A312="","",N312*O312)</f>
        <v/>
      </c>
      <c r="Q312" s="12">
        <f>IF(A312="","",0.12*IF(Rates!$B$6=1,MIN(H312,Rates!$B$5),H312))</f>
        <v/>
      </c>
      <c r="R312" s="12">
        <f>IF(A312="","",IF(D312&lt;=Rates!$B$8,D312*0.0075,0))</f>
        <v/>
      </c>
    </row>
    <row r="313">
      <c r="A313" s="10" t="n"/>
      <c r="B313" s="10" t="n"/>
      <c r="C313" s="10" t="n"/>
      <c r="D313" s="8" t="n"/>
      <c r="E313" s="11" t="n"/>
      <c r="F313" s="9" t="n"/>
      <c r="G313" s="9" t="n"/>
      <c r="H313" s="12">
        <f>IF(A313="","",D313*E313)</f>
        <v/>
      </c>
      <c r="I313" s="12">
        <f>IF(A313="","",IF(Rates!$B$6=1,MIN(H313,Rates!$B$5),H313)*(Rates!$B$4+Rates!$B$13))</f>
        <v/>
      </c>
      <c r="J313" s="12">
        <f>IF(A313="","",IF(D313&lt;=Rates!$B$8,D313*Rates!$B$7,0))</f>
        <v/>
      </c>
      <c r="K313" s="12">
        <f>IF(A313="","",H313*Rates!$B$9)</f>
        <v/>
      </c>
      <c r="L313" s="12">
        <f>IF(A313="","",IF(D313&lt;=Rates!$B$11,H313*Rates!$B$10,0))</f>
        <v/>
      </c>
      <c r="M313" s="12">
        <f>IF(A313="","",Rates!$B$12/12)</f>
        <v/>
      </c>
      <c r="N313" s="12">
        <f>IF(A313="","",D313+I313+J313+K313+L313+M313)</f>
        <v/>
      </c>
      <c r="O313" s="13">
        <f>IF(A313="","",MAX(0,MIN(12,IF(G313="",12,G313))-MAX(1,F313)+1))</f>
        <v/>
      </c>
      <c r="P313" s="12">
        <f>IF(A313="","",N313*O313)</f>
        <v/>
      </c>
      <c r="Q313" s="12">
        <f>IF(A313="","",0.12*IF(Rates!$B$6=1,MIN(H313,Rates!$B$5),H313))</f>
        <v/>
      </c>
      <c r="R313" s="12">
        <f>IF(A313="","",IF(D313&lt;=Rates!$B$8,D313*0.0075,0))</f>
        <v/>
      </c>
    </row>
    <row r="314">
      <c r="A314" s="10" t="n"/>
      <c r="B314" s="10" t="n"/>
      <c r="C314" s="10" t="n"/>
      <c r="D314" s="8" t="n"/>
      <c r="E314" s="11" t="n"/>
      <c r="F314" s="9" t="n"/>
      <c r="G314" s="9" t="n"/>
      <c r="H314" s="12">
        <f>IF(A314="","",D314*E314)</f>
        <v/>
      </c>
      <c r="I314" s="12">
        <f>IF(A314="","",IF(Rates!$B$6=1,MIN(H314,Rates!$B$5),H314)*(Rates!$B$4+Rates!$B$13))</f>
        <v/>
      </c>
      <c r="J314" s="12">
        <f>IF(A314="","",IF(D314&lt;=Rates!$B$8,D314*Rates!$B$7,0))</f>
        <v/>
      </c>
      <c r="K314" s="12">
        <f>IF(A314="","",H314*Rates!$B$9)</f>
        <v/>
      </c>
      <c r="L314" s="12">
        <f>IF(A314="","",IF(D314&lt;=Rates!$B$11,H314*Rates!$B$10,0))</f>
        <v/>
      </c>
      <c r="M314" s="12">
        <f>IF(A314="","",Rates!$B$12/12)</f>
        <v/>
      </c>
      <c r="N314" s="12">
        <f>IF(A314="","",D314+I314+J314+K314+L314+M314)</f>
        <v/>
      </c>
      <c r="O314" s="13">
        <f>IF(A314="","",MAX(0,MIN(12,IF(G314="",12,G314))-MAX(1,F314)+1))</f>
        <v/>
      </c>
      <c r="P314" s="12">
        <f>IF(A314="","",N314*O314)</f>
        <v/>
      </c>
      <c r="Q314" s="12">
        <f>IF(A314="","",0.12*IF(Rates!$B$6=1,MIN(H314,Rates!$B$5),H314))</f>
        <v/>
      </c>
      <c r="R314" s="12">
        <f>IF(A314="","",IF(D314&lt;=Rates!$B$8,D314*0.0075,0))</f>
        <v/>
      </c>
    </row>
    <row r="315">
      <c r="A315" s="10" t="n"/>
      <c r="B315" s="10" t="n"/>
      <c r="C315" s="10" t="n"/>
      <c r="D315" s="8" t="n"/>
      <c r="E315" s="11" t="n"/>
      <c r="F315" s="9" t="n"/>
      <c r="G315" s="9" t="n"/>
      <c r="H315" s="12">
        <f>IF(A315="","",D315*E315)</f>
        <v/>
      </c>
      <c r="I315" s="12">
        <f>IF(A315="","",IF(Rates!$B$6=1,MIN(H315,Rates!$B$5),H315)*(Rates!$B$4+Rates!$B$13))</f>
        <v/>
      </c>
      <c r="J315" s="12">
        <f>IF(A315="","",IF(D315&lt;=Rates!$B$8,D315*Rates!$B$7,0))</f>
        <v/>
      </c>
      <c r="K315" s="12">
        <f>IF(A315="","",H315*Rates!$B$9)</f>
        <v/>
      </c>
      <c r="L315" s="12">
        <f>IF(A315="","",IF(D315&lt;=Rates!$B$11,H315*Rates!$B$10,0))</f>
        <v/>
      </c>
      <c r="M315" s="12">
        <f>IF(A315="","",Rates!$B$12/12)</f>
        <v/>
      </c>
      <c r="N315" s="12">
        <f>IF(A315="","",D315+I315+J315+K315+L315+M315)</f>
        <v/>
      </c>
      <c r="O315" s="13">
        <f>IF(A315="","",MAX(0,MIN(12,IF(G315="",12,G315))-MAX(1,F315)+1))</f>
        <v/>
      </c>
      <c r="P315" s="12">
        <f>IF(A315="","",N315*O315)</f>
        <v/>
      </c>
      <c r="Q315" s="12">
        <f>IF(A315="","",0.12*IF(Rates!$B$6=1,MIN(H315,Rates!$B$5),H315))</f>
        <v/>
      </c>
      <c r="R315" s="12">
        <f>IF(A315="","",IF(D315&lt;=Rates!$B$8,D315*0.0075,0))</f>
        <v/>
      </c>
    </row>
    <row r="316">
      <c r="A316" s="10" t="n"/>
      <c r="B316" s="10" t="n"/>
      <c r="C316" s="10" t="n"/>
      <c r="D316" s="8" t="n"/>
      <c r="E316" s="11" t="n"/>
      <c r="F316" s="9" t="n"/>
      <c r="G316" s="9" t="n"/>
      <c r="H316" s="12">
        <f>IF(A316="","",D316*E316)</f>
        <v/>
      </c>
      <c r="I316" s="12">
        <f>IF(A316="","",IF(Rates!$B$6=1,MIN(H316,Rates!$B$5),H316)*(Rates!$B$4+Rates!$B$13))</f>
        <v/>
      </c>
      <c r="J316" s="12">
        <f>IF(A316="","",IF(D316&lt;=Rates!$B$8,D316*Rates!$B$7,0))</f>
        <v/>
      </c>
      <c r="K316" s="12">
        <f>IF(A316="","",H316*Rates!$B$9)</f>
        <v/>
      </c>
      <c r="L316" s="12">
        <f>IF(A316="","",IF(D316&lt;=Rates!$B$11,H316*Rates!$B$10,0))</f>
        <v/>
      </c>
      <c r="M316" s="12">
        <f>IF(A316="","",Rates!$B$12/12)</f>
        <v/>
      </c>
      <c r="N316" s="12">
        <f>IF(A316="","",D316+I316+J316+K316+L316+M316)</f>
        <v/>
      </c>
      <c r="O316" s="13">
        <f>IF(A316="","",MAX(0,MIN(12,IF(G316="",12,G316))-MAX(1,F316)+1))</f>
        <v/>
      </c>
      <c r="P316" s="12">
        <f>IF(A316="","",N316*O316)</f>
        <v/>
      </c>
      <c r="Q316" s="12">
        <f>IF(A316="","",0.12*IF(Rates!$B$6=1,MIN(H316,Rates!$B$5),H316))</f>
        <v/>
      </c>
      <c r="R316" s="12">
        <f>IF(A316="","",IF(D316&lt;=Rates!$B$8,D316*0.0075,0))</f>
        <v/>
      </c>
    </row>
    <row r="317">
      <c r="A317" s="10" t="n"/>
      <c r="B317" s="10" t="n"/>
      <c r="C317" s="10" t="n"/>
      <c r="D317" s="8" t="n"/>
      <c r="E317" s="11" t="n"/>
      <c r="F317" s="9" t="n"/>
      <c r="G317" s="9" t="n"/>
      <c r="H317" s="12">
        <f>IF(A317="","",D317*E317)</f>
        <v/>
      </c>
      <c r="I317" s="12">
        <f>IF(A317="","",IF(Rates!$B$6=1,MIN(H317,Rates!$B$5),H317)*(Rates!$B$4+Rates!$B$13))</f>
        <v/>
      </c>
      <c r="J317" s="12">
        <f>IF(A317="","",IF(D317&lt;=Rates!$B$8,D317*Rates!$B$7,0))</f>
        <v/>
      </c>
      <c r="K317" s="12">
        <f>IF(A317="","",H317*Rates!$B$9)</f>
        <v/>
      </c>
      <c r="L317" s="12">
        <f>IF(A317="","",IF(D317&lt;=Rates!$B$11,H317*Rates!$B$10,0))</f>
        <v/>
      </c>
      <c r="M317" s="12">
        <f>IF(A317="","",Rates!$B$12/12)</f>
        <v/>
      </c>
      <c r="N317" s="12">
        <f>IF(A317="","",D317+I317+J317+K317+L317+M317)</f>
        <v/>
      </c>
      <c r="O317" s="13">
        <f>IF(A317="","",MAX(0,MIN(12,IF(G317="",12,G317))-MAX(1,F317)+1))</f>
        <v/>
      </c>
      <c r="P317" s="12">
        <f>IF(A317="","",N317*O317)</f>
        <v/>
      </c>
      <c r="Q317" s="12">
        <f>IF(A317="","",0.12*IF(Rates!$B$6=1,MIN(H317,Rates!$B$5),H317))</f>
        <v/>
      </c>
      <c r="R317" s="12">
        <f>IF(A317="","",IF(D317&lt;=Rates!$B$8,D317*0.0075,0))</f>
        <v/>
      </c>
    </row>
    <row r="318">
      <c r="A318" s="10" t="n"/>
      <c r="B318" s="10" t="n"/>
      <c r="C318" s="10" t="n"/>
      <c r="D318" s="8" t="n"/>
      <c r="E318" s="11" t="n"/>
      <c r="F318" s="9" t="n"/>
      <c r="G318" s="9" t="n"/>
      <c r="H318" s="12">
        <f>IF(A318="","",D318*E318)</f>
        <v/>
      </c>
      <c r="I318" s="12">
        <f>IF(A318="","",IF(Rates!$B$6=1,MIN(H318,Rates!$B$5),H318)*(Rates!$B$4+Rates!$B$13))</f>
        <v/>
      </c>
      <c r="J318" s="12">
        <f>IF(A318="","",IF(D318&lt;=Rates!$B$8,D318*Rates!$B$7,0))</f>
        <v/>
      </c>
      <c r="K318" s="12">
        <f>IF(A318="","",H318*Rates!$B$9)</f>
        <v/>
      </c>
      <c r="L318" s="12">
        <f>IF(A318="","",IF(D318&lt;=Rates!$B$11,H318*Rates!$B$10,0))</f>
        <v/>
      </c>
      <c r="M318" s="12">
        <f>IF(A318="","",Rates!$B$12/12)</f>
        <v/>
      </c>
      <c r="N318" s="12">
        <f>IF(A318="","",D318+I318+J318+K318+L318+M318)</f>
        <v/>
      </c>
      <c r="O318" s="13">
        <f>IF(A318="","",MAX(0,MIN(12,IF(G318="",12,G318))-MAX(1,F318)+1))</f>
        <v/>
      </c>
      <c r="P318" s="12">
        <f>IF(A318="","",N318*O318)</f>
        <v/>
      </c>
      <c r="Q318" s="12">
        <f>IF(A318="","",0.12*IF(Rates!$B$6=1,MIN(H318,Rates!$B$5),H318))</f>
        <v/>
      </c>
      <c r="R318" s="12">
        <f>IF(A318="","",IF(D318&lt;=Rates!$B$8,D318*0.0075,0))</f>
        <v/>
      </c>
    </row>
    <row r="319">
      <c r="A319" s="10" t="n"/>
      <c r="B319" s="10" t="n"/>
      <c r="C319" s="10" t="n"/>
      <c r="D319" s="8" t="n"/>
      <c r="E319" s="11" t="n"/>
      <c r="F319" s="9" t="n"/>
      <c r="G319" s="9" t="n"/>
      <c r="H319" s="12">
        <f>IF(A319="","",D319*E319)</f>
        <v/>
      </c>
      <c r="I319" s="12">
        <f>IF(A319="","",IF(Rates!$B$6=1,MIN(H319,Rates!$B$5),H319)*(Rates!$B$4+Rates!$B$13))</f>
        <v/>
      </c>
      <c r="J319" s="12">
        <f>IF(A319="","",IF(D319&lt;=Rates!$B$8,D319*Rates!$B$7,0))</f>
        <v/>
      </c>
      <c r="K319" s="12">
        <f>IF(A319="","",H319*Rates!$B$9)</f>
        <v/>
      </c>
      <c r="L319" s="12">
        <f>IF(A319="","",IF(D319&lt;=Rates!$B$11,H319*Rates!$B$10,0))</f>
        <v/>
      </c>
      <c r="M319" s="12">
        <f>IF(A319="","",Rates!$B$12/12)</f>
        <v/>
      </c>
      <c r="N319" s="12">
        <f>IF(A319="","",D319+I319+J319+K319+L319+M319)</f>
        <v/>
      </c>
      <c r="O319" s="13">
        <f>IF(A319="","",MAX(0,MIN(12,IF(G319="",12,G319))-MAX(1,F319)+1))</f>
        <v/>
      </c>
      <c r="P319" s="12">
        <f>IF(A319="","",N319*O319)</f>
        <v/>
      </c>
      <c r="Q319" s="12">
        <f>IF(A319="","",0.12*IF(Rates!$B$6=1,MIN(H319,Rates!$B$5),H319))</f>
        <v/>
      </c>
      <c r="R319" s="12">
        <f>IF(A319="","",IF(D319&lt;=Rates!$B$8,D319*0.0075,0))</f>
        <v/>
      </c>
    </row>
    <row r="320">
      <c r="A320" s="10" t="n"/>
      <c r="B320" s="10" t="n"/>
      <c r="C320" s="10" t="n"/>
      <c r="D320" s="8" t="n"/>
      <c r="E320" s="11" t="n"/>
      <c r="F320" s="9" t="n"/>
      <c r="G320" s="9" t="n"/>
      <c r="H320" s="12">
        <f>IF(A320="","",D320*E320)</f>
        <v/>
      </c>
      <c r="I320" s="12">
        <f>IF(A320="","",IF(Rates!$B$6=1,MIN(H320,Rates!$B$5),H320)*(Rates!$B$4+Rates!$B$13))</f>
        <v/>
      </c>
      <c r="J320" s="12">
        <f>IF(A320="","",IF(D320&lt;=Rates!$B$8,D320*Rates!$B$7,0))</f>
        <v/>
      </c>
      <c r="K320" s="12">
        <f>IF(A320="","",H320*Rates!$B$9)</f>
        <v/>
      </c>
      <c r="L320" s="12">
        <f>IF(A320="","",IF(D320&lt;=Rates!$B$11,H320*Rates!$B$10,0))</f>
        <v/>
      </c>
      <c r="M320" s="12">
        <f>IF(A320="","",Rates!$B$12/12)</f>
        <v/>
      </c>
      <c r="N320" s="12">
        <f>IF(A320="","",D320+I320+J320+K320+L320+M320)</f>
        <v/>
      </c>
      <c r="O320" s="13">
        <f>IF(A320="","",MAX(0,MIN(12,IF(G320="",12,G320))-MAX(1,F320)+1))</f>
        <v/>
      </c>
      <c r="P320" s="12">
        <f>IF(A320="","",N320*O320)</f>
        <v/>
      </c>
      <c r="Q320" s="12">
        <f>IF(A320="","",0.12*IF(Rates!$B$6=1,MIN(H320,Rates!$B$5),H320))</f>
        <v/>
      </c>
      <c r="R320" s="12">
        <f>IF(A320="","",IF(D320&lt;=Rates!$B$8,D320*0.0075,0))</f>
        <v/>
      </c>
    </row>
    <row r="321">
      <c r="A321" s="10" t="n"/>
      <c r="B321" s="10" t="n"/>
      <c r="C321" s="10" t="n"/>
      <c r="D321" s="8" t="n"/>
      <c r="E321" s="11" t="n"/>
      <c r="F321" s="9" t="n"/>
      <c r="G321" s="9" t="n"/>
      <c r="H321" s="12">
        <f>IF(A321="","",D321*E321)</f>
        <v/>
      </c>
      <c r="I321" s="12">
        <f>IF(A321="","",IF(Rates!$B$6=1,MIN(H321,Rates!$B$5),H321)*(Rates!$B$4+Rates!$B$13))</f>
        <v/>
      </c>
      <c r="J321" s="12">
        <f>IF(A321="","",IF(D321&lt;=Rates!$B$8,D321*Rates!$B$7,0))</f>
        <v/>
      </c>
      <c r="K321" s="12">
        <f>IF(A321="","",H321*Rates!$B$9)</f>
        <v/>
      </c>
      <c r="L321" s="12">
        <f>IF(A321="","",IF(D321&lt;=Rates!$B$11,H321*Rates!$B$10,0))</f>
        <v/>
      </c>
      <c r="M321" s="12">
        <f>IF(A321="","",Rates!$B$12/12)</f>
        <v/>
      </c>
      <c r="N321" s="12">
        <f>IF(A321="","",D321+I321+J321+K321+L321+M321)</f>
        <v/>
      </c>
      <c r="O321" s="13">
        <f>IF(A321="","",MAX(0,MIN(12,IF(G321="",12,G321))-MAX(1,F321)+1))</f>
        <v/>
      </c>
      <c r="P321" s="12">
        <f>IF(A321="","",N321*O321)</f>
        <v/>
      </c>
      <c r="Q321" s="12">
        <f>IF(A321="","",0.12*IF(Rates!$B$6=1,MIN(H321,Rates!$B$5),H321))</f>
        <v/>
      </c>
      <c r="R321" s="12">
        <f>IF(A321="","",IF(D321&lt;=Rates!$B$8,D321*0.0075,0))</f>
        <v/>
      </c>
    </row>
    <row r="322">
      <c r="A322" s="10" t="n"/>
      <c r="B322" s="10" t="n"/>
      <c r="C322" s="10" t="n"/>
      <c r="D322" s="8" t="n"/>
      <c r="E322" s="11" t="n"/>
      <c r="F322" s="9" t="n"/>
      <c r="G322" s="9" t="n"/>
      <c r="H322" s="12">
        <f>IF(A322="","",D322*E322)</f>
        <v/>
      </c>
      <c r="I322" s="12">
        <f>IF(A322="","",IF(Rates!$B$6=1,MIN(H322,Rates!$B$5),H322)*(Rates!$B$4+Rates!$B$13))</f>
        <v/>
      </c>
      <c r="J322" s="12">
        <f>IF(A322="","",IF(D322&lt;=Rates!$B$8,D322*Rates!$B$7,0))</f>
        <v/>
      </c>
      <c r="K322" s="12">
        <f>IF(A322="","",H322*Rates!$B$9)</f>
        <v/>
      </c>
      <c r="L322" s="12">
        <f>IF(A322="","",IF(D322&lt;=Rates!$B$11,H322*Rates!$B$10,0))</f>
        <v/>
      </c>
      <c r="M322" s="12">
        <f>IF(A322="","",Rates!$B$12/12)</f>
        <v/>
      </c>
      <c r="N322" s="12">
        <f>IF(A322="","",D322+I322+J322+K322+L322+M322)</f>
        <v/>
      </c>
      <c r="O322" s="13">
        <f>IF(A322="","",MAX(0,MIN(12,IF(G322="",12,G322))-MAX(1,F322)+1))</f>
        <v/>
      </c>
      <c r="P322" s="12">
        <f>IF(A322="","",N322*O322)</f>
        <v/>
      </c>
      <c r="Q322" s="12">
        <f>IF(A322="","",0.12*IF(Rates!$B$6=1,MIN(H322,Rates!$B$5),H322))</f>
        <v/>
      </c>
      <c r="R322" s="12">
        <f>IF(A322="","",IF(D322&lt;=Rates!$B$8,D322*0.0075,0))</f>
        <v/>
      </c>
    </row>
    <row r="323">
      <c r="A323" s="10" t="n"/>
      <c r="B323" s="10" t="n"/>
      <c r="C323" s="10" t="n"/>
      <c r="D323" s="8" t="n"/>
      <c r="E323" s="11" t="n"/>
      <c r="F323" s="9" t="n"/>
      <c r="G323" s="9" t="n"/>
      <c r="H323" s="12">
        <f>IF(A323="","",D323*E323)</f>
        <v/>
      </c>
      <c r="I323" s="12">
        <f>IF(A323="","",IF(Rates!$B$6=1,MIN(H323,Rates!$B$5),H323)*(Rates!$B$4+Rates!$B$13))</f>
        <v/>
      </c>
      <c r="J323" s="12">
        <f>IF(A323="","",IF(D323&lt;=Rates!$B$8,D323*Rates!$B$7,0))</f>
        <v/>
      </c>
      <c r="K323" s="12">
        <f>IF(A323="","",H323*Rates!$B$9)</f>
        <v/>
      </c>
      <c r="L323" s="12">
        <f>IF(A323="","",IF(D323&lt;=Rates!$B$11,H323*Rates!$B$10,0))</f>
        <v/>
      </c>
      <c r="M323" s="12">
        <f>IF(A323="","",Rates!$B$12/12)</f>
        <v/>
      </c>
      <c r="N323" s="12">
        <f>IF(A323="","",D323+I323+J323+K323+L323+M323)</f>
        <v/>
      </c>
      <c r="O323" s="13">
        <f>IF(A323="","",MAX(0,MIN(12,IF(G323="",12,G323))-MAX(1,F323)+1))</f>
        <v/>
      </c>
      <c r="P323" s="12">
        <f>IF(A323="","",N323*O323)</f>
        <v/>
      </c>
      <c r="Q323" s="12">
        <f>IF(A323="","",0.12*IF(Rates!$B$6=1,MIN(H323,Rates!$B$5),H323))</f>
        <v/>
      </c>
      <c r="R323" s="12">
        <f>IF(A323="","",IF(D323&lt;=Rates!$B$8,D323*0.0075,0))</f>
        <v/>
      </c>
    </row>
    <row r="324">
      <c r="A324" s="10" t="n"/>
      <c r="B324" s="10" t="n"/>
      <c r="C324" s="10" t="n"/>
      <c r="D324" s="8" t="n"/>
      <c r="E324" s="11" t="n"/>
      <c r="F324" s="9" t="n"/>
      <c r="G324" s="9" t="n"/>
      <c r="H324" s="12">
        <f>IF(A324="","",D324*E324)</f>
        <v/>
      </c>
      <c r="I324" s="12">
        <f>IF(A324="","",IF(Rates!$B$6=1,MIN(H324,Rates!$B$5),H324)*(Rates!$B$4+Rates!$B$13))</f>
        <v/>
      </c>
      <c r="J324" s="12">
        <f>IF(A324="","",IF(D324&lt;=Rates!$B$8,D324*Rates!$B$7,0))</f>
        <v/>
      </c>
      <c r="K324" s="12">
        <f>IF(A324="","",H324*Rates!$B$9)</f>
        <v/>
      </c>
      <c r="L324" s="12">
        <f>IF(A324="","",IF(D324&lt;=Rates!$B$11,H324*Rates!$B$10,0))</f>
        <v/>
      </c>
      <c r="M324" s="12">
        <f>IF(A324="","",Rates!$B$12/12)</f>
        <v/>
      </c>
      <c r="N324" s="12">
        <f>IF(A324="","",D324+I324+J324+K324+L324+M324)</f>
        <v/>
      </c>
      <c r="O324" s="13">
        <f>IF(A324="","",MAX(0,MIN(12,IF(G324="",12,G324))-MAX(1,F324)+1))</f>
        <v/>
      </c>
      <c r="P324" s="12">
        <f>IF(A324="","",N324*O324)</f>
        <v/>
      </c>
      <c r="Q324" s="12">
        <f>IF(A324="","",0.12*IF(Rates!$B$6=1,MIN(H324,Rates!$B$5),H324))</f>
        <v/>
      </c>
      <c r="R324" s="12">
        <f>IF(A324="","",IF(D324&lt;=Rates!$B$8,D324*0.0075,0))</f>
        <v/>
      </c>
    </row>
    <row r="325">
      <c r="A325" s="10" t="n"/>
      <c r="B325" s="10" t="n"/>
      <c r="C325" s="10" t="n"/>
      <c r="D325" s="8" t="n"/>
      <c r="E325" s="11" t="n"/>
      <c r="F325" s="9" t="n"/>
      <c r="G325" s="9" t="n"/>
      <c r="H325" s="12">
        <f>IF(A325="","",D325*E325)</f>
        <v/>
      </c>
      <c r="I325" s="12">
        <f>IF(A325="","",IF(Rates!$B$6=1,MIN(H325,Rates!$B$5),H325)*(Rates!$B$4+Rates!$B$13))</f>
        <v/>
      </c>
      <c r="J325" s="12">
        <f>IF(A325="","",IF(D325&lt;=Rates!$B$8,D325*Rates!$B$7,0))</f>
        <v/>
      </c>
      <c r="K325" s="12">
        <f>IF(A325="","",H325*Rates!$B$9)</f>
        <v/>
      </c>
      <c r="L325" s="12">
        <f>IF(A325="","",IF(D325&lt;=Rates!$B$11,H325*Rates!$B$10,0))</f>
        <v/>
      </c>
      <c r="M325" s="12">
        <f>IF(A325="","",Rates!$B$12/12)</f>
        <v/>
      </c>
      <c r="N325" s="12">
        <f>IF(A325="","",D325+I325+J325+K325+L325+M325)</f>
        <v/>
      </c>
      <c r="O325" s="13">
        <f>IF(A325="","",MAX(0,MIN(12,IF(G325="",12,G325))-MAX(1,F325)+1))</f>
        <v/>
      </c>
      <c r="P325" s="12">
        <f>IF(A325="","",N325*O325)</f>
        <v/>
      </c>
      <c r="Q325" s="12">
        <f>IF(A325="","",0.12*IF(Rates!$B$6=1,MIN(H325,Rates!$B$5),H325))</f>
        <v/>
      </c>
      <c r="R325" s="12">
        <f>IF(A325="","",IF(D325&lt;=Rates!$B$8,D325*0.0075,0))</f>
        <v/>
      </c>
    </row>
    <row r="326">
      <c r="A326" s="10" t="n"/>
      <c r="B326" s="10" t="n"/>
      <c r="C326" s="10" t="n"/>
      <c r="D326" s="8" t="n"/>
      <c r="E326" s="11" t="n"/>
      <c r="F326" s="9" t="n"/>
      <c r="G326" s="9" t="n"/>
      <c r="H326" s="12">
        <f>IF(A326="","",D326*E326)</f>
        <v/>
      </c>
      <c r="I326" s="12">
        <f>IF(A326="","",IF(Rates!$B$6=1,MIN(H326,Rates!$B$5),H326)*(Rates!$B$4+Rates!$B$13))</f>
        <v/>
      </c>
      <c r="J326" s="12">
        <f>IF(A326="","",IF(D326&lt;=Rates!$B$8,D326*Rates!$B$7,0))</f>
        <v/>
      </c>
      <c r="K326" s="12">
        <f>IF(A326="","",H326*Rates!$B$9)</f>
        <v/>
      </c>
      <c r="L326" s="12">
        <f>IF(A326="","",IF(D326&lt;=Rates!$B$11,H326*Rates!$B$10,0))</f>
        <v/>
      </c>
      <c r="M326" s="12">
        <f>IF(A326="","",Rates!$B$12/12)</f>
        <v/>
      </c>
      <c r="N326" s="12">
        <f>IF(A326="","",D326+I326+J326+K326+L326+M326)</f>
        <v/>
      </c>
      <c r="O326" s="13">
        <f>IF(A326="","",MAX(0,MIN(12,IF(G326="",12,G326))-MAX(1,F326)+1))</f>
        <v/>
      </c>
      <c r="P326" s="12">
        <f>IF(A326="","",N326*O326)</f>
        <v/>
      </c>
      <c r="Q326" s="12">
        <f>IF(A326="","",0.12*IF(Rates!$B$6=1,MIN(H326,Rates!$B$5),H326))</f>
        <v/>
      </c>
      <c r="R326" s="12">
        <f>IF(A326="","",IF(D326&lt;=Rates!$B$8,D326*0.0075,0))</f>
        <v/>
      </c>
    </row>
    <row r="327">
      <c r="A327" s="10" t="n"/>
      <c r="B327" s="10" t="n"/>
      <c r="C327" s="10" t="n"/>
      <c r="D327" s="8" t="n"/>
      <c r="E327" s="11" t="n"/>
      <c r="F327" s="9" t="n"/>
      <c r="G327" s="9" t="n"/>
      <c r="H327" s="12">
        <f>IF(A327="","",D327*E327)</f>
        <v/>
      </c>
      <c r="I327" s="12">
        <f>IF(A327="","",IF(Rates!$B$6=1,MIN(H327,Rates!$B$5),H327)*(Rates!$B$4+Rates!$B$13))</f>
        <v/>
      </c>
      <c r="J327" s="12">
        <f>IF(A327="","",IF(D327&lt;=Rates!$B$8,D327*Rates!$B$7,0))</f>
        <v/>
      </c>
      <c r="K327" s="12">
        <f>IF(A327="","",H327*Rates!$B$9)</f>
        <v/>
      </c>
      <c r="L327" s="12">
        <f>IF(A327="","",IF(D327&lt;=Rates!$B$11,H327*Rates!$B$10,0))</f>
        <v/>
      </c>
      <c r="M327" s="12">
        <f>IF(A327="","",Rates!$B$12/12)</f>
        <v/>
      </c>
      <c r="N327" s="12">
        <f>IF(A327="","",D327+I327+J327+K327+L327+M327)</f>
        <v/>
      </c>
      <c r="O327" s="13">
        <f>IF(A327="","",MAX(0,MIN(12,IF(G327="",12,G327))-MAX(1,F327)+1))</f>
        <v/>
      </c>
      <c r="P327" s="12">
        <f>IF(A327="","",N327*O327)</f>
        <v/>
      </c>
      <c r="Q327" s="12">
        <f>IF(A327="","",0.12*IF(Rates!$B$6=1,MIN(H327,Rates!$B$5),H327))</f>
        <v/>
      </c>
      <c r="R327" s="12">
        <f>IF(A327="","",IF(D327&lt;=Rates!$B$8,D327*0.0075,0))</f>
        <v/>
      </c>
    </row>
    <row r="328">
      <c r="A328" s="10" t="n"/>
      <c r="B328" s="10" t="n"/>
      <c r="C328" s="10" t="n"/>
      <c r="D328" s="8" t="n"/>
      <c r="E328" s="11" t="n"/>
      <c r="F328" s="9" t="n"/>
      <c r="G328" s="9" t="n"/>
      <c r="H328" s="12">
        <f>IF(A328="","",D328*E328)</f>
        <v/>
      </c>
      <c r="I328" s="12">
        <f>IF(A328="","",IF(Rates!$B$6=1,MIN(H328,Rates!$B$5),H328)*(Rates!$B$4+Rates!$B$13))</f>
        <v/>
      </c>
      <c r="J328" s="12">
        <f>IF(A328="","",IF(D328&lt;=Rates!$B$8,D328*Rates!$B$7,0))</f>
        <v/>
      </c>
      <c r="K328" s="12">
        <f>IF(A328="","",H328*Rates!$B$9)</f>
        <v/>
      </c>
      <c r="L328" s="12">
        <f>IF(A328="","",IF(D328&lt;=Rates!$B$11,H328*Rates!$B$10,0))</f>
        <v/>
      </c>
      <c r="M328" s="12">
        <f>IF(A328="","",Rates!$B$12/12)</f>
        <v/>
      </c>
      <c r="N328" s="12">
        <f>IF(A328="","",D328+I328+J328+K328+L328+M328)</f>
        <v/>
      </c>
      <c r="O328" s="13">
        <f>IF(A328="","",MAX(0,MIN(12,IF(G328="",12,G328))-MAX(1,F328)+1))</f>
        <v/>
      </c>
      <c r="P328" s="12">
        <f>IF(A328="","",N328*O328)</f>
        <v/>
      </c>
      <c r="Q328" s="12">
        <f>IF(A328="","",0.12*IF(Rates!$B$6=1,MIN(H328,Rates!$B$5),H328))</f>
        <v/>
      </c>
      <c r="R328" s="12">
        <f>IF(A328="","",IF(D328&lt;=Rates!$B$8,D328*0.0075,0))</f>
        <v/>
      </c>
    </row>
    <row r="329">
      <c r="A329" s="10" t="n"/>
      <c r="B329" s="10" t="n"/>
      <c r="C329" s="10" t="n"/>
      <c r="D329" s="8" t="n"/>
      <c r="E329" s="11" t="n"/>
      <c r="F329" s="9" t="n"/>
      <c r="G329" s="9" t="n"/>
      <c r="H329" s="12">
        <f>IF(A329="","",D329*E329)</f>
        <v/>
      </c>
      <c r="I329" s="12">
        <f>IF(A329="","",IF(Rates!$B$6=1,MIN(H329,Rates!$B$5),H329)*(Rates!$B$4+Rates!$B$13))</f>
        <v/>
      </c>
      <c r="J329" s="12">
        <f>IF(A329="","",IF(D329&lt;=Rates!$B$8,D329*Rates!$B$7,0))</f>
        <v/>
      </c>
      <c r="K329" s="12">
        <f>IF(A329="","",H329*Rates!$B$9)</f>
        <v/>
      </c>
      <c r="L329" s="12">
        <f>IF(A329="","",IF(D329&lt;=Rates!$B$11,H329*Rates!$B$10,0))</f>
        <v/>
      </c>
      <c r="M329" s="12">
        <f>IF(A329="","",Rates!$B$12/12)</f>
        <v/>
      </c>
      <c r="N329" s="12">
        <f>IF(A329="","",D329+I329+J329+K329+L329+M329)</f>
        <v/>
      </c>
      <c r="O329" s="13">
        <f>IF(A329="","",MAX(0,MIN(12,IF(G329="",12,G329))-MAX(1,F329)+1))</f>
        <v/>
      </c>
      <c r="P329" s="12">
        <f>IF(A329="","",N329*O329)</f>
        <v/>
      </c>
      <c r="Q329" s="12">
        <f>IF(A329="","",0.12*IF(Rates!$B$6=1,MIN(H329,Rates!$B$5),H329))</f>
        <v/>
      </c>
      <c r="R329" s="12">
        <f>IF(A329="","",IF(D329&lt;=Rates!$B$8,D329*0.0075,0))</f>
        <v/>
      </c>
    </row>
    <row r="330">
      <c r="A330" s="10" t="n"/>
      <c r="B330" s="10" t="n"/>
      <c r="C330" s="10" t="n"/>
      <c r="D330" s="8" t="n"/>
      <c r="E330" s="11" t="n"/>
      <c r="F330" s="9" t="n"/>
      <c r="G330" s="9" t="n"/>
      <c r="H330" s="12">
        <f>IF(A330="","",D330*E330)</f>
        <v/>
      </c>
      <c r="I330" s="12">
        <f>IF(A330="","",IF(Rates!$B$6=1,MIN(H330,Rates!$B$5),H330)*(Rates!$B$4+Rates!$B$13))</f>
        <v/>
      </c>
      <c r="J330" s="12">
        <f>IF(A330="","",IF(D330&lt;=Rates!$B$8,D330*Rates!$B$7,0))</f>
        <v/>
      </c>
      <c r="K330" s="12">
        <f>IF(A330="","",H330*Rates!$B$9)</f>
        <v/>
      </c>
      <c r="L330" s="12">
        <f>IF(A330="","",IF(D330&lt;=Rates!$B$11,H330*Rates!$B$10,0))</f>
        <v/>
      </c>
      <c r="M330" s="12">
        <f>IF(A330="","",Rates!$B$12/12)</f>
        <v/>
      </c>
      <c r="N330" s="12">
        <f>IF(A330="","",D330+I330+J330+K330+L330+M330)</f>
        <v/>
      </c>
      <c r="O330" s="13">
        <f>IF(A330="","",MAX(0,MIN(12,IF(G330="",12,G330))-MAX(1,F330)+1))</f>
        <v/>
      </c>
      <c r="P330" s="12">
        <f>IF(A330="","",N330*O330)</f>
        <v/>
      </c>
      <c r="Q330" s="12">
        <f>IF(A330="","",0.12*IF(Rates!$B$6=1,MIN(H330,Rates!$B$5),H330))</f>
        <v/>
      </c>
      <c r="R330" s="12">
        <f>IF(A330="","",IF(D330&lt;=Rates!$B$8,D330*0.0075,0))</f>
        <v/>
      </c>
    </row>
    <row r="331">
      <c r="A331" s="10" t="n"/>
      <c r="B331" s="10" t="n"/>
      <c r="C331" s="10" t="n"/>
      <c r="D331" s="8" t="n"/>
      <c r="E331" s="11" t="n"/>
      <c r="F331" s="9" t="n"/>
      <c r="G331" s="9" t="n"/>
      <c r="H331" s="12">
        <f>IF(A331="","",D331*E331)</f>
        <v/>
      </c>
      <c r="I331" s="12">
        <f>IF(A331="","",IF(Rates!$B$6=1,MIN(H331,Rates!$B$5),H331)*(Rates!$B$4+Rates!$B$13))</f>
        <v/>
      </c>
      <c r="J331" s="12">
        <f>IF(A331="","",IF(D331&lt;=Rates!$B$8,D331*Rates!$B$7,0))</f>
        <v/>
      </c>
      <c r="K331" s="12">
        <f>IF(A331="","",H331*Rates!$B$9)</f>
        <v/>
      </c>
      <c r="L331" s="12">
        <f>IF(A331="","",IF(D331&lt;=Rates!$B$11,H331*Rates!$B$10,0))</f>
        <v/>
      </c>
      <c r="M331" s="12">
        <f>IF(A331="","",Rates!$B$12/12)</f>
        <v/>
      </c>
      <c r="N331" s="12">
        <f>IF(A331="","",D331+I331+J331+K331+L331+M331)</f>
        <v/>
      </c>
      <c r="O331" s="13">
        <f>IF(A331="","",MAX(0,MIN(12,IF(G331="",12,G331))-MAX(1,F331)+1))</f>
        <v/>
      </c>
      <c r="P331" s="12">
        <f>IF(A331="","",N331*O331)</f>
        <v/>
      </c>
      <c r="Q331" s="12">
        <f>IF(A331="","",0.12*IF(Rates!$B$6=1,MIN(H331,Rates!$B$5),H331))</f>
        <v/>
      </c>
      <c r="R331" s="12">
        <f>IF(A331="","",IF(D331&lt;=Rates!$B$8,D331*0.0075,0))</f>
        <v/>
      </c>
    </row>
    <row r="332">
      <c r="A332" s="10" t="n"/>
      <c r="B332" s="10" t="n"/>
      <c r="C332" s="10" t="n"/>
      <c r="D332" s="8" t="n"/>
      <c r="E332" s="11" t="n"/>
      <c r="F332" s="9" t="n"/>
      <c r="G332" s="9" t="n"/>
      <c r="H332" s="12">
        <f>IF(A332="","",D332*E332)</f>
        <v/>
      </c>
      <c r="I332" s="12">
        <f>IF(A332="","",IF(Rates!$B$6=1,MIN(H332,Rates!$B$5),H332)*(Rates!$B$4+Rates!$B$13))</f>
        <v/>
      </c>
      <c r="J332" s="12">
        <f>IF(A332="","",IF(D332&lt;=Rates!$B$8,D332*Rates!$B$7,0))</f>
        <v/>
      </c>
      <c r="K332" s="12">
        <f>IF(A332="","",H332*Rates!$B$9)</f>
        <v/>
      </c>
      <c r="L332" s="12">
        <f>IF(A332="","",IF(D332&lt;=Rates!$B$11,H332*Rates!$B$10,0))</f>
        <v/>
      </c>
      <c r="M332" s="12">
        <f>IF(A332="","",Rates!$B$12/12)</f>
        <v/>
      </c>
      <c r="N332" s="12">
        <f>IF(A332="","",D332+I332+J332+K332+L332+M332)</f>
        <v/>
      </c>
      <c r="O332" s="13">
        <f>IF(A332="","",MAX(0,MIN(12,IF(G332="",12,G332))-MAX(1,F332)+1))</f>
        <v/>
      </c>
      <c r="P332" s="12">
        <f>IF(A332="","",N332*O332)</f>
        <v/>
      </c>
      <c r="Q332" s="12">
        <f>IF(A332="","",0.12*IF(Rates!$B$6=1,MIN(H332,Rates!$B$5),H332))</f>
        <v/>
      </c>
      <c r="R332" s="12">
        <f>IF(A332="","",IF(D332&lt;=Rates!$B$8,D332*0.0075,0))</f>
        <v/>
      </c>
    </row>
    <row r="333">
      <c r="A333" s="10" t="n"/>
      <c r="B333" s="10" t="n"/>
      <c r="C333" s="10" t="n"/>
      <c r="D333" s="8" t="n"/>
      <c r="E333" s="11" t="n"/>
      <c r="F333" s="9" t="n"/>
      <c r="G333" s="9" t="n"/>
      <c r="H333" s="12">
        <f>IF(A333="","",D333*E333)</f>
        <v/>
      </c>
      <c r="I333" s="12">
        <f>IF(A333="","",IF(Rates!$B$6=1,MIN(H333,Rates!$B$5),H333)*(Rates!$B$4+Rates!$B$13))</f>
        <v/>
      </c>
      <c r="J333" s="12">
        <f>IF(A333="","",IF(D333&lt;=Rates!$B$8,D333*Rates!$B$7,0))</f>
        <v/>
      </c>
      <c r="K333" s="12">
        <f>IF(A333="","",H333*Rates!$B$9)</f>
        <v/>
      </c>
      <c r="L333" s="12">
        <f>IF(A333="","",IF(D333&lt;=Rates!$B$11,H333*Rates!$B$10,0))</f>
        <v/>
      </c>
      <c r="M333" s="12">
        <f>IF(A333="","",Rates!$B$12/12)</f>
        <v/>
      </c>
      <c r="N333" s="12">
        <f>IF(A333="","",D333+I333+J333+K333+L333+M333)</f>
        <v/>
      </c>
      <c r="O333" s="13">
        <f>IF(A333="","",MAX(0,MIN(12,IF(G333="",12,G333))-MAX(1,F333)+1))</f>
        <v/>
      </c>
      <c r="P333" s="12">
        <f>IF(A333="","",N333*O333)</f>
        <v/>
      </c>
      <c r="Q333" s="12">
        <f>IF(A333="","",0.12*IF(Rates!$B$6=1,MIN(H333,Rates!$B$5),H333))</f>
        <v/>
      </c>
      <c r="R333" s="12">
        <f>IF(A333="","",IF(D333&lt;=Rates!$B$8,D333*0.0075,0))</f>
        <v/>
      </c>
    </row>
    <row r="334">
      <c r="A334" s="10" t="n"/>
      <c r="B334" s="10" t="n"/>
      <c r="C334" s="10" t="n"/>
      <c r="D334" s="8" t="n"/>
      <c r="E334" s="11" t="n"/>
      <c r="F334" s="9" t="n"/>
      <c r="G334" s="9" t="n"/>
      <c r="H334" s="12">
        <f>IF(A334="","",D334*E334)</f>
        <v/>
      </c>
      <c r="I334" s="12">
        <f>IF(A334="","",IF(Rates!$B$6=1,MIN(H334,Rates!$B$5),H334)*(Rates!$B$4+Rates!$B$13))</f>
        <v/>
      </c>
      <c r="J334" s="12">
        <f>IF(A334="","",IF(D334&lt;=Rates!$B$8,D334*Rates!$B$7,0))</f>
        <v/>
      </c>
      <c r="K334" s="12">
        <f>IF(A334="","",H334*Rates!$B$9)</f>
        <v/>
      </c>
      <c r="L334" s="12">
        <f>IF(A334="","",IF(D334&lt;=Rates!$B$11,H334*Rates!$B$10,0))</f>
        <v/>
      </c>
      <c r="M334" s="12">
        <f>IF(A334="","",Rates!$B$12/12)</f>
        <v/>
      </c>
      <c r="N334" s="12">
        <f>IF(A334="","",D334+I334+J334+K334+L334+M334)</f>
        <v/>
      </c>
      <c r="O334" s="13">
        <f>IF(A334="","",MAX(0,MIN(12,IF(G334="",12,G334))-MAX(1,F334)+1))</f>
        <v/>
      </c>
      <c r="P334" s="12">
        <f>IF(A334="","",N334*O334)</f>
        <v/>
      </c>
      <c r="Q334" s="12">
        <f>IF(A334="","",0.12*IF(Rates!$B$6=1,MIN(H334,Rates!$B$5),H334))</f>
        <v/>
      </c>
      <c r="R334" s="12">
        <f>IF(A334="","",IF(D334&lt;=Rates!$B$8,D334*0.0075,0))</f>
        <v/>
      </c>
    </row>
    <row r="335">
      <c r="A335" s="10" t="n"/>
      <c r="B335" s="10" t="n"/>
      <c r="C335" s="10" t="n"/>
      <c r="D335" s="8" t="n"/>
      <c r="E335" s="11" t="n"/>
      <c r="F335" s="9" t="n"/>
      <c r="G335" s="9" t="n"/>
      <c r="H335" s="12">
        <f>IF(A335="","",D335*E335)</f>
        <v/>
      </c>
      <c r="I335" s="12">
        <f>IF(A335="","",IF(Rates!$B$6=1,MIN(H335,Rates!$B$5),H335)*(Rates!$B$4+Rates!$B$13))</f>
        <v/>
      </c>
      <c r="J335" s="12">
        <f>IF(A335="","",IF(D335&lt;=Rates!$B$8,D335*Rates!$B$7,0))</f>
        <v/>
      </c>
      <c r="K335" s="12">
        <f>IF(A335="","",H335*Rates!$B$9)</f>
        <v/>
      </c>
      <c r="L335" s="12">
        <f>IF(A335="","",IF(D335&lt;=Rates!$B$11,H335*Rates!$B$10,0))</f>
        <v/>
      </c>
      <c r="M335" s="12">
        <f>IF(A335="","",Rates!$B$12/12)</f>
        <v/>
      </c>
      <c r="N335" s="12">
        <f>IF(A335="","",D335+I335+J335+K335+L335+M335)</f>
        <v/>
      </c>
      <c r="O335" s="13">
        <f>IF(A335="","",MAX(0,MIN(12,IF(G335="",12,G335))-MAX(1,F335)+1))</f>
        <v/>
      </c>
      <c r="P335" s="12">
        <f>IF(A335="","",N335*O335)</f>
        <v/>
      </c>
      <c r="Q335" s="12">
        <f>IF(A335="","",0.12*IF(Rates!$B$6=1,MIN(H335,Rates!$B$5),H335))</f>
        <v/>
      </c>
      <c r="R335" s="12">
        <f>IF(A335="","",IF(D335&lt;=Rates!$B$8,D335*0.0075,0))</f>
        <v/>
      </c>
    </row>
    <row r="336">
      <c r="A336" s="10" t="n"/>
      <c r="B336" s="10" t="n"/>
      <c r="C336" s="10" t="n"/>
      <c r="D336" s="8" t="n"/>
      <c r="E336" s="11" t="n"/>
      <c r="F336" s="9" t="n"/>
      <c r="G336" s="9" t="n"/>
      <c r="H336" s="12">
        <f>IF(A336="","",D336*E336)</f>
        <v/>
      </c>
      <c r="I336" s="12">
        <f>IF(A336="","",IF(Rates!$B$6=1,MIN(H336,Rates!$B$5),H336)*(Rates!$B$4+Rates!$B$13))</f>
        <v/>
      </c>
      <c r="J336" s="12">
        <f>IF(A336="","",IF(D336&lt;=Rates!$B$8,D336*Rates!$B$7,0))</f>
        <v/>
      </c>
      <c r="K336" s="12">
        <f>IF(A336="","",H336*Rates!$B$9)</f>
        <v/>
      </c>
      <c r="L336" s="12">
        <f>IF(A336="","",IF(D336&lt;=Rates!$B$11,H336*Rates!$B$10,0))</f>
        <v/>
      </c>
      <c r="M336" s="12">
        <f>IF(A336="","",Rates!$B$12/12)</f>
        <v/>
      </c>
      <c r="N336" s="12">
        <f>IF(A336="","",D336+I336+J336+K336+L336+M336)</f>
        <v/>
      </c>
      <c r="O336" s="13">
        <f>IF(A336="","",MAX(0,MIN(12,IF(G336="",12,G336))-MAX(1,F336)+1))</f>
        <v/>
      </c>
      <c r="P336" s="12">
        <f>IF(A336="","",N336*O336)</f>
        <v/>
      </c>
      <c r="Q336" s="12">
        <f>IF(A336="","",0.12*IF(Rates!$B$6=1,MIN(H336,Rates!$B$5),H336))</f>
        <v/>
      </c>
      <c r="R336" s="12">
        <f>IF(A336="","",IF(D336&lt;=Rates!$B$8,D336*0.0075,0))</f>
        <v/>
      </c>
    </row>
    <row r="337">
      <c r="A337" s="10" t="n"/>
      <c r="B337" s="10" t="n"/>
      <c r="C337" s="10" t="n"/>
      <c r="D337" s="8" t="n"/>
      <c r="E337" s="11" t="n"/>
      <c r="F337" s="9" t="n"/>
      <c r="G337" s="9" t="n"/>
      <c r="H337" s="12">
        <f>IF(A337="","",D337*E337)</f>
        <v/>
      </c>
      <c r="I337" s="12">
        <f>IF(A337="","",IF(Rates!$B$6=1,MIN(H337,Rates!$B$5),H337)*(Rates!$B$4+Rates!$B$13))</f>
        <v/>
      </c>
      <c r="J337" s="12">
        <f>IF(A337="","",IF(D337&lt;=Rates!$B$8,D337*Rates!$B$7,0))</f>
        <v/>
      </c>
      <c r="K337" s="12">
        <f>IF(A337="","",H337*Rates!$B$9)</f>
        <v/>
      </c>
      <c r="L337" s="12">
        <f>IF(A337="","",IF(D337&lt;=Rates!$B$11,H337*Rates!$B$10,0))</f>
        <v/>
      </c>
      <c r="M337" s="12">
        <f>IF(A337="","",Rates!$B$12/12)</f>
        <v/>
      </c>
      <c r="N337" s="12">
        <f>IF(A337="","",D337+I337+J337+K337+L337+M337)</f>
        <v/>
      </c>
      <c r="O337" s="13">
        <f>IF(A337="","",MAX(0,MIN(12,IF(G337="",12,G337))-MAX(1,F337)+1))</f>
        <v/>
      </c>
      <c r="P337" s="12">
        <f>IF(A337="","",N337*O337)</f>
        <v/>
      </c>
      <c r="Q337" s="12">
        <f>IF(A337="","",0.12*IF(Rates!$B$6=1,MIN(H337,Rates!$B$5),H337))</f>
        <v/>
      </c>
      <c r="R337" s="12">
        <f>IF(A337="","",IF(D337&lt;=Rates!$B$8,D337*0.0075,0))</f>
        <v/>
      </c>
    </row>
    <row r="338">
      <c r="A338" s="10" t="n"/>
      <c r="B338" s="10" t="n"/>
      <c r="C338" s="10" t="n"/>
      <c r="D338" s="8" t="n"/>
      <c r="E338" s="11" t="n"/>
      <c r="F338" s="9" t="n"/>
      <c r="G338" s="9" t="n"/>
      <c r="H338" s="12">
        <f>IF(A338="","",D338*E338)</f>
        <v/>
      </c>
      <c r="I338" s="12">
        <f>IF(A338="","",IF(Rates!$B$6=1,MIN(H338,Rates!$B$5),H338)*(Rates!$B$4+Rates!$B$13))</f>
        <v/>
      </c>
      <c r="J338" s="12">
        <f>IF(A338="","",IF(D338&lt;=Rates!$B$8,D338*Rates!$B$7,0))</f>
        <v/>
      </c>
      <c r="K338" s="12">
        <f>IF(A338="","",H338*Rates!$B$9)</f>
        <v/>
      </c>
      <c r="L338" s="12">
        <f>IF(A338="","",IF(D338&lt;=Rates!$B$11,H338*Rates!$B$10,0))</f>
        <v/>
      </c>
      <c r="M338" s="12">
        <f>IF(A338="","",Rates!$B$12/12)</f>
        <v/>
      </c>
      <c r="N338" s="12">
        <f>IF(A338="","",D338+I338+J338+K338+L338+M338)</f>
        <v/>
      </c>
      <c r="O338" s="13">
        <f>IF(A338="","",MAX(0,MIN(12,IF(G338="",12,G338))-MAX(1,F338)+1))</f>
        <v/>
      </c>
      <c r="P338" s="12">
        <f>IF(A338="","",N338*O338)</f>
        <v/>
      </c>
      <c r="Q338" s="12">
        <f>IF(A338="","",0.12*IF(Rates!$B$6=1,MIN(H338,Rates!$B$5),H338))</f>
        <v/>
      </c>
      <c r="R338" s="12">
        <f>IF(A338="","",IF(D338&lt;=Rates!$B$8,D338*0.0075,0))</f>
        <v/>
      </c>
    </row>
    <row r="339">
      <c r="A339" s="10" t="n"/>
      <c r="B339" s="10" t="n"/>
      <c r="C339" s="10" t="n"/>
      <c r="D339" s="8" t="n"/>
      <c r="E339" s="11" t="n"/>
      <c r="F339" s="9" t="n"/>
      <c r="G339" s="9" t="n"/>
      <c r="H339" s="12">
        <f>IF(A339="","",D339*E339)</f>
        <v/>
      </c>
      <c r="I339" s="12">
        <f>IF(A339="","",IF(Rates!$B$6=1,MIN(H339,Rates!$B$5),H339)*(Rates!$B$4+Rates!$B$13))</f>
        <v/>
      </c>
      <c r="J339" s="12">
        <f>IF(A339="","",IF(D339&lt;=Rates!$B$8,D339*Rates!$B$7,0))</f>
        <v/>
      </c>
      <c r="K339" s="12">
        <f>IF(A339="","",H339*Rates!$B$9)</f>
        <v/>
      </c>
      <c r="L339" s="12">
        <f>IF(A339="","",IF(D339&lt;=Rates!$B$11,H339*Rates!$B$10,0))</f>
        <v/>
      </c>
      <c r="M339" s="12">
        <f>IF(A339="","",Rates!$B$12/12)</f>
        <v/>
      </c>
      <c r="N339" s="12">
        <f>IF(A339="","",D339+I339+J339+K339+L339+M339)</f>
        <v/>
      </c>
      <c r="O339" s="13">
        <f>IF(A339="","",MAX(0,MIN(12,IF(G339="",12,G339))-MAX(1,F339)+1))</f>
        <v/>
      </c>
      <c r="P339" s="12">
        <f>IF(A339="","",N339*O339)</f>
        <v/>
      </c>
      <c r="Q339" s="12">
        <f>IF(A339="","",0.12*IF(Rates!$B$6=1,MIN(H339,Rates!$B$5),H339))</f>
        <v/>
      </c>
      <c r="R339" s="12">
        <f>IF(A339="","",IF(D339&lt;=Rates!$B$8,D339*0.0075,0))</f>
        <v/>
      </c>
    </row>
    <row r="340">
      <c r="A340" s="10" t="n"/>
      <c r="B340" s="10" t="n"/>
      <c r="C340" s="10" t="n"/>
      <c r="D340" s="8" t="n"/>
      <c r="E340" s="11" t="n"/>
      <c r="F340" s="9" t="n"/>
      <c r="G340" s="9" t="n"/>
      <c r="H340" s="12">
        <f>IF(A340="","",D340*E340)</f>
        <v/>
      </c>
      <c r="I340" s="12">
        <f>IF(A340="","",IF(Rates!$B$6=1,MIN(H340,Rates!$B$5),H340)*(Rates!$B$4+Rates!$B$13))</f>
        <v/>
      </c>
      <c r="J340" s="12">
        <f>IF(A340="","",IF(D340&lt;=Rates!$B$8,D340*Rates!$B$7,0))</f>
        <v/>
      </c>
      <c r="K340" s="12">
        <f>IF(A340="","",H340*Rates!$B$9)</f>
        <v/>
      </c>
      <c r="L340" s="12">
        <f>IF(A340="","",IF(D340&lt;=Rates!$B$11,H340*Rates!$B$10,0))</f>
        <v/>
      </c>
      <c r="M340" s="12">
        <f>IF(A340="","",Rates!$B$12/12)</f>
        <v/>
      </c>
      <c r="N340" s="12">
        <f>IF(A340="","",D340+I340+J340+K340+L340+M340)</f>
        <v/>
      </c>
      <c r="O340" s="13">
        <f>IF(A340="","",MAX(0,MIN(12,IF(G340="",12,G340))-MAX(1,F340)+1))</f>
        <v/>
      </c>
      <c r="P340" s="12">
        <f>IF(A340="","",N340*O340)</f>
        <v/>
      </c>
      <c r="Q340" s="12">
        <f>IF(A340="","",0.12*IF(Rates!$B$6=1,MIN(H340,Rates!$B$5),H340))</f>
        <v/>
      </c>
      <c r="R340" s="12">
        <f>IF(A340="","",IF(D340&lt;=Rates!$B$8,D340*0.0075,0))</f>
        <v/>
      </c>
    </row>
    <row r="341">
      <c r="A341" s="10" t="n"/>
      <c r="B341" s="10" t="n"/>
      <c r="C341" s="10" t="n"/>
      <c r="D341" s="8" t="n"/>
      <c r="E341" s="11" t="n"/>
      <c r="F341" s="9" t="n"/>
      <c r="G341" s="9" t="n"/>
      <c r="H341" s="12">
        <f>IF(A341="","",D341*E341)</f>
        <v/>
      </c>
      <c r="I341" s="12">
        <f>IF(A341="","",IF(Rates!$B$6=1,MIN(H341,Rates!$B$5),H341)*(Rates!$B$4+Rates!$B$13))</f>
        <v/>
      </c>
      <c r="J341" s="12">
        <f>IF(A341="","",IF(D341&lt;=Rates!$B$8,D341*Rates!$B$7,0))</f>
        <v/>
      </c>
      <c r="K341" s="12">
        <f>IF(A341="","",H341*Rates!$B$9)</f>
        <v/>
      </c>
      <c r="L341" s="12">
        <f>IF(A341="","",IF(D341&lt;=Rates!$B$11,H341*Rates!$B$10,0))</f>
        <v/>
      </c>
      <c r="M341" s="12">
        <f>IF(A341="","",Rates!$B$12/12)</f>
        <v/>
      </c>
      <c r="N341" s="12">
        <f>IF(A341="","",D341+I341+J341+K341+L341+M341)</f>
        <v/>
      </c>
      <c r="O341" s="13">
        <f>IF(A341="","",MAX(0,MIN(12,IF(G341="",12,G341))-MAX(1,F341)+1))</f>
        <v/>
      </c>
      <c r="P341" s="12">
        <f>IF(A341="","",N341*O341)</f>
        <v/>
      </c>
      <c r="Q341" s="12">
        <f>IF(A341="","",0.12*IF(Rates!$B$6=1,MIN(H341,Rates!$B$5),H341))</f>
        <v/>
      </c>
      <c r="R341" s="12">
        <f>IF(A341="","",IF(D341&lt;=Rates!$B$8,D341*0.0075,0))</f>
        <v/>
      </c>
    </row>
    <row r="342">
      <c r="A342" s="10" t="n"/>
      <c r="B342" s="10" t="n"/>
      <c r="C342" s="10" t="n"/>
      <c r="D342" s="8" t="n"/>
      <c r="E342" s="11" t="n"/>
      <c r="F342" s="9" t="n"/>
      <c r="G342" s="9" t="n"/>
      <c r="H342" s="12">
        <f>IF(A342="","",D342*E342)</f>
        <v/>
      </c>
      <c r="I342" s="12">
        <f>IF(A342="","",IF(Rates!$B$6=1,MIN(H342,Rates!$B$5),H342)*(Rates!$B$4+Rates!$B$13))</f>
        <v/>
      </c>
      <c r="J342" s="12">
        <f>IF(A342="","",IF(D342&lt;=Rates!$B$8,D342*Rates!$B$7,0))</f>
        <v/>
      </c>
      <c r="K342" s="12">
        <f>IF(A342="","",H342*Rates!$B$9)</f>
        <v/>
      </c>
      <c r="L342" s="12">
        <f>IF(A342="","",IF(D342&lt;=Rates!$B$11,H342*Rates!$B$10,0))</f>
        <v/>
      </c>
      <c r="M342" s="12">
        <f>IF(A342="","",Rates!$B$12/12)</f>
        <v/>
      </c>
      <c r="N342" s="12">
        <f>IF(A342="","",D342+I342+J342+K342+L342+M342)</f>
        <v/>
      </c>
      <c r="O342" s="13">
        <f>IF(A342="","",MAX(0,MIN(12,IF(G342="",12,G342))-MAX(1,F342)+1))</f>
        <v/>
      </c>
      <c r="P342" s="12">
        <f>IF(A342="","",N342*O342)</f>
        <v/>
      </c>
      <c r="Q342" s="12">
        <f>IF(A342="","",0.12*IF(Rates!$B$6=1,MIN(H342,Rates!$B$5),H342))</f>
        <v/>
      </c>
      <c r="R342" s="12">
        <f>IF(A342="","",IF(D342&lt;=Rates!$B$8,D342*0.0075,0))</f>
        <v/>
      </c>
    </row>
    <row r="343">
      <c r="A343" s="10" t="n"/>
      <c r="B343" s="10" t="n"/>
      <c r="C343" s="10" t="n"/>
      <c r="D343" s="8" t="n"/>
      <c r="E343" s="11" t="n"/>
      <c r="F343" s="9" t="n"/>
      <c r="G343" s="9" t="n"/>
      <c r="H343" s="12">
        <f>IF(A343="","",D343*E343)</f>
        <v/>
      </c>
      <c r="I343" s="12">
        <f>IF(A343="","",IF(Rates!$B$6=1,MIN(H343,Rates!$B$5),H343)*(Rates!$B$4+Rates!$B$13))</f>
        <v/>
      </c>
      <c r="J343" s="12">
        <f>IF(A343="","",IF(D343&lt;=Rates!$B$8,D343*Rates!$B$7,0))</f>
        <v/>
      </c>
      <c r="K343" s="12">
        <f>IF(A343="","",H343*Rates!$B$9)</f>
        <v/>
      </c>
      <c r="L343" s="12">
        <f>IF(A343="","",IF(D343&lt;=Rates!$B$11,H343*Rates!$B$10,0))</f>
        <v/>
      </c>
      <c r="M343" s="12">
        <f>IF(A343="","",Rates!$B$12/12)</f>
        <v/>
      </c>
      <c r="N343" s="12">
        <f>IF(A343="","",D343+I343+J343+K343+L343+M343)</f>
        <v/>
      </c>
      <c r="O343" s="13">
        <f>IF(A343="","",MAX(0,MIN(12,IF(G343="",12,G343))-MAX(1,F343)+1))</f>
        <v/>
      </c>
      <c r="P343" s="12">
        <f>IF(A343="","",N343*O343)</f>
        <v/>
      </c>
      <c r="Q343" s="12">
        <f>IF(A343="","",0.12*IF(Rates!$B$6=1,MIN(H343,Rates!$B$5),H343))</f>
        <v/>
      </c>
      <c r="R343" s="12">
        <f>IF(A343="","",IF(D343&lt;=Rates!$B$8,D343*0.0075,0))</f>
        <v/>
      </c>
    </row>
    <row r="344">
      <c r="A344" s="10" t="n"/>
      <c r="B344" s="10" t="n"/>
      <c r="C344" s="10" t="n"/>
      <c r="D344" s="8" t="n"/>
      <c r="E344" s="11" t="n"/>
      <c r="F344" s="9" t="n"/>
      <c r="G344" s="9" t="n"/>
      <c r="H344" s="12">
        <f>IF(A344="","",D344*E344)</f>
        <v/>
      </c>
      <c r="I344" s="12">
        <f>IF(A344="","",IF(Rates!$B$6=1,MIN(H344,Rates!$B$5),H344)*(Rates!$B$4+Rates!$B$13))</f>
        <v/>
      </c>
      <c r="J344" s="12">
        <f>IF(A344="","",IF(D344&lt;=Rates!$B$8,D344*Rates!$B$7,0))</f>
        <v/>
      </c>
      <c r="K344" s="12">
        <f>IF(A344="","",H344*Rates!$B$9)</f>
        <v/>
      </c>
      <c r="L344" s="12">
        <f>IF(A344="","",IF(D344&lt;=Rates!$B$11,H344*Rates!$B$10,0))</f>
        <v/>
      </c>
      <c r="M344" s="12">
        <f>IF(A344="","",Rates!$B$12/12)</f>
        <v/>
      </c>
      <c r="N344" s="12">
        <f>IF(A344="","",D344+I344+J344+K344+L344+M344)</f>
        <v/>
      </c>
      <c r="O344" s="13">
        <f>IF(A344="","",MAX(0,MIN(12,IF(G344="",12,G344))-MAX(1,F344)+1))</f>
        <v/>
      </c>
      <c r="P344" s="12">
        <f>IF(A344="","",N344*O344)</f>
        <v/>
      </c>
      <c r="Q344" s="12">
        <f>IF(A344="","",0.12*IF(Rates!$B$6=1,MIN(H344,Rates!$B$5),H344))</f>
        <v/>
      </c>
      <c r="R344" s="12">
        <f>IF(A344="","",IF(D344&lt;=Rates!$B$8,D344*0.0075,0))</f>
        <v/>
      </c>
    </row>
    <row r="345">
      <c r="A345" s="10" t="n"/>
      <c r="B345" s="10" t="n"/>
      <c r="C345" s="10" t="n"/>
      <c r="D345" s="8" t="n"/>
      <c r="E345" s="11" t="n"/>
      <c r="F345" s="9" t="n"/>
      <c r="G345" s="9" t="n"/>
      <c r="H345" s="12">
        <f>IF(A345="","",D345*E345)</f>
        <v/>
      </c>
      <c r="I345" s="12">
        <f>IF(A345="","",IF(Rates!$B$6=1,MIN(H345,Rates!$B$5),H345)*(Rates!$B$4+Rates!$B$13))</f>
        <v/>
      </c>
      <c r="J345" s="12">
        <f>IF(A345="","",IF(D345&lt;=Rates!$B$8,D345*Rates!$B$7,0))</f>
        <v/>
      </c>
      <c r="K345" s="12">
        <f>IF(A345="","",H345*Rates!$B$9)</f>
        <v/>
      </c>
      <c r="L345" s="12">
        <f>IF(A345="","",IF(D345&lt;=Rates!$B$11,H345*Rates!$B$10,0))</f>
        <v/>
      </c>
      <c r="M345" s="12">
        <f>IF(A345="","",Rates!$B$12/12)</f>
        <v/>
      </c>
      <c r="N345" s="12">
        <f>IF(A345="","",D345+I345+J345+K345+L345+M345)</f>
        <v/>
      </c>
      <c r="O345" s="13">
        <f>IF(A345="","",MAX(0,MIN(12,IF(G345="",12,G345))-MAX(1,F345)+1))</f>
        <v/>
      </c>
      <c r="P345" s="12">
        <f>IF(A345="","",N345*O345)</f>
        <v/>
      </c>
      <c r="Q345" s="12">
        <f>IF(A345="","",0.12*IF(Rates!$B$6=1,MIN(H345,Rates!$B$5),H345))</f>
        <v/>
      </c>
      <c r="R345" s="12">
        <f>IF(A345="","",IF(D345&lt;=Rates!$B$8,D345*0.0075,0))</f>
        <v/>
      </c>
    </row>
    <row r="346">
      <c r="A346" s="10" t="n"/>
      <c r="B346" s="10" t="n"/>
      <c r="C346" s="10" t="n"/>
      <c r="D346" s="8" t="n"/>
      <c r="E346" s="11" t="n"/>
      <c r="F346" s="9" t="n"/>
      <c r="G346" s="9" t="n"/>
      <c r="H346" s="12">
        <f>IF(A346="","",D346*E346)</f>
        <v/>
      </c>
      <c r="I346" s="12">
        <f>IF(A346="","",IF(Rates!$B$6=1,MIN(H346,Rates!$B$5),H346)*(Rates!$B$4+Rates!$B$13))</f>
        <v/>
      </c>
      <c r="J346" s="12">
        <f>IF(A346="","",IF(D346&lt;=Rates!$B$8,D346*Rates!$B$7,0))</f>
        <v/>
      </c>
      <c r="K346" s="12">
        <f>IF(A346="","",H346*Rates!$B$9)</f>
        <v/>
      </c>
      <c r="L346" s="12">
        <f>IF(A346="","",IF(D346&lt;=Rates!$B$11,H346*Rates!$B$10,0))</f>
        <v/>
      </c>
      <c r="M346" s="12">
        <f>IF(A346="","",Rates!$B$12/12)</f>
        <v/>
      </c>
      <c r="N346" s="12">
        <f>IF(A346="","",D346+I346+J346+K346+L346+M346)</f>
        <v/>
      </c>
      <c r="O346" s="13">
        <f>IF(A346="","",MAX(0,MIN(12,IF(G346="",12,G346))-MAX(1,F346)+1))</f>
        <v/>
      </c>
      <c r="P346" s="12">
        <f>IF(A346="","",N346*O346)</f>
        <v/>
      </c>
      <c r="Q346" s="12">
        <f>IF(A346="","",0.12*IF(Rates!$B$6=1,MIN(H346,Rates!$B$5),H346))</f>
        <v/>
      </c>
      <c r="R346" s="12">
        <f>IF(A346="","",IF(D346&lt;=Rates!$B$8,D346*0.0075,0))</f>
        <v/>
      </c>
    </row>
    <row r="347">
      <c r="A347" s="10" t="n"/>
      <c r="B347" s="10" t="n"/>
      <c r="C347" s="10" t="n"/>
      <c r="D347" s="8" t="n"/>
      <c r="E347" s="11" t="n"/>
      <c r="F347" s="9" t="n"/>
      <c r="G347" s="9" t="n"/>
      <c r="H347" s="12">
        <f>IF(A347="","",D347*E347)</f>
        <v/>
      </c>
      <c r="I347" s="12">
        <f>IF(A347="","",IF(Rates!$B$6=1,MIN(H347,Rates!$B$5),H347)*(Rates!$B$4+Rates!$B$13))</f>
        <v/>
      </c>
      <c r="J347" s="12">
        <f>IF(A347="","",IF(D347&lt;=Rates!$B$8,D347*Rates!$B$7,0))</f>
        <v/>
      </c>
      <c r="K347" s="12">
        <f>IF(A347="","",H347*Rates!$B$9)</f>
        <v/>
      </c>
      <c r="L347" s="12">
        <f>IF(A347="","",IF(D347&lt;=Rates!$B$11,H347*Rates!$B$10,0))</f>
        <v/>
      </c>
      <c r="M347" s="12">
        <f>IF(A347="","",Rates!$B$12/12)</f>
        <v/>
      </c>
      <c r="N347" s="12">
        <f>IF(A347="","",D347+I347+J347+K347+L347+M347)</f>
        <v/>
      </c>
      <c r="O347" s="13">
        <f>IF(A347="","",MAX(0,MIN(12,IF(G347="",12,G347))-MAX(1,F347)+1))</f>
        <v/>
      </c>
      <c r="P347" s="12">
        <f>IF(A347="","",N347*O347)</f>
        <v/>
      </c>
      <c r="Q347" s="12">
        <f>IF(A347="","",0.12*IF(Rates!$B$6=1,MIN(H347,Rates!$B$5),H347))</f>
        <v/>
      </c>
      <c r="R347" s="12">
        <f>IF(A347="","",IF(D347&lt;=Rates!$B$8,D347*0.0075,0))</f>
        <v/>
      </c>
    </row>
    <row r="348">
      <c r="A348" s="10" t="n"/>
      <c r="B348" s="10" t="n"/>
      <c r="C348" s="10" t="n"/>
      <c r="D348" s="8" t="n"/>
      <c r="E348" s="11" t="n"/>
      <c r="F348" s="9" t="n"/>
      <c r="G348" s="9" t="n"/>
      <c r="H348" s="12">
        <f>IF(A348="","",D348*E348)</f>
        <v/>
      </c>
      <c r="I348" s="12">
        <f>IF(A348="","",IF(Rates!$B$6=1,MIN(H348,Rates!$B$5),H348)*(Rates!$B$4+Rates!$B$13))</f>
        <v/>
      </c>
      <c r="J348" s="12">
        <f>IF(A348="","",IF(D348&lt;=Rates!$B$8,D348*Rates!$B$7,0))</f>
        <v/>
      </c>
      <c r="K348" s="12">
        <f>IF(A348="","",H348*Rates!$B$9)</f>
        <v/>
      </c>
      <c r="L348" s="12">
        <f>IF(A348="","",IF(D348&lt;=Rates!$B$11,H348*Rates!$B$10,0))</f>
        <v/>
      </c>
      <c r="M348" s="12">
        <f>IF(A348="","",Rates!$B$12/12)</f>
        <v/>
      </c>
      <c r="N348" s="12">
        <f>IF(A348="","",D348+I348+J348+K348+L348+M348)</f>
        <v/>
      </c>
      <c r="O348" s="13">
        <f>IF(A348="","",MAX(0,MIN(12,IF(G348="",12,G348))-MAX(1,F348)+1))</f>
        <v/>
      </c>
      <c r="P348" s="12">
        <f>IF(A348="","",N348*O348)</f>
        <v/>
      </c>
      <c r="Q348" s="12">
        <f>IF(A348="","",0.12*IF(Rates!$B$6=1,MIN(H348,Rates!$B$5),H348))</f>
        <v/>
      </c>
      <c r="R348" s="12">
        <f>IF(A348="","",IF(D348&lt;=Rates!$B$8,D348*0.0075,0))</f>
        <v/>
      </c>
    </row>
    <row r="349">
      <c r="A349" s="10" t="n"/>
      <c r="B349" s="10" t="n"/>
      <c r="C349" s="10" t="n"/>
      <c r="D349" s="8" t="n"/>
      <c r="E349" s="11" t="n"/>
      <c r="F349" s="9" t="n"/>
      <c r="G349" s="9" t="n"/>
      <c r="H349" s="12">
        <f>IF(A349="","",D349*E349)</f>
        <v/>
      </c>
      <c r="I349" s="12">
        <f>IF(A349="","",IF(Rates!$B$6=1,MIN(H349,Rates!$B$5),H349)*(Rates!$B$4+Rates!$B$13))</f>
        <v/>
      </c>
      <c r="J349" s="12">
        <f>IF(A349="","",IF(D349&lt;=Rates!$B$8,D349*Rates!$B$7,0))</f>
        <v/>
      </c>
      <c r="K349" s="12">
        <f>IF(A349="","",H349*Rates!$B$9)</f>
        <v/>
      </c>
      <c r="L349" s="12">
        <f>IF(A349="","",IF(D349&lt;=Rates!$B$11,H349*Rates!$B$10,0))</f>
        <v/>
      </c>
      <c r="M349" s="12">
        <f>IF(A349="","",Rates!$B$12/12)</f>
        <v/>
      </c>
      <c r="N349" s="12">
        <f>IF(A349="","",D349+I349+J349+K349+L349+M349)</f>
        <v/>
      </c>
      <c r="O349" s="13">
        <f>IF(A349="","",MAX(0,MIN(12,IF(G349="",12,G349))-MAX(1,F349)+1))</f>
        <v/>
      </c>
      <c r="P349" s="12">
        <f>IF(A349="","",N349*O349)</f>
        <v/>
      </c>
      <c r="Q349" s="12">
        <f>IF(A349="","",0.12*IF(Rates!$B$6=1,MIN(H349,Rates!$B$5),H349))</f>
        <v/>
      </c>
      <c r="R349" s="12">
        <f>IF(A349="","",IF(D349&lt;=Rates!$B$8,D349*0.0075,0))</f>
        <v/>
      </c>
    </row>
    <row r="350">
      <c r="A350" s="10" t="n"/>
      <c r="B350" s="10" t="n"/>
      <c r="C350" s="10" t="n"/>
      <c r="D350" s="8" t="n"/>
      <c r="E350" s="11" t="n"/>
      <c r="F350" s="9" t="n"/>
      <c r="G350" s="9" t="n"/>
      <c r="H350" s="12">
        <f>IF(A350="","",D350*E350)</f>
        <v/>
      </c>
      <c r="I350" s="12">
        <f>IF(A350="","",IF(Rates!$B$6=1,MIN(H350,Rates!$B$5),H350)*(Rates!$B$4+Rates!$B$13))</f>
        <v/>
      </c>
      <c r="J350" s="12">
        <f>IF(A350="","",IF(D350&lt;=Rates!$B$8,D350*Rates!$B$7,0))</f>
        <v/>
      </c>
      <c r="K350" s="12">
        <f>IF(A350="","",H350*Rates!$B$9)</f>
        <v/>
      </c>
      <c r="L350" s="12">
        <f>IF(A350="","",IF(D350&lt;=Rates!$B$11,H350*Rates!$B$10,0))</f>
        <v/>
      </c>
      <c r="M350" s="12">
        <f>IF(A350="","",Rates!$B$12/12)</f>
        <v/>
      </c>
      <c r="N350" s="12">
        <f>IF(A350="","",D350+I350+J350+K350+L350+M350)</f>
        <v/>
      </c>
      <c r="O350" s="13">
        <f>IF(A350="","",MAX(0,MIN(12,IF(G350="",12,G350))-MAX(1,F350)+1))</f>
        <v/>
      </c>
      <c r="P350" s="12">
        <f>IF(A350="","",N350*O350)</f>
        <v/>
      </c>
      <c r="Q350" s="12">
        <f>IF(A350="","",0.12*IF(Rates!$B$6=1,MIN(H350,Rates!$B$5),H350))</f>
        <v/>
      </c>
      <c r="R350" s="12">
        <f>IF(A350="","",IF(D350&lt;=Rates!$B$8,D350*0.0075,0))</f>
        <v/>
      </c>
    </row>
    <row r="351">
      <c r="A351" s="10" t="n"/>
      <c r="B351" s="10" t="n"/>
      <c r="C351" s="10" t="n"/>
      <c r="D351" s="8" t="n"/>
      <c r="E351" s="11" t="n"/>
      <c r="F351" s="9" t="n"/>
      <c r="G351" s="9" t="n"/>
      <c r="H351" s="12">
        <f>IF(A351="","",D351*E351)</f>
        <v/>
      </c>
      <c r="I351" s="12">
        <f>IF(A351="","",IF(Rates!$B$6=1,MIN(H351,Rates!$B$5),H351)*(Rates!$B$4+Rates!$B$13))</f>
        <v/>
      </c>
      <c r="J351" s="12">
        <f>IF(A351="","",IF(D351&lt;=Rates!$B$8,D351*Rates!$B$7,0))</f>
        <v/>
      </c>
      <c r="K351" s="12">
        <f>IF(A351="","",H351*Rates!$B$9)</f>
        <v/>
      </c>
      <c r="L351" s="12">
        <f>IF(A351="","",IF(D351&lt;=Rates!$B$11,H351*Rates!$B$10,0))</f>
        <v/>
      </c>
      <c r="M351" s="12">
        <f>IF(A351="","",Rates!$B$12/12)</f>
        <v/>
      </c>
      <c r="N351" s="12">
        <f>IF(A351="","",D351+I351+J351+K351+L351+M351)</f>
        <v/>
      </c>
      <c r="O351" s="13">
        <f>IF(A351="","",MAX(0,MIN(12,IF(G351="",12,G351))-MAX(1,F351)+1))</f>
        <v/>
      </c>
      <c r="P351" s="12">
        <f>IF(A351="","",N351*O351)</f>
        <v/>
      </c>
      <c r="Q351" s="12">
        <f>IF(A351="","",0.12*IF(Rates!$B$6=1,MIN(H351,Rates!$B$5),H351))</f>
        <v/>
      </c>
      <c r="R351" s="12">
        <f>IF(A351="","",IF(D351&lt;=Rates!$B$8,D351*0.0075,0))</f>
        <v/>
      </c>
    </row>
    <row r="352">
      <c r="A352" s="10" t="n"/>
      <c r="B352" s="10" t="n"/>
      <c r="C352" s="10" t="n"/>
      <c r="D352" s="8" t="n"/>
      <c r="E352" s="11" t="n"/>
      <c r="F352" s="9" t="n"/>
      <c r="G352" s="9" t="n"/>
      <c r="H352" s="12">
        <f>IF(A352="","",D352*E352)</f>
        <v/>
      </c>
      <c r="I352" s="12">
        <f>IF(A352="","",IF(Rates!$B$6=1,MIN(H352,Rates!$B$5),H352)*(Rates!$B$4+Rates!$B$13))</f>
        <v/>
      </c>
      <c r="J352" s="12">
        <f>IF(A352="","",IF(D352&lt;=Rates!$B$8,D352*Rates!$B$7,0))</f>
        <v/>
      </c>
      <c r="K352" s="12">
        <f>IF(A352="","",H352*Rates!$B$9)</f>
        <v/>
      </c>
      <c r="L352" s="12">
        <f>IF(A352="","",IF(D352&lt;=Rates!$B$11,H352*Rates!$B$10,0))</f>
        <v/>
      </c>
      <c r="M352" s="12">
        <f>IF(A352="","",Rates!$B$12/12)</f>
        <v/>
      </c>
      <c r="N352" s="12">
        <f>IF(A352="","",D352+I352+J352+K352+L352+M352)</f>
        <v/>
      </c>
      <c r="O352" s="13">
        <f>IF(A352="","",MAX(0,MIN(12,IF(G352="",12,G352))-MAX(1,F352)+1))</f>
        <v/>
      </c>
      <c r="P352" s="12">
        <f>IF(A352="","",N352*O352)</f>
        <v/>
      </c>
      <c r="Q352" s="12">
        <f>IF(A352="","",0.12*IF(Rates!$B$6=1,MIN(H352,Rates!$B$5),H352))</f>
        <v/>
      </c>
      <c r="R352" s="12">
        <f>IF(A352="","",IF(D352&lt;=Rates!$B$8,D352*0.0075,0))</f>
        <v/>
      </c>
    </row>
    <row r="353">
      <c r="A353" s="10" t="n"/>
      <c r="B353" s="10" t="n"/>
      <c r="C353" s="10" t="n"/>
      <c r="D353" s="8" t="n"/>
      <c r="E353" s="11" t="n"/>
      <c r="F353" s="9" t="n"/>
      <c r="G353" s="9" t="n"/>
      <c r="H353" s="12">
        <f>IF(A353="","",D353*E353)</f>
        <v/>
      </c>
      <c r="I353" s="12">
        <f>IF(A353="","",IF(Rates!$B$6=1,MIN(H353,Rates!$B$5),H353)*(Rates!$B$4+Rates!$B$13))</f>
        <v/>
      </c>
      <c r="J353" s="12">
        <f>IF(A353="","",IF(D353&lt;=Rates!$B$8,D353*Rates!$B$7,0))</f>
        <v/>
      </c>
      <c r="K353" s="12">
        <f>IF(A353="","",H353*Rates!$B$9)</f>
        <v/>
      </c>
      <c r="L353" s="12">
        <f>IF(A353="","",IF(D353&lt;=Rates!$B$11,H353*Rates!$B$10,0))</f>
        <v/>
      </c>
      <c r="M353" s="12">
        <f>IF(A353="","",Rates!$B$12/12)</f>
        <v/>
      </c>
      <c r="N353" s="12">
        <f>IF(A353="","",D353+I353+J353+K353+L353+M353)</f>
        <v/>
      </c>
      <c r="O353" s="13">
        <f>IF(A353="","",MAX(0,MIN(12,IF(G353="",12,G353))-MAX(1,F353)+1))</f>
        <v/>
      </c>
      <c r="P353" s="12">
        <f>IF(A353="","",N353*O353)</f>
        <v/>
      </c>
      <c r="Q353" s="12">
        <f>IF(A353="","",0.12*IF(Rates!$B$6=1,MIN(H353,Rates!$B$5),H353))</f>
        <v/>
      </c>
      <c r="R353" s="12">
        <f>IF(A353="","",IF(D353&lt;=Rates!$B$8,D353*0.0075,0))</f>
        <v/>
      </c>
    </row>
    <row r="354">
      <c r="A354" s="10" t="n"/>
      <c r="B354" s="10" t="n"/>
      <c r="C354" s="10" t="n"/>
      <c r="D354" s="8" t="n"/>
      <c r="E354" s="11" t="n"/>
      <c r="F354" s="9" t="n"/>
      <c r="G354" s="9" t="n"/>
      <c r="H354" s="12">
        <f>IF(A354="","",D354*E354)</f>
        <v/>
      </c>
      <c r="I354" s="12">
        <f>IF(A354="","",IF(Rates!$B$6=1,MIN(H354,Rates!$B$5),H354)*(Rates!$B$4+Rates!$B$13))</f>
        <v/>
      </c>
      <c r="J354" s="12">
        <f>IF(A354="","",IF(D354&lt;=Rates!$B$8,D354*Rates!$B$7,0))</f>
        <v/>
      </c>
      <c r="K354" s="12">
        <f>IF(A354="","",H354*Rates!$B$9)</f>
        <v/>
      </c>
      <c r="L354" s="12">
        <f>IF(A354="","",IF(D354&lt;=Rates!$B$11,H354*Rates!$B$10,0))</f>
        <v/>
      </c>
      <c r="M354" s="12">
        <f>IF(A354="","",Rates!$B$12/12)</f>
        <v/>
      </c>
      <c r="N354" s="12">
        <f>IF(A354="","",D354+I354+J354+K354+L354+M354)</f>
        <v/>
      </c>
      <c r="O354" s="13">
        <f>IF(A354="","",MAX(0,MIN(12,IF(G354="",12,G354))-MAX(1,F354)+1))</f>
        <v/>
      </c>
      <c r="P354" s="12">
        <f>IF(A354="","",N354*O354)</f>
        <v/>
      </c>
      <c r="Q354" s="12">
        <f>IF(A354="","",0.12*IF(Rates!$B$6=1,MIN(H354,Rates!$B$5),H354))</f>
        <v/>
      </c>
      <c r="R354" s="12">
        <f>IF(A354="","",IF(D354&lt;=Rates!$B$8,D354*0.0075,0))</f>
        <v/>
      </c>
    </row>
    <row r="355">
      <c r="A355" s="10" t="n"/>
      <c r="B355" s="10" t="n"/>
      <c r="C355" s="10" t="n"/>
      <c r="D355" s="8" t="n"/>
      <c r="E355" s="11" t="n"/>
      <c r="F355" s="9" t="n"/>
      <c r="G355" s="9" t="n"/>
      <c r="H355" s="12">
        <f>IF(A355="","",D355*E355)</f>
        <v/>
      </c>
      <c r="I355" s="12">
        <f>IF(A355="","",IF(Rates!$B$6=1,MIN(H355,Rates!$B$5),H355)*(Rates!$B$4+Rates!$B$13))</f>
        <v/>
      </c>
      <c r="J355" s="12">
        <f>IF(A355="","",IF(D355&lt;=Rates!$B$8,D355*Rates!$B$7,0))</f>
        <v/>
      </c>
      <c r="K355" s="12">
        <f>IF(A355="","",H355*Rates!$B$9)</f>
        <v/>
      </c>
      <c r="L355" s="12">
        <f>IF(A355="","",IF(D355&lt;=Rates!$B$11,H355*Rates!$B$10,0))</f>
        <v/>
      </c>
      <c r="M355" s="12">
        <f>IF(A355="","",Rates!$B$12/12)</f>
        <v/>
      </c>
      <c r="N355" s="12">
        <f>IF(A355="","",D355+I355+J355+K355+L355+M355)</f>
        <v/>
      </c>
      <c r="O355" s="13">
        <f>IF(A355="","",MAX(0,MIN(12,IF(G355="",12,G355))-MAX(1,F355)+1))</f>
        <v/>
      </c>
      <c r="P355" s="12">
        <f>IF(A355="","",N355*O355)</f>
        <v/>
      </c>
      <c r="Q355" s="12">
        <f>IF(A355="","",0.12*IF(Rates!$B$6=1,MIN(H355,Rates!$B$5),H355))</f>
        <v/>
      </c>
      <c r="R355" s="12">
        <f>IF(A355="","",IF(D355&lt;=Rates!$B$8,D355*0.0075,0))</f>
        <v/>
      </c>
    </row>
    <row r="356">
      <c r="A356" s="10" t="n"/>
      <c r="B356" s="10" t="n"/>
      <c r="C356" s="10" t="n"/>
      <c r="D356" s="8" t="n"/>
      <c r="E356" s="11" t="n"/>
      <c r="F356" s="9" t="n"/>
      <c r="G356" s="9" t="n"/>
      <c r="H356" s="12">
        <f>IF(A356="","",D356*E356)</f>
        <v/>
      </c>
      <c r="I356" s="12">
        <f>IF(A356="","",IF(Rates!$B$6=1,MIN(H356,Rates!$B$5),H356)*(Rates!$B$4+Rates!$B$13))</f>
        <v/>
      </c>
      <c r="J356" s="12">
        <f>IF(A356="","",IF(D356&lt;=Rates!$B$8,D356*Rates!$B$7,0))</f>
        <v/>
      </c>
      <c r="K356" s="12">
        <f>IF(A356="","",H356*Rates!$B$9)</f>
        <v/>
      </c>
      <c r="L356" s="12">
        <f>IF(A356="","",IF(D356&lt;=Rates!$B$11,H356*Rates!$B$10,0))</f>
        <v/>
      </c>
      <c r="M356" s="12">
        <f>IF(A356="","",Rates!$B$12/12)</f>
        <v/>
      </c>
      <c r="N356" s="12">
        <f>IF(A356="","",D356+I356+J356+K356+L356+M356)</f>
        <v/>
      </c>
      <c r="O356" s="13">
        <f>IF(A356="","",MAX(0,MIN(12,IF(G356="",12,G356))-MAX(1,F356)+1))</f>
        <v/>
      </c>
      <c r="P356" s="12">
        <f>IF(A356="","",N356*O356)</f>
        <v/>
      </c>
      <c r="Q356" s="12">
        <f>IF(A356="","",0.12*IF(Rates!$B$6=1,MIN(H356,Rates!$B$5),H356))</f>
        <v/>
      </c>
      <c r="R356" s="12">
        <f>IF(A356="","",IF(D356&lt;=Rates!$B$8,D356*0.0075,0))</f>
        <v/>
      </c>
    </row>
    <row r="357">
      <c r="A357" s="10" t="n"/>
      <c r="B357" s="10" t="n"/>
      <c r="C357" s="10" t="n"/>
      <c r="D357" s="8" t="n"/>
      <c r="E357" s="11" t="n"/>
      <c r="F357" s="9" t="n"/>
      <c r="G357" s="9" t="n"/>
      <c r="H357" s="12">
        <f>IF(A357="","",D357*E357)</f>
        <v/>
      </c>
      <c r="I357" s="12">
        <f>IF(A357="","",IF(Rates!$B$6=1,MIN(H357,Rates!$B$5),H357)*(Rates!$B$4+Rates!$B$13))</f>
        <v/>
      </c>
      <c r="J357" s="12">
        <f>IF(A357="","",IF(D357&lt;=Rates!$B$8,D357*Rates!$B$7,0))</f>
        <v/>
      </c>
      <c r="K357" s="12">
        <f>IF(A357="","",H357*Rates!$B$9)</f>
        <v/>
      </c>
      <c r="L357" s="12">
        <f>IF(A357="","",IF(D357&lt;=Rates!$B$11,H357*Rates!$B$10,0))</f>
        <v/>
      </c>
      <c r="M357" s="12">
        <f>IF(A357="","",Rates!$B$12/12)</f>
        <v/>
      </c>
      <c r="N357" s="12">
        <f>IF(A357="","",D357+I357+J357+K357+L357+M357)</f>
        <v/>
      </c>
      <c r="O357" s="13">
        <f>IF(A357="","",MAX(0,MIN(12,IF(G357="",12,G357))-MAX(1,F357)+1))</f>
        <v/>
      </c>
      <c r="P357" s="12">
        <f>IF(A357="","",N357*O357)</f>
        <v/>
      </c>
      <c r="Q357" s="12">
        <f>IF(A357="","",0.12*IF(Rates!$B$6=1,MIN(H357,Rates!$B$5),H357))</f>
        <v/>
      </c>
      <c r="R357" s="12">
        <f>IF(A357="","",IF(D357&lt;=Rates!$B$8,D357*0.0075,0))</f>
        <v/>
      </c>
    </row>
    <row r="358">
      <c r="A358" s="10" t="n"/>
      <c r="B358" s="10" t="n"/>
      <c r="C358" s="10" t="n"/>
      <c r="D358" s="8" t="n"/>
      <c r="E358" s="11" t="n"/>
      <c r="F358" s="9" t="n"/>
      <c r="G358" s="9" t="n"/>
      <c r="H358" s="12">
        <f>IF(A358="","",D358*E358)</f>
        <v/>
      </c>
      <c r="I358" s="12">
        <f>IF(A358="","",IF(Rates!$B$6=1,MIN(H358,Rates!$B$5),H358)*(Rates!$B$4+Rates!$B$13))</f>
        <v/>
      </c>
      <c r="J358" s="12">
        <f>IF(A358="","",IF(D358&lt;=Rates!$B$8,D358*Rates!$B$7,0))</f>
        <v/>
      </c>
      <c r="K358" s="12">
        <f>IF(A358="","",H358*Rates!$B$9)</f>
        <v/>
      </c>
      <c r="L358" s="12">
        <f>IF(A358="","",IF(D358&lt;=Rates!$B$11,H358*Rates!$B$10,0))</f>
        <v/>
      </c>
      <c r="M358" s="12">
        <f>IF(A358="","",Rates!$B$12/12)</f>
        <v/>
      </c>
      <c r="N358" s="12">
        <f>IF(A358="","",D358+I358+J358+K358+L358+M358)</f>
        <v/>
      </c>
      <c r="O358" s="13">
        <f>IF(A358="","",MAX(0,MIN(12,IF(G358="",12,G358))-MAX(1,F358)+1))</f>
        <v/>
      </c>
      <c r="P358" s="12">
        <f>IF(A358="","",N358*O358)</f>
        <v/>
      </c>
      <c r="Q358" s="12">
        <f>IF(A358="","",0.12*IF(Rates!$B$6=1,MIN(H358,Rates!$B$5),H358))</f>
        <v/>
      </c>
      <c r="R358" s="12">
        <f>IF(A358="","",IF(D358&lt;=Rates!$B$8,D358*0.0075,0))</f>
        <v/>
      </c>
    </row>
    <row r="359">
      <c r="A359" s="10" t="n"/>
      <c r="B359" s="10" t="n"/>
      <c r="C359" s="10" t="n"/>
      <c r="D359" s="8" t="n"/>
      <c r="E359" s="11" t="n"/>
      <c r="F359" s="9" t="n"/>
      <c r="G359" s="9" t="n"/>
      <c r="H359" s="12">
        <f>IF(A359="","",D359*E359)</f>
        <v/>
      </c>
      <c r="I359" s="12">
        <f>IF(A359="","",IF(Rates!$B$6=1,MIN(H359,Rates!$B$5),H359)*(Rates!$B$4+Rates!$B$13))</f>
        <v/>
      </c>
      <c r="J359" s="12">
        <f>IF(A359="","",IF(D359&lt;=Rates!$B$8,D359*Rates!$B$7,0))</f>
        <v/>
      </c>
      <c r="K359" s="12">
        <f>IF(A359="","",H359*Rates!$B$9)</f>
        <v/>
      </c>
      <c r="L359" s="12">
        <f>IF(A359="","",IF(D359&lt;=Rates!$B$11,H359*Rates!$B$10,0))</f>
        <v/>
      </c>
      <c r="M359" s="12">
        <f>IF(A359="","",Rates!$B$12/12)</f>
        <v/>
      </c>
      <c r="N359" s="12">
        <f>IF(A359="","",D359+I359+J359+K359+L359+M359)</f>
        <v/>
      </c>
      <c r="O359" s="13">
        <f>IF(A359="","",MAX(0,MIN(12,IF(G359="",12,G359))-MAX(1,F359)+1))</f>
        <v/>
      </c>
      <c r="P359" s="12">
        <f>IF(A359="","",N359*O359)</f>
        <v/>
      </c>
      <c r="Q359" s="12">
        <f>IF(A359="","",0.12*IF(Rates!$B$6=1,MIN(H359,Rates!$B$5),H359))</f>
        <v/>
      </c>
      <c r="R359" s="12">
        <f>IF(A359="","",IF(D359&lt;=Rates!$B$8,D359*0.0075,0))</f>
        <v/>
      </c>
    </row>
    <row r="360">
      <c r="A360" s="10" t="n"/>
      <c r="B360" s="10" t="n"/>
      <c r="C360" s="10" t="n"/>
      <c r="D360" s="8" t="n"/>
      <c r="E360" s="11" t="n"/>
      <c r="F360" s="9" t="n"/>
      <c r="G360" s="9" t="n"/>
      <c r="H360" s="12">
        <f>IF(A360="","",D360*E360)</f>
        <v/>
      </c>
      <c r="I360" s="12">
        <f>IF(A360="","",IF(Rates!$B$6=1,MIN(H360,Rates!$B$5),H360)*(Rates!$B$4+Rates!$B$13))</f>
        <v/>
      </c>
      <c r="J360" s="12">
        <f>IF(A360="","",IF(D360&lt;=Rates!$B$8,D360*Rates!$B$7,0))</f>
        <v/>
      </c>
      <c r="K360" s="12">
        <f>IF(A360="","",H360*Rates!$B$9)</f>
        <v/>
      </c>
      <c r="L360" s="12">
        <f>IF(A360="","",IF(D360&lt;=Rates!$B$11,H360*Rates!$B$10,0))</f>
        <v/>
      </c>
      <c r="M360" s="12">
        <f>IF(A360="","",Rates!$B$12/12)</f>
        <v/>
      </c>
      <c r="N360" s="12">
        <f>IF(A360="","",D360+I360+J360+K360+L360+M360)</f>
        <v/>
      </c>
      <c r="O360" s="13">
        <f>IF(A360="","",MAX(0,MIN(12,IF(G360="",12,G360))-MAX(1,F360)+1))</f>
        <v/>
      </c>
      <c r="P360" s="12">
        <f>IF(A360="","",N360*O360)</f>
        <v/>
      </c>
      <c r="Q360" s="12">
        <f>IF(A360="","",0.12*IF(Rates!$B$6=1,MIN(H360,Rates!$B$5),H360))</f>
        <v/>
      </c>
      <c r="R360" s="12">
        <f>IF(A360="","",IF(D360&lt;=Rates!$B$8,D360*0.0075,0))</f>
        <v/>
      </c>
    </row>
    <row r="361">
      <c r="A361" s="10" t="n"/>
      <c r="B361" s="10" t="n"/>
      <c r="C361" s="10" t="n"/>
      <c r="D361" s="8" t="n"/>
      <c r="E361" s="11" t="n"/>
      <c r="F361" s="9" t="n"/>
      <c r="G361" s="9" t="n"/>
      <c r="H361" s="12">
        <f>IF(A361="","",D361*E361)</f>
        <v/>
      </c>
      <c r="I361" s="12">
        <f>IF(A361="","",IF(Rates!$B$6=1,MIN(H361,Rates!$B$5),H361)*(Rates!$B$4+Rates!$B$13))</f>
        <v/>
      </c>
      <c r="J361" s="12">
        <f>IF(A361="","",IF(D361&lt;=Rates!$B$8,D361*Rates!$B$7,0))</f>
        <v/>
      </c>
      <c r="K361" s="12">
        <f>IF(A361="","",H361*Rates!$B$9)</f>
        <v/>
      </c>
      <c r="L361" s="12">
        <f>IF(A361="","",IF(D361&lt;=Rates!$B$11,H361*Rates!$B$10,0))</f>
        <v/>
      </c>
      <c r="M361" s="12">
        <f>IF(A361="","",Rates!$B$12/12)</f>
        <v/>
      </c>
      <c r="N361" s="12">
        <f>IF(A361="","",D361+I361+J361+K361+L361+M361)</f>
        <v/>
      </c>
      <c r="O361" s="13">
        <f>IF(A361="","",MAX(0,MIN(12,IF(G361="",12,G361))-MAX(1,F361)+1))</f>
        <v/>
      </c>
      <c r="P361" s="12">
        <f>IF(A361="","",N361*O361)</f>
        <v/>
      </c>
      <c r="Q361" s="12">
        <f>IF(A361="","",0.12*IF(Rates!$B$6=1,MIN(H361,Rates!$B$5),H361))</f>
        <v/>
      </c>
      <c r="R361" s="12">
        <f>IF(A361="","",IF(D361&lt;=Rates!$B$8,D361*0.0075,0))</f>
        <v/>
      </c>
    </row>
    <row r="362">
      <c r="A362" s="10" t="n"/>
      <c r="B362" s="10" t="n"/>
      <c r="C362" s="10" t="n"/>
      <c r="D362" s="8" t="n"/>
      <c r="E362" s="11" t="n"/>
      <c r="F362" s="9" t="n"/>
      <c r="G362" s="9" t="n"/>
      <c r="H362" s="12">
        <f>IF(A362="","",D362*E362)</f>
        <v/>
      </c>
      <c r="I362" s="12">
        <f>IF(A362="","",IF(Rates!$B$6=1,MIN(H362,Rates!$B$5),H362)*(Rates!$B$4+Rates!$B$13))</f>
        <v/>
      </c>
      <c r="J362" s="12">
        <f>IF(A362="","",IF(D362&lt;=Rates!$B$8,D362*Rates!$B$7,0))</f>
        <v/>
      </c>
      <c r="K362" s="12">
        <f>IF(A362="","",H362*Rates!$B$9)</f>
        <v/>
      </c>
      <c r="L362" s="12">
        <f>IF(A362="","",IF(D362&lt;=Rates!$B$11,H362*Rates!$B$10,0))</f>
        <v/>
      </c>
      <c r="M362" s="12">
        <f>IF(A362="","",Rates!$B$12/12)</f>
        <v/>
      </c>
      <c r="N362" s="12">
        <f>IF(A362="","",D362+I362+J362+K362+L362+M362)</f>
        <v/>
      </c>
      <c r="O362" s="13">
        <f>IF(A362="","",MAX(0,MIN(12,IF(G362="",12,G362))-MAX(1,F362)+1))</f>
        <v/>
      </c>
      <c r="P362" s="12">
        <f>IF(A362="","",N362*O362)</f>
        <v/>
      </c>
      <c r="Q362" s="12">
        <f>IF(A362="","",0.12*IF(Rates!$B$6=1,MIN(H362,Rates!$B$5),H362))</f>
        <v/>
      </c>
      <c r="R362" s="12">
        <f>IF(A362="","",IF(D362&lt;=Rates!$B$8,D362*0.0075,0))</f>
        <v/>
      </c>
    </row>
    <row r="363">
      <c r="A363" s="10" t="n"/>
      <c r="B363" s="10" t="n"/>
      <c r="C363" s="10" t="n"/>
      <c r="D363" s="8" t="n"/>
      <c r="E363" s="11" t="n"/>
      <c r="F363" s="9" t="n"/>
      <c r="G363" s="9" t="n"/>
      <c r="H363" s="12">
        <f>IF(A363="","",D363*E363)</f>
        <v/>
      </c>
      <c r="I363" s="12">
        <f>IF(A363="","",IF(Rates!$B$6=1,MIN(H363,Rates!$B$5),H363)*(Rates!$B$4+Rates!$B$13))</f>
        <v/>
      </c>
      <c r="J363" s="12">
        <f>IF(A363="","",IF(D363&lt;=Rates!$B$8,D363*Rates!$B$7,0))</f>
        <v/>
      </c>
      <c r="K363" s="12">
        <f>IF(A363="","",H363*Rates!$B$9)</f>
        <v/>
      </c>
      <c r="L363" s="12">
        <f>IF(A363="","",IF(D363&lt;=Rates!$B$11,H363*Rates!$B$10,0))</f>
        <v/>
      </c>
      <c r="M363" s="12">
        <f>IF(A363="","",Rates!$B$12/12)</f>
        <v/>
      </c>
      <c r="N363" s="12">
        <f>IF(A363="","",D363+I363+J363+K363+L363+M363)</f>
        <v/>
      </c>
      <c r="O363" s="13">
        <f>IF(A363="","",MAX(0,MIN(12,IF(G363="",12,G363))-MAX(1,F363)+1))</f>
        <v/>
      </c>
      <c r="P363" s="12">
        <f>IF(A363="","",N363*O363)</f>
        <v/>
      </c>
      <c r="Q363" s="12">
        <f>IF(A363="","",0.12*IF(Rates!$B$6=1,MIN(H363,Rates!$B$5),H363))</f>
        <v/>
      </c>
      <c r="R363" s="12">
        <f>IF(A363="","",IF(D363&lt;=Rates!$B$8,D363*0.0075,0))</f>
        <v/>
      </c>
    </row>
    <row r="364">
      <c r="A364" s="10" t="n"/>
      <c r="B364" s="10" t="n"/>
      <c r="C364" s="10" t="n"/>
      <c r="D364" s="8" t="n"/>
      <c r="E364" s="11" t="n"/>
      <c r="F364" s="9" t="n"/>
      <c r="G364" s="9" t="n"/>
      <c r="H364" s="12">
        <f>IF(A364="","",D364*E364)</f>
        <v/>
      </c>
      <c r="I364" s="12">
        <f>IF(A364="","",IF(Rates!$B$6=1,MIN(H364,Rates!$B$5),H364)*(Rates!$B$4+Rates!$B$13))</f>
        <v/>
      </c>
      <c r="J364" s="12">
        <f>IF(A364="","",IF(D364&lt;=Rates!$B$8,D364*Rates!$B$7,0))</f>
        <v/>
      </c>
      <c r="K364" s="12">
        <f>IF(A364="","",H364*Rates!$B$9)</f>
        <v/>
      </c>
      <c r="L364" s="12">
        <f>IF(A364="","",IF(D364&lt;=Rates!$B$11,H364*Rates!$B$10,0))</f>
        <v/>
      </c>
      <c r="M364" s="12">
        <f>IF(A364="","",Rates!$B$12/12)</f>
        <v/>
      </c>
      <c r="N364" s="12">
        <f>IF(A364="","",D364+I364+J364+K364+L364+M364)</f>
        <v/>
      </c>
      <c r="O364" s="13">
        <f>IF(A364="","",MAX(0,MIN(12,IF(G364="",12,G364))-MAX(1,F364)+1))</f>
        <v/>
      </c>
      <c r="P364" s="12">
        <f>IF(A364="","",N364*O364)</f>
        <v/>
      </c>
      <c r="Q364" s="12">
        <f>IF(A364="","",0.12*IF(Rates!$B$6=1,MIN(H364,Rates!$B$5),H364))</f>
        <v/>
      </c>
      <c r="R364" s="12">
        <f>IF(A364="","",IF(D364&lt;=Rates!$B$8,D364*0.0075,0))</f>
        <v/>
      </c>
    </row>
    <row r="365">
      <c r="A365" s="10" t="n"/>
      <c r="B365" s="10" t="n"/>
      <c r="C365" s="10" t="n"/>
      <c r="D365" s="8" t="n"/>
      <c r="E365" s="11" t="n"/>
      <c r="F365" s="9" t="n"/>
      <c r="G365" s="9" t="n"/>
      <c r="H365" s="12">
        <f>IF(A365="","",D365*E365)</f>
        <v/>
      </c>
      <c r="I365" s="12">
        <f>IF(A365="","",IF(Rates!$B$6=1,MIN(H365,Rates!$B$5),H365)*(Rates!$B$4+Rates!$B$13))</f>
        <v/>
      </c>
      <c r="J365" s="12">
        <f>IF(A365="","",IF(D365&lt;=Rates!$B$8,D365*Rates!$B$7,0))</f>
        <v/>
      </c>
      <c r="K365" s="12">
        <f>IF(A365="","",H365*Rates!$B$9)</f>
        <v/>
      </c>
      <c r="L365" s="12">
        <f>IF(A365="","",IF(D365&lt;=Rates!$B$11,H365*Rates!$B$10,0))</f>
        <v/>
      </c>
      <c r="M365" s="12">
        <f>IF(A365="","",Rates!$B$12/12)</f>
        <v/>
      </c>
      <c r="N365" s="12">
        <f>IF(A365="","",D365+I365+J365+K365+L365+M365)</f>
        <v/>
      </c>
      <c r="O365" s="13">
        <f>IF(A365="","",MAX(0,MIN(12,IF(G365="",12,G365))-MAX(1,F365)+1))</f>
        <v/>
      </c>
      <c r="P365" s="12">
        <f>IF(A365="","",N365*O365)</f>
        <v/>
      </c>
      <c r="Q365" s="12">
        <f>IF(A365="","",0.12*IF(Rates!$B$6=1,MIN(H365,Rates!$B$5),H365))</f>
        <v/>
      </c>
      <c r="R365" s="12">
        <f>IF(A365="","",IF(D365&lt;=Rates!$B$8,D365*0.0075,0))</f>
        <v/>
      </c>
    </row>
    <row r="366">
      <c r="A366" s="10" t="n"/>
      <c r="B366" s="10" t="n"/>
      <c r="C366" s="10" t="n"/>
      <c r="D366" s="8" t="n"/>
      <c r="E366" s="11" t="n"/>
      <c r="F366" s="9" t="n"/>
      <c r="G366" s="9" t="n"/>
      <c r="H366" s="12">
        <f>IF(A366="","",D366*E366)</f>
        <v/>
      </c>
      <c r="I366" s="12">
        <f>IF(A366="","",IF(Rates!$B$6=1,MIN(H366,Rates!$B$5),H366)*(Rates!$B$4+Rates!$B$13))</f>
        <v/>
      </c>
      <c r="J366" s="12">
        <f>IF(A366="","",IF(D366&lt;=Rates!$B$8,D366*Rates!$B$7,0))</f>
        <v/>
      </c>
      <c r="K366" s="12">
        <f>IF(A366="","",H366*Rates!$B$9)</f>
        <v/>
      </c>
      <c r="L366" s="12">
        <f>IF(A366="","",IF(D366&lt;=Rates!$B$11,H366*Rates!$B$10,0))</f>
        <v/>
      </c>
      <c r="M366" s="12">
        <f>IF(A366="","",Rates!$B$12/12)</f>
        <v/>
      </c>
      <c r="N366" s="12">
        <f>IF(A366="","",D366+I366+J366+K366+L366+M366)</f>
        <v/>
      </c>
      <c r="O366" s="13">
        <f>IF(A366="","",MAX(0,MIN(12,IF(G366="",12,G366))-MAX(1,F366)+1))</f>
        <v/>
      </c>
      <c r="P366" s="12">
        <f>IF(A366="","",N366*O366)</f>
        <v/>
      </c>
      <c r="Q366" s="12">
        <f>IF(A366="","",0.12*IF(Rates!$B$6=1,MIN(H366,Rates!$B$5),H366))</f>
        <v/>
      </c>
      <c r="R366" s="12">
        <f>IF(A366="","",IF(D366&lt;=Rates!$B$8,D366*0.0075,0))</f>
        <v/>
      </c>
    </row>
    <row r="367">
      <c r="A367" s="10" t="n"/>
      <c r="B367" s="10" t="n"/>
      <c r="C367" s="10" t="n"/>
      <c r="D367" s="8" t="n"/>
      <c r="E367" s="11" t="n"/>
      <c r="F367" s="9" t="n"/>
      <c r="G367" s="9" t="n"/>
      <c r="H367" s="12">
        <f>IF(A367="","",D367*E367)</f>
        <v/>
      </c>
      <c r="I367" s="12">
        <f>IF(A367="","",IF(Rates!$B$6=1,MIN(H367,Rates!$B$5),H367)*(Rates!$B$4+Rates!$B$13))</f>
        <v/>
      </c>
      <c r="J367" s="12">
        <f>IF(A367="","",IF(D367&lt;=Rates!$B$8,D367*Rates!$B$7,0))</f>
        <v/>
      </c>
      <c r="K367" s="12">
        <f>IF(A367="","",H367*Rates!$B$9)</f>
        <v/>
      </c>
      <c r="L367" s="12">
        <f>IF(A367="","",IF(D367&lt;=Rates!$B$11,H367*Rates!$B$10,0))</f>
        <v/>
      </c>
      <c r="M367" s="12">
        <f>IF(A367="","",Rates!$B$12/12)</f>
        <v/>
      </c>
      <c r="N367" s="12">
        <f>IF(A367="","",D367+I367+J367+K367+L367+M367)</f>
        <v/>
      </c>
      <c r="O367" s="13">
        <f>IF(A367="","",MAX(0,MIN(12,IF(G367="",12,G367))-MAX(1,F367)+1))</f>
        <v/>
      </c>
      <c r="P367" s="12">
        <f>IF(A367="","",N367*O367)</f>
        <v/>
      </c>
      <c r="Q367" s="12">
        <f>IF(A367="","",0.12*IF(Rates!$B$6=1,MIN(H367,Rates!$B$5),H367))</f>
        <v/>
      </c>
      <c r="R367" s="12">
        <f>IF(A367="","",IF(D367&lt;=Rates!$B$8,D367*0.0075,0))</f>
        <v/>
      </c>
    </row>
    <row r="368">
      <c r="A368" s="10" t="n"/>
      <c r="B368" s="10" t="n"/>
      <c r="C368" s="10" t="n"/>
      <c r="D368" s="8" t="n"/>
      <c r="E368" s="11" t="n"/>
      <c r="F368" s="9" t="n"/>
      <c r="G368" s="9" t="n"/>
      <c r="H368" s="12">
        <f>IF(A368="","",D368*E368)</f>
        <v/>
      </c>
      <c r="I368" s="12">
        <f>IF(A368="","",IF(Rates!$B$6=1,MIN(H368,Rates!$B$5),H368)*(Rates!$B$4+Rates!$B$13))</f>
        <v/>
      </c>
      <c r="J368" s="12">
        <f>IF(A368="","",IF(D368&lt;=Rates!$B$8,D368*Rates!$B$7,0))</f>
        <v/>
      </c>
      <c r="K368" s="12">
        <f>IF(A368="","",H368*Rates!$B$9)</f>
        <v/>
      </c>
      <c r="L368" s="12">
        <f>IF(A368="","",IF(D368&lt;=Rates!$B$11,H368*Rates!$B$10,0))</f>
        <v/>
      </c>
      <c r="M368" s="12">
        <f>IF(A368="","",Rates!$B$12/12)</f>
        <v/>
      </c>
      <c r="N368" s="12">
        <f>IF(A368="","",D368+I368+J368+K368+L368+M368)</f>
        <v/>
      </c>
      <c r="O368" s="13">
        <f>IF(A368="","",MAX(0,MIN(12,IF(G368="",12,G368))-MAX(1,F368)+1))</f>
        <v/>
      </c>
      <c r="P368" s="12">
        <f>IF(A368="","",N368*O368)</f>
        <v/>
      </c>
      <c r="Q368" s="12">
        <f>IF(A368="","",0.12*IF(Rates!$B$6=1,MIN(H368,Rates!$B$5),H368))</f>
        <v/>
      </c>
      <c r="R368" s="12">
        <f>IF(A368="","",IF(D368&lt;=Rates!$B$8,D368*0.0075,0))</f>
        <v/>
      </c>
    </row>
    <row r="369">
      <c r="A369" s="10" t="n"/>
      <c r="B369" s="10" t="n"/>
      <c r="C369" s="10" t="n"/>
      <c r="D369" s="8" t="n"/>
      <c r="E369" s="11" t="n"/>
      <c r="F369" s="9" t="n"/>
      <c r="G369" s="9" t="n"/>
      <c r="H369" s="12">
        <f>IF(A369="","",D369*E369)</f>
        <v/>
      </c>
      <c r="I369" s="12">
        <f>IF(A369="","",IF(Rates!$B$6=1,MIN(H369,Rates!$B$5),H369)*(Rates!$B$4+Rates!$B$13))</f>
        <v/>
      </c>
      <c r="J369" s="12">
        <f>IF(A369="","",IF(D369&lt;=Rates!$B$8,D369*Rates!$B$7,0))</f>
        <v/>
      </c>
      <c r="K369" s="12">
        <f>IF(A369="","",H369*Rates!$B$9)</f>
        <v/>
      </c>
      <c r="L369" s="12">
        <f>IF(A369="","",IF(D369&lt;=Rates!$B$11,H369*Rates!$B$10,0))</f>
        <v/>
      </c>
      <c r="M369" s="12">
        <f>IF(A369="","",Rates!$B$12/12)</f>
        <v/>
      </c>
      <c r="N369" s="12">
        <f>IF(A369="","",D369+I369+J369+K369+L369+M369)</f>
        <v/>
      </c>
      <c r="O369" s="13">
        <f>IF(A369="","",MAX(0,MIN(12,IF(G369="",12,G369))-MAX(1,F369)+1))</f>
        <v/>
      </c>
      <c r="P369" s="12">
        <f>IF(A369="","",N369*O369)</f>
        <v/>
      </c>
      <c r="Q369" s="12">
        <f>IF(A369="","",0.12*IF(Rates!$B$6=1,MIN(H369,Rates!$B$5),H369))</f>
        <v/>
      </c>
      <c r="R369" s="12">
        <f>IF(A369="","",IF(D369&lt;=Rates!$B$8,D369*0.0075,0))</f>
        <v/>
      </c>
    </row>
    <row r="370">
      <c r="A370" s="10" t="n"/>
      <c r="B370" s="10" t="n"/>
      <c r="C370" s="10" t="n"/>
      <c r="D370" s="8" t="n"/>
      <c r="E370" s="11" t="n"/>
      <c r="F370" s="9" t="n"/>
      <c r="G370" s="9" t="n"/>
      <c r="H370" s="12">
        <f>IF(A370="","",D370*E370)</f>
        <v/>
      </c>
      <c r="I370" s="12">
        <f>IF(A370="","",IF(Rates!$B$6=1,MIN(H370,Rates!$B$5),H370)*(Rates!$B$4+Rates!$B$13))</f>
        <v/>
      </c>
      <c r="J370" s="12">
        <f>IF(A370="","",IF(D370&lt;=Rates!$B$8,D370*Rates!$B$7,0))</f>
        <v/>
      </c>
      <c r="K370" s="12">
        <f>IF(A370="","",H370*Rates!$B$9)</f>
        <v/>
      </c>
      <c r="L370" s="12">
        <f>IF(A370="","",IF(D370&lt;=Rates!$B$11,H370*Rates!$B$10,0))</f>
        <v/>
      </c>
      <c r="M370" s="12">
        <f>IF(A370="","",Rates!$B$12/12)</f>
        <v/>
      </c>
      <c r="N370" s="12">
        <f>IF(A370="","",D370+I370+J370+K370+L370+M370)</f>
        <v/>
      </c>
      <c r="O370" s="13">
        <f>IF(A370="","",MAX(0,MIN(12,IF(G370="",12,G370))-MAX(1,F370)+1))</f>
        <v/>
      </c>
      <c r="P370" s="12">
        <f>IF(A370="","",N370*O370)</f>
        <v/>
      </c>
      <c r="Q370" s="12">
        <f>IF(A370="","",0.12*IF(Rates!$B$6=1,MIN(H370,Rates!$B$5),H370))</f>
        <v/>
      </c>
      <c r="R370" s="12">
        <f>IF(A370="","",IF(D370&lt;=Rates!$B$8,D370*0.0075,0))</f>
        <v/>
      </c>
    </row>
    <row r="371">
      <c r="A371" s="10" t="n"/>
      <c r="B371" s="10" t="n"/>
      <c r="C371" s="10" t="n"/>
      <c r="D371" s="8" t="n"/>
      <c r="E371" s="11" t="n"/>
      <c r="F371" s="9" t="n"/>
      <c r="G371" s="9" t="n"/>
      <c r="H371" s="12">
        <f>IF(A371="","",D371*E371)</f>
        <v/>
      </c>
      <c r="I371" s="12">
        <f>IF(A371="","",IF(Rates!$B$6=1,MIN(H371,Rates!$B$5),H371)*(Rates!$B$4+Rates!$B$13))</f>
        <v/>
      </c>
      <c r="J371" s="12">
        <f>IF(A371="","",IF(D371&lt;=Rates!$B$8,D371*Rates!$B$7,0))</f>
        <v/>
      </c>
      <c r="K371" s="12">
        <f>IF(A371="","",H371*Rates!$B$9)</f>
        <v/>
      </c>
      <c r="L371" s="12">
        <f>IF(A371="","",IF(D371&lt;=Rates!$B$11,H371*Rates!$B$10,0))</f>
        <v/>
      </c>
      <c r="M371" s="12">
        <f>IF(A371="","",Rates!$B$12/12)</f>
        <v/>
      </c>
      <c r="N371" s="12">
        <f>IF(A371="","",D371+I371+J371+K371+L371+M371)</f>
        <v/>
      </c>
      <c r="O371" s="13">
        <f>IF(A371="","",MAX(0,MIN(12,IF(G371="",12,G371))-MAX(1,F371)+1))</f>
        <v/>
      </c>
      <c r="P371" s="12">
        <f>IF(A371="","",N371*O371)</f>
        <v/>
      </c>
      <c r="Q371" s="12">
        <f>IF(A371="","",0.12*IF(Rates!$B$6=1,MIN(H371,Rates!$B$5),H371))</f>
        <v/>
      </c>
      <c r="R371" s="12">
        <f>IF(A371="","",IF(D371&lt;=Rates!$B$8,D371*0.0075,0))</f>
        <v/>
      </c>
    </row>
    <row r="372">
      <c r="A372" s="10" t="n"/>
      <c r="B372" s="10" t="n"/>
      <c r="C372" s="10" t="n"/>
      <c r="D372" s="8" t="n"/>
      <c r="E372" s="11" t="n"/>
      <c r="F372" s="9" t="n"/>
      <c r="G372" s="9" t="n"/>
      <c r="H372" s="12">
        <f>IF(A372="","",D372*E372)</f>
        <v/>
      </c>
      <c r="I372" s="12">
        <f>IF(A372="","",IF(Rates!$B$6=1,MIN(H372,Rates!$B$5),H372)*(Rates!$B$4+Rates!$B$13))</f>
        <v/>
      </c>
      <c r="J372" s="12">
        <f>IF(A372="","",IF(D372&lt;=Rates!$B$8,D372*Rates!$B$7,0))</f>
        <v/>
      </c>
      <c r="K372" s="12">
        <f>IF(A372="","",H372*Rates!$B$9)</f>
        <v/>
      </c>
      <c r="L372" s="12">
        <f>IF(A372="","",IF(D372&lt;=Rates!$B$11,H372*Rates!$B$10,0))</f>
        <v/>
      </c>
      <c r="M372" s="12">
        <f>IF(A372="","",Rates!$B$12/12)</f>
        <v/>
      </c>
      <c r="N372" s="12">
        <f>IF(A372="","",D372+I372+J372+K372+L372+M372)</f>
        <v/>
      </c>
      <c r="O372" s="13">
        <f>IF(A372="","",MAX(0,MIN(12,IF(G372="",12,G372))-MAX(1,F372)+1))</f>
        <v/>
      </c>
      <c r="P372" s="12">
        <f>IF(A372="","",N372*O372)</f>
        <v/>
      </c>
      <c r="Q372" s="12">
        <f>IF(A372="","",0.12*IF(Rates!$B$6=1,MIN(H372,Rates!$B$5),H372))</f>
        <v/>
      </c>
      <c r="R372" s="12">
        <f>IF(A372="","",IF(D372&lt;=Rates!$B$8,D372*0.0075,0))</f>
        <v/>
      </c>
    </row>
    <row r="373">
      <c r="A373" s="10" t="n"/>
      <c r="B373" s="10" t="n"/>
      <c r="C373" s="10" t="n"/>
      <c r="D373" s="8" t="n"/>
      <c r="E373" s="11" t="n"/>
      <c r="F373" s="9" t="n"/>
      <c r="G373" s="9" t="n"/>
      <c r="H373" s="12">
        <f>IF(A373="","",D373*E373)</f>
        <v/>
      </c>
      <c r="I373" s="12">
        <f>IF(A373="","",IF(Rates!$B$6=1,MIN(H373,Rates!$B$5),H373)*(Rates!$B$4+Rates!$B$13))</f>
        <v/>
      </c>
      <c r="J373" s="12">
        <f>IF(A373="","",IF(D373&lt;=Rates!$B$8,D373*Rates!$B$7,0))</f>
        <v/>
      </c>
      <c r="K373" s="12">
        <f>IF(A373="","",H373*Rates!$B$9)</f>
        <v/>
      </c>
      <c r="L373" s="12">
        <f>IF(A373="","",IF(D373&lt;=Rates!$B$11,H373*Rates!$B$10,0))</f>
        <v/>
      </c>
      <c r="M373" s="12">
        <f>IF(A373="","",Rates!$B$12/12)</f>
        <v/>
      </c>
      <c r="N373" s="12">
        <f>IF(A373="","",D373+I373+J373+K373+L373+M373)</f>
        <v/>
      </c>
      <c r="O373" s="13">
        <f>IF(A373="","",MAX(0,MIN(12,IF(G373="",12,G373))-MAX(1,F373)+1))</f>
        <v/>
      </c>
      <c r="P373" s="12">
        <f>IF(A373="","",N373*O373)</f>
        <v/>
      </c>
      <c r="Q373" s="12">
        <f>IF(A373="","",0.12*IF(Rates!$B$6=1,MIN(H373,Rates!$B$5),H373))</f>
        <v/>
      </c>
      <c r="R373" s="12">
        <f>IF(A373="","",IF(D373&lt;=Rates!$B$8,D373*0.0075,0))</f>
        <v/>
      </c>
    </row>
    <row r="374">
      <c r="A374" s="10" t="n"/>
      <c r="B374" s="10" t="n"/>
      <c r="C374" s="10" t="n"/>
      <c r="D374" s="8" t="n"/>
      <c r="E374" s="11" t="n"/>
      <c r="F374" s="9" t="n"/>
      <c r="G374" s="9" t="n"/>
      <c r="H374" s="12">
        <f>IF(A374="","",D374*E374)</f>
        <v/>
      </c>
      <c r="I374" s="12">
        <f>IF(A374="","",IF(Rates!$B$6=1,MIN(H374,Rates!$B$5),H374)*(Rates!$B$4+Rates!$B$13))</f>
        <v/>
      </c>
      <c r="J374" s="12">
        <f>IF(A374="","",IF(D374&lt;=Rates!$B$8,D374*Rates!$B$7,0))</f>
        <v/>
      </c>
      <c r="K374" s="12">
        <f>IF(A374="","",H374*Rates!$B$9)</f>
        <v/>
      </c>
      <c r="L374" s="12">
        <f>IF(A374="","",IF(D374&lt;=Rates!$B$11,H374*Rates!$B$10,0))</f>
        <v/>
      </c>
      <c r="M374" s="12">
        <f>IF(A374="","",Rates!$B$12/12)</f>
        <v/>
      </c>
      <c r="N374" s="12">
        <f>IF(A374="","",D374+I374+J374+K374+L374+M374)</f>
        <v/>
      </c>
      <c r="O374" s="13">
        <f>IF(A374="","",MAX(0,MIN(12,IF(G374="",12,G374))-MAX(1,F374)+1))</f>
        <v/>
      </c>
      <c r="P374" s="12">
        <f>IF(A374="","",N374*O374)</f>
        <v/>
      </c>
      <c r="Q374" s="12">
        <f>IF(A374="","",0.12*IF(Rates!$B$6=1,MIN(H374,Rates!$B$5),H374))</f>
        <v/>
      </c>
      <c r="R374" s="12">
        <f>IF(A374="","",IF(D374&lt;=Rates!$B$8,D374*0.0075,0))</f>
        <v/>
      </c>
    </row>
    <row r="375">
      <c r="A375" s="10" t="n"/>
      <c r="B375" s="10" t="n"/>
      <c r="C375" s="10" t="n"/>
      <c r="D375" s="8" t="n"/>
      <c r="E375" s="11" t="n"/>
      <c r="F375" s="9" t="n"/>
      <c r="G375" s="9" t="n"/>
      <c r="H375" s="12">
        <f>IF(A375="","",D375*E375)</f>
        <v/>
      </c>
      <c r="I375" s="12">
        <f>IF(A375="","",IF(Rates!$B$6=1,MIN(H375,Rates!$B$5),H375)*(Rates!$B$4+Rates!$B$13))</f>
        <v/>
      </c>
      <c r="J375" s="12">
        <f>IF(A375="","",IF(D375&lt;=Rates!$B$8,D375*Rates!$B$7,0))</f>
        <v/>
      </c>
      <c r="K375" s="12">
        <f>IF(A375="","",H375*Rates!$B$9)</f>
        <v/>
      </c>
      <c r="L375" s="12">
        <f>IF(A375="","",IF(D375&lt;=Rates!$B$11,H375*Rates!$B$10,0))</f>
        <v/>
      </c>
      <c r="M375" s="12">
        <f>IF(A375="","",Rates!$B$12/12)</f>
        <v/>
      </c>
      <c r="N375" s="12">
        <f>IF(A375="","",D375+I375+J375+K375+L375+M375)</f>
        <v/>
      </c>
      <c r="O375" s="13">
        <f>IF(A375="","",MAX(0,MIN(12,IF(G375="",12,G375))-MAX(1,F375)+1))</f>
        <v/>
      </c>
      <c r="P375" s="12">
        <f>IF(A375="","",N375*O375)</f>
        <v/>
      </c>
      <c r="Q375" s="12">
        <f>IF(A375="","",0.12*IF(Rates!$B$6=1,MIN(H375,Rates!$B$5),H375))</f>
        <v/>
      </c>
      <c r="R375" s="12">
        <f>IF(A375="","",IF(D375&lt;=Rates!$B$8,D375*0.0075,0))</f>
        <v/>
      </c>
    </row>
    <row r="376">
      <c r="A376" s="10" t="n"/>
      <c r="B376" s="10" t="n"/>
      <c r="C376" s="10" t="n"/>
      <c r="D376" s="8" t="n"/>
      <c r="E376" s="11" t="n"/>
      <c r="F376" s="9" t="n"/>
      <c r="G376" s="9" t="n"/>
      <c r="H376" s="12">
        <f>IF(A376="","",D376*E376)</f>
        <v/>
      </c>
      <c r="I376" s="12">
        <f>IF(A376="","",IF(Rates!$B$6=1,MIN(H376,Rates!$B$5),H376)*(Rates!$B$4+Rates!$B$13))</f>
        <v/>
      </c>
      <c r="J376" s="12">
        <f>IF(A376="","",IF(D376&lt;=Rates!$B$8,D376*Rates!$B$7,0))</f>
        <v/>
      </c>
      <c r="K376" s="12">
        <f>IF(A376="","",H376*Rates!$B$9)</f>
        <v/>
      </c>
      <c r="L376" s="12">
        <f>IF(A376="","",IF(D376&lt;=Rates!$B$11,H376*Rates!$B$10,0))</f>
        <v/>
      </c>
      <c r="M376" s="12">
        <f>IF(A376="","",Rates!$B$12/12)</f>
        <v/>
      </c>
      <c r="N376" s="12">
        <f>IF(A376="","",D376+I376+J376+K376+L376+M376)</f>
        <v/>
      </c>
      <c r="O376" s="13">
        <f>IF(A376="","",MAX(0,MIN(12,IF(G376="",12,G376))-MAX(1,F376)+1))</f>
        <v/>
      </c>
      <c r="P376" s="12">
        <f>IF(A376="","",N376*O376)</f>
        <v/>
      </c>
      <c r="Q376" s="12">
        <f>IF(A376="","",0.12*IF(Rates!$B$6=1,MIN(H376,Rates!$B$5),H376))</f>
        <v/>
      </c>
      <c r="R376" s="12">
        <f>IF(A376="","",IF(D376&lt;=Rates!$B$8,D376*0.0075,0))</f>
        <v/>
      </c>
    </row>
    <row r="377">
      <c r="A377" s="10" t="n"/>
      <c r="B377" s="10" t="n"/>
      <c r="C377" s="10" t="n"/>
      <c r="D377" s="8" t="n"/>
      <c r="E377" s="11" t="n"/>
      <c r="F377" s="9" t="n"/>
      <c r="G377" s="9" t="n"/>
      <c r="H377" s="12">
        <f>IF(A377="","",D377*E377)</f>
        <v/>
      </c>
      <c r="I377" s="12">
        <f>IF(A377="","",IF(Rates!$B$6=1,MIN(H377,Rates!$B$5),H377)*(Rates!$B$4+Rates!$B$13))</f>
        <v/>
      </c>
      <c r="J377" s="12">
        <f>IF(A377="","",IF(D377&lt;=Rates!$B$8,D377*Rates!$B$7,0))</f>
        <v/>
      </c>
      <c r="K377" s="12">
        <f>IF(A377="","",H377*Rates!$B$9)</f>
        <v/>
      </c>
      <c r="L377" s="12">
        <f>IF(A377="","",IF(D377&lt;=Rates!$B$11,H377*Rates!$B$10,0))</f>
        <v/>
      </c>
      <c r="M377" s="12">
        <f>IF(A377="","",Rates!$B$12/12)</f>
        <v/>
      </c>
      <c r="N377" s="12">
        <f>IF(A377="","",D377+I377+J377+K377+L377+M377)</f>
        <v/>
      </c>
      <c r="O377" s="13">
        <f>IF(A377="","",MAX(0,MIN(12,IF(G377="",12,G377))-MAX(1,F377)+1))</f>
        <v/>
      </c>
      <c r="P377" s="12">
        <f>IF(A377="","",N377*O377)</f>
        <v/>
      </c>
      <c r="Q377" s="12">
        <f>IF(A377="","",0.12*IF(Rates!$B$6=1,MIN(H377,Rates!$B$5),H377))</f>
        <v/>
      </c>
      <c r="R377" s="12">
        <f>IF(A377="","",IF(D377&lt;=Rates!$B$8,D377*0.0075,0))</f>
        <v/>
      </c>
    </row>
    <row r="378">
      <c r="A378" s="10" t="n"/>
      <c r="B378" s="10" t="n"/>
      <c r="C378" s="10" t="n"/>
      <c r="D378" s="8" t="n"/>
      <c r="E378" s="11" t="n"/>
      <c r="F378" s="9" t="n"/>
      <c r="G378" s="9" t="n"/>
      <c r="H378" s="12">
        <f>IF(A378="","",D378*E378)</f>
        <v/>
      </c>
      <c r="I378" s="12">
        <f>IF(A378="","",IF(Rates!$B$6=1,MIN(H378,Rates!$B$5),H378)*(Rates!$B$4+Rates!$B$13))</f>
        <v/>
      </c>
      <c r="J378" s="12">
        <f>IF(A378="","",IF(D378&lt;=Rates!$B$8,D378*Rates!$B$7,0))</f>
        <v/>
      </c>
      <c r="K378" s="12">
        <f>IF(A378="","",H378*Rates!$B$9)</f>
        <v/>
      </c>
      <c r="L378" s="12">
        <f>IF(A378="","",IF(D378&lt;=Rates!$B$11,H378*Rates!$B$10,0))</f>
        <v/>
      </c>
      <c r="M378" s="12">
        <f>IF(A378="","",Rates!$B$12/12)</f>
        <v/>
      </c>
      <c r="N378" s="12">
        <f>IF(A378="","",D378+I378+J378+K378+L378+M378)</f>
        <v/>
      </c>
      <c r="O378" s="13">
        <f>IF(A378="","",MAX(0,MIN(12,IF(G378="",12,G378))-MAX(1,F378)+1))</f>
        <v/>
      </c>
      <c r="P378" s="12">
        <f>IF(A378="","",N378*O378)</f>
        <v/>
      </c>
      <c r="Q378" s="12">
        <f>IF(A378="","",0.12*IF(Rates!$B$6=1,MIN(H378,Rates!$B$5),H378))</f>
        <v/>
      </c>
      <c r="R378" s="12">
        <f>IF(A378="","",IF(D378&lt;=Rates!$B$8,D378*0.0075,0))</f>
        <v/>
      </c>
    </row>
    <row r="379">
      <c r="A379" s="10" t="n"/>
      <c r="B379" s="10" t="n"/>
      <c r="C379" s="10" t="n"/>
      <c r="D379" s="8" t="n"/>
      <c r="E379" s="11" t="n"/>
      <c r="F379" s="9" t="n"/>
      <c r="G379" s="9" t="n"/>
      <c r="H379" s="12">
        <f>IF(A379="","",D379*E379)</f>
        <v/>
      </c>
      <c r="I379" s="12">
        <f>IF(A379="","",IF(Rates!$B$6=1,MIN(H379,Rates!$B$5),H379)*(Rates!$B$4+Rates!$B$13))</f>
        <v/>
      </c>
      <c r="J379" s="12">
        <f>IF(A379="","",IF(D379&lt;=Rates!$B$8,D379*Rates!$B$7,0))</f>
        <v/>
      </c>
      <c r="K379" s="12">
        <f>IF(A379="","",H379*Rates!$B$9)</f>
        <v/>
      </c>
      <c r="L379" s="12">
        <f>IF(A379="","",IF(D379&lt;=Rates!$B$11,H379*Rates!$B$10,0))</f>
        <v/>
      </c>
      <c r="M379" s="12">
        <f>IF(A379="","",Rates!$B$12/12)</f>
        <v/>
      </c>
      <c r="N379" s="12">
        <f>IF(A379="","",D379+I379+J379+K379+L379+M379)</f>
        <v/>
      </c>
      <c r="O379" s="13">
        <f>IF(A379="","",MAX(0,MIN(12,IF(G379="",12,G379))-MAX(1,F379)+1))</f>
        <v/>
      </c>
      <c r="P379" s="12">
        <f>IF(A379="","",N379*O379)</f>
        <v/>
      </c>
      <c r="Q379" s="12">
        <f>IF(A379="","",0.12*IF(Rates!$B$6=1,MIN(H379,Rates!$B$5),H379))</f>
        <v/>
      </c>
      <c r="R379" s="12">
        <f>IF(A379="","",IF(D379&lt;=Rates!$B$8,D379*0.0075,0))</f>
        <v/>
      </c>
    </row>
    <row r="380">
      <c r="A380" s="10" t="n"/>
      <c r="B380" s="10" t="n"/>
      <c r="C380" s="10" t="n"/>
      <c r="D380" s="8" t="n"/>
      <c r="E380" s="11" t="n"/>
      <c r="F380" s="9" t="n"/>
      <c r="G380" s="9" t="n"/>
      <c r="H380" s="12">
        <f>IF(A380="","",D380*E380)</f>
        <v/>
      </c>
      <c r="I380" s="12">
        <f>IF(A380="","",IF(Rates!$B$6=1,MIN(H380,Rates!$B$5),H380)*(Rates!$B$4+Rates!$B$13))</f>
        <v/>
      </c>
      <c r="J380" s="12">
        <f>IF(A380="","",IF(D380&lt;=Rates!$B$8,D380*Rates!$B$7,0))</f>
        <v/>
      </c>
      <c r="K380" s="12">
        <f>IF(A380="","",H380*Rates!$B$9)</f>
        <v/>
      </c>
      <c r="L380" s="12">
        <f>IF(A380="","",IF(D380&lt;=Rates!$B$11,H380*Rates!$B$10,0))</f>
        <v/>
      </c>
      <c r="M380" s="12">
        <f>IF(A380="","",Rates!$B$12/12)</f>
        <v/>
      </c>
      <c r="N380" s="12">
        <f>IF(A380="","",D380+I380+J380+K380+L380+M380)</f>
        <v/>
      </c>
      <c r="O380" s="13">
        <f>IF(A380="","",MAX(0,MIN(12,IF(G380="",12,G380))-MAX(1,F380)+1))</f>
        <v/>
      </c>
      <c r="P380" s="12">
        <f>IF(A380="","",N380*O380)</f>
        <v/>
      </c>
      <c r="Q380" s="12">
        <f>IF(A380="","",0.12*IF(Rates!$B$6=1,MIN(H380,Rates!$B$5),H380))</f>
        <v/>
      </c>
      <c r="R380" s="12">
        <f>IF(A380="","",IF(D380&lt;=Rates!$B$8,D380*0.0075,0))</f>
        <v/>
      </c>
    </row>
    <row r="381">
      <c r="A381" s="10" t="n"/>
      <c r="B381" s="10" t="n"/>
      <c r="C381" s="10" t="n"/>
      <c r="D381" s="8" t="n"/>
      <c r="E381" s="11" t="n"/>
      <c r="F381" s="9" t="n"/>
      <c r="G381" s="9" t="n"/>
      <c r="H381" s="12">
        <f>IF(A381="","",D381*E381)</f>
        <v/>
      </c>
      <c r="I381" s="12">
        <f>IF(A381="","",IF(Rates!$B$6=1,MIN(H381,Rates!$B$5),H381)*(Rates!$B$4+Rates!$B$13))</f>
        <v/>
      </c>
      <c r="J381" s="12">
        <f>IF(A381="","",IF(D381&lt;=Rates!$B$8,D381*Rates!$B$7,0))</f>
        <v/>
      </c>
      <c r="K381" s="12">
        <f>IF(A381="","",H381*Rates!$B$9)</f>
        <v/>
      </c>
      <c r="L381" s="12">
        <f>IF(A381="","",IF(D381&lt;=Rates!$B$11,H381*Rates!$B$10,0))</f>
        <v/>
      </c>
      <c r="M381" s="12">
        <f>IF(A381="","",Rates!$B$12/12)</f>
        <v/>
      </c>
      <c r="N381" s="12">
        <f>IF(A381="","",D381+I381+J381+K381+L381+M381)</f>
        <v/>
      </c>
      <c r="O381" s="13">
        <f>IF(A381="","",MAX(0,MIN(12,IF(G381="",12,G381))-MAX(1,F381)+1))</f>
        <v/>
      </c>
      <c r="P381" s="12">
        <f>IF(A381="","",N381*O381)</f>
        <v/>
      </c>
      <c r="Q381" s="12">
        <f>IF(A381="","",0.12*IF(Rates!$B$6=1,MIN(H381,Rates!$B$5),H381))</f>
        <v/>
      </c>
      <c r="R381" s="12">
        <f>IF(A381="","",IF(D381&lt;=Rates!$B$8,D381*0.0075,0))</f>
        <v/>
      </c>
    </row>
    <row r="382">
      <c r="A382" s="10" t="n"/>
      <c r="B382" s="10" t="n"/>
      <c r="C382" s="10" t="n"/>
      <c r="D382" s="8" t="n"/>
      <c r="E382" s="11" t="n"/>
      <c r="F382" s="9" t="n"/>
      <c r="G382" s="9" t="n"/>
      <c r="H382" s="12">
        <f>IF(A382="","",D382*E382)</f>
        <v/>
      </c>
      <c r="I382" s="12">
        <f>IF(A382="","",IF(Rates!$B$6=1,MIN(H382,Rates!$B$5),H382)*(Rates!$B$4+Rates!$B$13))</f>
        <v/>
      </c>
      <c r="J382" s="12">
        <f>IF(A382="","",IF(D382&lt;=Rates!$B$8,D382*Rates!$B$7,0))</f>
        <v/>
      </c>
      <c r="K382" s="12">
        <f>IF(A382="","",H382*Rates!$B$9)</f>
        <v/>
      </c>
      <c r="L382" s="12">
        <f>IF(A382="","",IF(D382&lt;=Rates!$B$11,H382*Rates!$B$10,0))</f>
        <v/>
      </c>
      <c r="M382" s="12">
        <f>IF(A382="","",Rates!$B$12/12)</f>
        <v/>
      </c>
      <c r="N382" s="12">
        <f>IF(A382="","",D382+I382+J382+K382+L382+M382)</f>
        <v/>
      </c>
      <c r="O382" s="13">
        <f>IF(A382="","",MAX(0,MIN(12,IF(G382="",12,G382))-MAX(1,F382)+1))</f>
        <v/>
      </c>
      <c r="P382" s="12">
        <f>IF(A382="","",N382*O382)</f>
        <v/>
      </c>
      <c r="Q382" s="12">
        <f>IF(A382="","",0.12*IF(Rates!$B$6=1,MIN(H382,Rates!$B$5),H382))</f>
        <v/>
      </c>
      <c r="R382" s="12">
        <f>IF(A382="","",IF(D382&lt;=Rates!$B$8,D382*0.0075,0))</f>
        <v/>
      </c>
    </row>
    <row r="383">
      <c r="A383" s="10" t="n"/>
      <c r="B383" s="10" t="n"/>
      <c r="C383" s="10" t="n"/>
      <c r="D383" s="8" t="n"/>
      <c r="E383" s="11" t="n"/>
      <c r="F383" s="9" t="n"/>
      <c r="G383" s="9" t="n"/>
      <c r="H383" s="12">
        <f>IF(A383="","",D383*E383)</f>
        <v/>
      </c>
      <c r="I383" s="12">
        <f>IF(A383="","",IF(Rates!$B$6=1,MIN(H383,Rates!$B$5),H383)*(Rates!$B$4+Rates!$B$13))</f>
        <v/>
      </c>
      <c r="J383" s="12">
        <f>IF(A383="","",IF(D383&lt;=Rates!$B$8,D383*Rates!$B$7,0))</f>
        <v/>
      </c>
      <c r="K383" s="12">
        <f>IF(A383="","",H383*Rates!$B$9)</f>
        <v/>
      </c>
      <c r="L383" s="12">
        <f>IF(A383="","",IF(D383&lt;=Rates!$B$11,H383*Rates!$B$10,0))</f>
        <v/>
      </c>
      <c r="M383" s="12">
        <f>IF(A383="","",Rates!$B$12/12)</f>
        <v/>
      </c>
      <c r="N383" s="12">
        <f>IF(A383="","",D383+I383+J383+K383+L383+M383)</f>
        <v/>
      </c>
      <c r="O383" s="13">
        <f>IF(A383="","",MAX(0,MIN(12,IF(G383="",12,G383))-MAX(1,F383)+1))</f>
        <v/>
      </c>
      <c r="P383" s="12">
        <f>IF(A383="","",N383*O383)</f>
        <v/>
      </c>
      <c r="Q383" s="12">
        <f>IF(A383="","",0.12*IF(Rates!$B$6=1,MIN(H383,Rates!$B$5),H383))</f>
        <v/>
      </c>
      <c r="R383" s="12">
        <f>IF(A383="","",IF(D383&lt;=Rates!$B$8,D383*0.0075,0))</f>
        <v/>
      </c>
    </row>
    <row r="384">
      <c r="A384" s="10" t="n"/>
      <c r="B384" s="10" t="n"/>
      <c r="C384" s="10" t="n"/>
      <c r="D384" s="8" t="n"/>
      <c r="E384" s="11" t="n"/>
      <c r="F384" s="9" t="n"/>
      <c r="G384" s="9" t="n"/>
      <c r="H384" s="12">
        <f>IF(A384="","",D384*E384)</f>
        <v/>
      </c>
      <c r="I384" s="12">
        <f>IF(A384="","",IF(Rates!$B$6=1,MIN(H384,Rates!$B$5),H384)*(Rates!$B$4+Rates!$B$13))</f>
        <v/>
      </c>
      <c r="J384" s="12">
        <f>IF(A384="","",IF(D384&lt;=Rates!$B$8,D384*Rates!$B$7,0))</f>
        <v/>
      </c>
      <c r="K384" s="12">
        <f>IF(A384="","",H384*Rates!$B$9)</f>
        <v/>
      </c>
      <c r="L384" s="12">
        <f>IF(A384="","",IF(D384&lt;=Rates!$B$11,H384*Rates!$B$10,0))</f>
        <v/>
      </c>
      <c r="M384" s="12">
        <f>IF(A384="","",Rates!$B$12/12)</f>
        <v/>
      </c>
      <c r="N384" s="12">
        <f>IF(A384="","",D384+I384+J384+K384+L384+M384)</f>
        <v/>
      </c>
      <c r="O384" s="13">
        <f>IF(A384="","",MAX(0,MIN(12,IF(G384="",12,G384))-MAX(1,F384)+1))</f>
        <v/>
      </c>
      <c r="P384" s="12">
        <f>IF(A384="","",N384*O384)</f>
        <v/>
      </c>
      <c r="Q384" s="12">
        <f>IF(A384="","",0.12*IF(Rates!$B$6=1,MIN(H384,Rates!$B$5),H384))</f>
        <v/>
      </c>
      <c r="R384" s="12">
        <f>IF(A384="","",IF(D384&lt;=Rates!$B$8,D384*0.0075,0))</f>
        <v/>
      </c>
    </row>
    <row r="385">
      <c r="A385" s="10" t="n"/>
      <c r="B385" s="10" t="n"/>
      <c r="C385" s="10" t="n"/>
      <c r="D385" s="8" t="n"/>
      <c r="E385" s="11" t="n"/>
      <c r="F385" s="9" t="n"/>
      <c r="G385" s="9" t="n"/>
      <c r="H385" s="12">
        <f>IF(A385="","",D385*E385)</f>
        <v/>
      </c>
      <c r="I385" s="12">
        <f>IF(A385="","",IF(Rates!$B$6=1,MIN(H385,Rates!$B$5),H385)*(Rates!$B$4+Rates!$B$13))</f>
        <v/>
      </c>
      <c r="J385" s="12">
        <f>IF(A385="","",IF(D385&lt;=Rates!$B$8,D385*Rates!$B$7,0))</f>
        <v/>
      </c>
      <c r="K385" s="12">
        <f>IF(A385="","",H385*Rates!$B$9)</f>
        <v/>
      </c>
      <c r="L385" s="12">
        <f>IF(A385="","",IF(D385&lt;=Rates!$B$11,H385*Rates!$B$10,0))</f>
        <v/>
      </c>
      <c r="M385" s="12">
        <f>IF(A385="","",Rates!$B$12/12)</f>
        <v/>
      </c>
      <c r="N385" s="12">
        <f>IF(A385="","",D385+I385+J385+K385+L385+M385)</f>
        <v/>
      </c>
      <c r="O385" s="13">
        <f>IF(A385="","",MAX(0,MIN(12,IF(G385="",12,G385))-MAX(1,F385)+1))</f>
        <v/>
      </c>
      <c r="P385" s="12">
        <f>IF(A385="","",N385*O385)</f>
        <v/>
      </c>
      <c r="Q385" s="12">
        <f>IF(A385="","",0.12*IF(Rates!$B$6=1,MIN(H385,Rates!$B$5),H385))</f>
        <v/>
      </c>
      <c r="R385" s="12">
        <f>IF(A385="","",IF(D385&lt;=Rates!$B$8,D385*0.0075,0))</f>
        <v/>
      </c>
    </row>
    <row r="386">
      <c r="A386" s="10" t="n"/>
      <c r="B386" s="10" t="n"/>
      <c r="C386" s="10" t="n"/>
      <c r="D386" s="8" t="n"/>
      <c r="E386" s="11" t="n"/>
      <c r="F386" s="9" t="n"/>
      <c r="G386" s="9" t="n"/>
      <c r="H386" s="12">
        <f>IF(A386="","",D386*E386)</f>
        <v/>
      </c>
      <c r="I386" s="12">
        <f>IF(A386="","",IF(Rates!$B$6=1,MIN(H386,Rates!$B$5),H386)*(Rates!$B$4+Rates!$B$13))</f>
        <v/>
      </c>
      <c r="J386" s="12">
        <f>IF(A386="","",IF(D386&lt;=Rates!$B$8,D386*Rates!$B$7,0))</f>
        <v/>
      </c>
      <c r="K386" s="12">
        <f>IF(A386="","",H386*Rates!$B$9)</f>
        <v/>
      </c>
      <c r="L386" s="12">
        <f>IF(A386="","",IF(D386&lt;=Rates!$B$11,H386*Rates!$B$10,0))</f>
        <v/>
      </c>
      <c r="M386" s="12">
        <f>IF(A386="","",Rates!$B$12/12)</f>
        <v/>
      </c>
      <c r="N386" s="12">
        <f>IF(A386="","",D386+I386+J386+K386+L386+M386)</f>
        <v/>
      </c>
      <c r="O386" s="13">
        <f>IF(A386="","",MAX(0,MIN(12,IF(G386="",12,G386))-MAX(1,F386)+1))</f>
        <v/>
      </c>
      <c r="P386" s="12">
        <f>IF(A386="","",N386*O386)</f>
        <v/>
      </c>
      <c r="Q386" s="12">
        <f>IF(A386="","",0.12*IF(Rates!$B$6=1,MIN(H386,Rates!$B$5),H386))</f>
        <v/>
      </c>
      <c r="R386" s="12">
        <f>IF(A386="","",IF(D386&lt;=Rates!$B$8,D386*0.0075,0))</f>
        <v/>
      </c>
    </row>
    <row r="387">
      <c r="A387" s="10" t="n"/>
      <c r="B387" s="10" t="n"/>
      <c r="C387" s="10" t="n"/>
      <c r="D387" s="8" t="n"/>
      <c r="E387" s="11" t="n"/>
      <c r="F387" s="9" t="n"/>
      <c r="G387" s="9" t="n"/>
      <c r="H387" s="12">
        <f>IF(A387="","",D387*E387)</f>
        <v/>
      </c>
      <c r="I387" s="12">
        <f>IF(A387="","",IF(Rates!$B$6=1,MIN(H387,Rates!$B$5),H387)*(Rates!$B$4+Rates!$B$13))</f>
        <v/>
      </c>
      <c r="J387" s="12">
        <f>IF(A387="","",IF(D387&lt;=Rates!$B$8,D387*Rates!$B$7,0))</f>
        <v/>
      </c>
      <c r="K387" s="12">
        <f>IF(A387="","",H387*Rates!$B$9)</f>
        <v/>
      </c>
      <c r="L387" s="12">
        <f>IF(A387="","",IF(D387&lt;=Rates!$B$11,H387*Rates!$B$10,0))</f>
        <v/>
      </c>
      <c r="M387" s="12">
        <f>IF(A387="","",Rates!$B$12/12)</f>
        <v/>
      </c>
      <c r="N387" s="12">
        <f>IF(A387="","",D387+I387+J387+K387+L387+M387)</f>
        <v/>
      </c>
      <c r="O387" s="13">
        <f>IF(A387="","",MAX(0,MIN(12,IF(G387="",12,G387))-MAX(1,F387)+1))</f>
        <v/>
      </c>
      <c r="P387" s="12">
        <f>IF(A387="","",N387*O387)</f>
        <v/>
      </c>
      <c r="Q387" s="12">
        <f>IF(A387="","",0.12*IF(Rates!$B$6=1,MIN(H387,Rates!$B$5),H387))</f>
        <v/>
      </c>
      <c r="R387" s="12">
        <f>IF(A387="","",IF(D387&lt;=Rates!$B$8,D387*0.0075,0))</f>
        <v/>
      </c>
    </row>
    <row r="388">
      <c r="A388" s="10" t="n"/>
      <c r="B388" s="10" t="n"/>
      <c r="C388" s="10" t="n"/>
      <c r="D388" s="8" t="n"/>
      <c r="E388" s="11" t="n"/>
      <c r="F388" s="9" t="n"/>
      <c r="G388" s="9" t="n"/>
      <c r="H388" s="12">
        <f>IF(A388="","",D388*E388)</f>
        <v/>
      </c>
      <c r="I388" s="12">
        <f>IF(A388="","",IF(Rates!$B$6=1,MIN(H388,Rates!$B$5),H388)*(Rates!$B$4+Rates!$B$13))</f>
        <v/>
      </c>
      <c r="J388" s="12">
        <f>IF(A388="","",IF(D388&lt;=Rates!$B$8,D388*Rates!$B$7,0))</f>
        <v/>
      </c>
      <c r="K388" s="12">
        <f>IF(A388="","",H388*Rates!$B$9)</f>
        <v/>
      </c>
      <c r="L388" s="12">
        <f>IF(A388="","",IF(D388&lt;=Rates!$B$11,H388*Rates!$B$10,0))</f>
        <v/>
      </c>
      <c r="M388" s="12">
        <f>IF(A388="","",Rates!$B$12/12)</f>
        <v/>
      </c>
      <c r="N388" s="12">
        <f>IF(A388="","",D388+I388+J388+K388+L388+M388)</f>
        <v/>
      </c>
      <c r="O388" s="13">
        <f>IF(A388="","",MAX(0,MIN(12,IF(G388="",12,G388))-MAX(1,F388)+1))</f>
        <v/>
      </c>
      <c r="P388" s="12">
        <f>IF(A388="","",N388*O388)</f>
        <v/>
      </c>
      <c r="Q388" s="12">
        <f>IF(A388="","",0.12*IF(Rates!$B$6=1,MIN(H388,Rates!$B$5),H388))</f>
        <v/>
      </c>
      <c r="R388" s="12">
        <f>IF(A388="","",IF(D388&lt;=Rates!$B$8,D388*0.0075,0))</f>
        <v/>
      </c>
    </row>
    <row r="389">
      <c r="A389" s="10" t="n"/>
      <c r="B389" s="10" t="n"/>
      <c r="C389" s="10" t="n"/>
      <c r="D389" s="8" t="n"/>
      <c r="E389" s="11" t="n"/>
      <c r="F389" s="9" t="n"/>
      <c r="G389" s="9" t="n"/>
      <c r="H389" s="12">
        <f>IF(A389="","",D389*E389)</f>
        <v/>
      </c>
      <c r="I389" s="12">
        <f>IF(A389="","",IF(Rates!$B$6=1,MIN(H389,Rates!$B$5),H389)*(Rates!$B$4+Rates!$B$13))</f>
        <v/>
      </c>
      <c r="J389" s="12">
        <f>IF(A389="","",IF(D389&lt;=Rates!$B$8,D389*Rates!$B$7,0))</f>
        <v/>
      </c>
      <c r="K389" s="12">
        <f>IF(A389="","",H389*Rates!$B$9)</f>
        <v/>
      </c>
      <c r="L389" s="12">
        <f>IF(A389="","",IF(D389&lt;=Rates!$B$11,H389*Rates!$B$10,0))</f>
        <v/>
      </c>
      <c r="M389" s="12">
        <f>IF(A389="","",Rates!$B$12/12)</f>
        <v/>
      </c>
      <c r="N389" s="12">
        <f>IF(A389="","",D389+I389+J389+K389+L389+M389)</f>
        <v/>
      </c>
      <c r="O389" s="13">
        <f>IF(A389="","",MAX(0,MIN(12,IF(G389="",12,G389))-MAX(1,F389)+1))</f>
        <v/>
      </c>
      <c r="P389" s="12">
        <f>IF(A389="","",N389*O389)</f>
        <v/>
      </c>
      <c r="Q389" s="12">
        <f>IF(A389="","",0.12*IF(Rates!$B$6=1,MIN(H389,Rates!$B$5),H389))</f>
        <v/>
      </c>
      <c r="R389" s="12">
        <f>IF(A389="","",IF(D389&lt;=Rates!$B$8,D389*0.0075,0))</f>
        <v/>
      </c>
    </row>
    <row r="390">
      <c r="A390" s="10" t="n"/>
      <c r="B390" s="10" t="n"/>
      <c r="C390" s="10" t="n"/>
      <c r="D390" s="8" t="n"/>
      <c r="E390" s="11" t="n"/>
      <c r="F390" s="9" t="n"/>
      <c r="G390" s="9" t="n"/>
      <c r="H390" s="12">
        <f>IF(A390="","",D390*E390)</f>
        <v/>
      </c>
      <c r="I390" s="12">
        <f>IF(A390="","",IF(Rates!$B$6=1,MIN(H390,Rates!$B$5),H390)*(Rates!$B$4+Rates!$B$13))</f>
        <v/>
      </c>
      <c r="J390" s="12">
        <f>IF(A390="","",IF(D390&lt;=Rates!$B$8,D390*Rates!$B$7,0))</f>
        <v/>
      </c>
      <c r="K390" s="12">
        <f>IF(A390="","",H390*Rates!$B$9)</f>
        <v/>
      </c>
      <c r="L390" s="12">
        <f>IF(A390="","",IF(D390&lt;=Rates!$B$11,H390*Rates!$B$10,0))</f>
        <v/>
      </c>
      <c r="M390" s="12">
        <f>IF(A390="","",Rates!$B$12/12)</f>
        <v/>
      </c>
      <c r="N390" s="12">
        <f>IF(A390="","",D390+I390+J390+K390+L390+M390)</f>
        <v/>
      </c>
      <c r="O390" s="13">
        <f>IF(A390="","",MAX(0,MIN(12,IF(G390="",12,G390))-MAX(1,F390)+1))</f>
        <v/>
      </c>
      <c r="P390" s="12">
        <f>IF(A390="","",N390*O390)</f>
        <v/>
      </c>
      <c r="Q390" s="12">
        <f>IF(A390="","",0.12*IF(Rates!$B$6=1,MIN(H390,Rates!$B$5),H390))</f>
        <v/>
      </c>
      <c r="R390" s="12">
        <f>IF(A390="","",IF(D390&lt;=Rates!$B$8,D390*0.0075,0))</f>
        <v/>
      </c>
    </row>
    <row r="391">
      <c r="A391" s="10" t="n"/>
      <c r="B391" s="10" t="n"/>
      <c r="C391" s="10" t="n"/>
      <c r="D391" s="8" t="n"/>
      <c r="E391" s="11" t="n"/>
      <c r="F391" s="9" t="n"/>
      <c r="G391" s="9" t="n"/>
      <c r="H391" s="12">
        <f>IF(A391="","",D391*E391)</f>
        <v/>
      </c>
      <c r="I391" s="12">
        <f>IF(A391="","",IF(Rates!$B$6=1,MIN(H391,Rates!$B$5),H391)*(Rates!$B$4+Rates!$B$13))</f>
        <v/>
      </c>
      <c r="J391" s="12">
        <f>IF(A391="","",IF(D391&lt;=Rates!$B$8,D391*Rates!$B$7,0))</f>
        <v/>
      </c>
      <c r="K391" s="12">
        <f>IF(A391="","",H391*Rates!$B$9)</f>
        <v/>
      </c>
      <c r="L391" s="12">
        <f>IF(A391="","",IF(D391&lt;=Rates!$B$11,H391*Rates!$B$10,0))</f>
        <v/>
      </c>
      <c r="M391" s="12">
        <f>IF(A391="","",Rates!$B$12/12)</f>
        <v/>
      </c>
      <c r="N391" s="12">
        <f>IF(A391="","",D391+I391+J391+K391+L391+M391)</f>
        <v/>
      </c>
      <c r="O391" s="13">
        <f>IF(A391="","",MAX(0,MIN(12,IF(G391="",12,G391))-MAX(1,F391)+1))</f>
        <v/>
      </c>
      <c r="P391" s="12">
        <f>IF(A391="","",N391*O391)</f>
        <v/>
      </c>
      <c r="Q391" s="12">
        <f>IF(A391="","",0.12*IF(Rates!$B$6=1,MIN(H391,Rates!$B$5),H391))</f>
        <v/>
      </c>
      <c r="R391" s="12">
        <f>IF(A391="","",IF(D391&lt;=Rates!$B$8,D391*0.0075,0))</f>
        <v/>
      </c>
    </row>
    <row r="392">
      <c r="A392" s="10" t="n"/>
      <c r="B392" s="10" t="n"/>
      <c r="C392" s="10" t="n"/>
      <c r="D392" s="8" t="n"/>
      <c r="E392" s="11" t="n"/>
      <c r="F392" s="9" t="n"/>
      <c r="G392" s="9" t="n"/>
      <c r="H392" s="12">
        <f>IF(A392="","",D392*E392)</f>
        <v/>
      </c>
      <c r="I392" s="12">
        <f>IF(A392="","",IF(Rates!$B$6=1,MIN(H392,Rates!$B$5),H392)*(Rates!$B$4+Rates!$B$13))</f>
        <v/>
      </c>
      <c r="J392" s="12">
        <f>IF(A392="","",IF(D392&lt;=Rates!$B$8,D392*Rates!$B$7,0))</f>
        <v/>
      </c>
      <c r="K392" s="12">
        <f>IF(A392="","",H392*Rates!$B$9)</f>
        <v/>
      </c>
      <c r="L392" s="12">
        <f>IF(A392="","",IF(D392&lt;=Rates!$B$11,H392*Rates!$B$10,0))</f>
        <v/>
      </c>
      <c r="M392" s="12">
        <f>IF(A392="","",Rates!$B$12/12)</f>
        <v/>
      </c>
      <c r="N392" s="12">
        <f>IF(A392="","",D392+I392+J392+K392+L392+M392)</f>
        <v/>
      </c>
      <c r="O392" s="13">
        <f>IF(A392="","",MAX(0,MIN(12,IF(G392="",12,G392))-MAX(1,F392)+1))</f>
        <v/>
      </c>
      <c r="P392" s="12">
        <f>IF(A392="","",N392*O392)</f>
        <v/>
      </c>
      <c r="Q392" s="12">
        <f>IF(A392="","",0.12*IF(Rates!$B$6=1,MIN(H392,Rates!$B$5),H392))</f>
        <v/>
      </c>
      <c r="R392" s="12">
        <f>IF(A392="","",IF(D392&lt;=Rates!$B$8,D392*0.0075,0))</f>
        <v/>
      </c>
    </row>
    <row r="393">
      <c r="A393" s="10" t="n"/>
      <c r="B393" s="10" t="n"/>
      <c r="C393" s="10" t="n"/>
      <c r="D393" s="8" t="n"/>
      <c r="E393" s="11" t="n"/>
      <c r="F393" s="9" t="n"/>
      <c r="G393" s="9" t="n"/>
      <c r="H393" s="12">
        <f>IF(A393="","",D393*E393)</f>
        <v/>
      </c>
      <c r="I393" s="12">
        <f>IF(A393="","",IF(Rates!$B$6=1,MIN(H393,Rates!$B$5),H393)*(Rates!$B$4+Rates!$B$13))</f>
        <v/>
      </c>
      <c r="J393" s="12">
        <f>IF(A393="","",IF(D393&lt;=Rates!$B$8,D393*Rates!$B$7,0))</f>
        <v/>
      </c>
      <c r="K393" s="12">
        <f>IF(A393="","",H393*Rates!$B$9)</f>
        <v/>
      </c>
      <c r="L393" s="12">
        <f>IF(A393="","",IF(D393&lt;=Rates!$B$11,H393*Rates!$B$10,0))</f>
        <v/>
      </c>
      <c r="M393" s="12">
        <f>IF(A393="","",Rates!$B$12/12)</f>
        <v/>
      </c>
      <c r="N393" s="12">
        <f>IF(A393="","",D393+I393+J393+K393+L393+M393)</f>
        <v/>
      </c>
      <c r="O393" s="13">
        <f>IF(A393="","",MAX(0,MIN(12,IF(G393="",12,G393))-MAX(1,F393)+1))</f>
        <v/>
      </c>
      <c r="P393" s="12">
        <f>IF(A393="","",N393*O393)</f>
        <v/>
      </c>
      <c r="Q393" s="12">
        <f>IF(A393="","",0.12*IF(Rates!$B$6=1,MIN(H393,Rates!$B$5),H393))</f>
        <v/>
      </c>
      <c r="R393" s="12">
        <f>IF(A393="","",IF(D393&lt;=Rates!$B$8,D393*0.0075,0))</f>
        <v/>
      </c>
    </row>
    <row r="394">
      <c r="A394" s="10" t="n"/>
      <c r="B394" s="10" t="n"/>
      <c r="C394" s="10" t="n"/>
      <c r="D394" s="8" t="n"/>
      <c r="E394" s="11" t="n"/>
      <c r="F394" s="9" t="n"/>
      <c r="G394" s="9" t="n"/>
      <c r="H394" s="12">
        <f>IF(A394="","",D394*E394)</f>
        <v/>
      </c>
      <c r="I394" s="12">
        <f>IF(A394="","",IF(Rates!$B$6=1,MIN(H394,Rates!$B$5),H394)*(Rates!$B$4+Rates!$B$13))</f>
        <v/>
      </c>
      <c r="J394" s="12">
        <f>IF(A394="","",IF(D394&lt;=Rates!$B$8,D394*Rates!$B$7,0))</f>
        <v/>
      </c>
      <c r="K394" s="12">
        <f>IF(A394="","",H394*Rates!$B$9)</f>
        <v/>
      </c>
      <c r="L394" s="12">
        <f>IF(A394="","",IF(D394&lt;=Rates!$B$11,H394*Rates!$B$10,0))</f>
        <v/>
      </c>
      <c r="M394" s="12">
        <f>IF(A394="","",Rates!$B$12/12)</f>
        <v/>
      </c>
      <c r="N394" s="12">
        <f>IF(A394="","",D394+I394+J394+K394+L394+M394)</f>
        <v/>
      </c>
      <c r="O394" s="13">
        <f>IF(A394="","",MAX(0,MIN(12,IF(G394="",12,G394))-MAX(1,F394)+1))</f>
        <v/>
      </c>
      <c r="P394" s="12">
        <f>IF(A394="","",N394*O394)</f>
        <v/>
      </c>
      <c r="Q394" s="12">
        <f>IF(A394="","",0.12*IF(Rates!$B$6=1,MIN(H394,Rates!$B$5),H394))</f>
        <v/>
      </c>
      <c r="R394" s="12">
        <f>IF(A394="","",IF(D394&lt;=Rates!$B$8,D394*0.0075,0))</f>
        <v/>
      </c>
    </row>
    <row r="395">
      <c r="A395" s="10" t="n"/>
      <c r="B395" s="10" t="n"/>
      <c r="C395" s="10" t="n"/>
      <c r="D395" s="8" t="n"/>
      <c r="E395" s="11" t="n"/>
      <c r="F395" s="9" t="n"/>
      <c r="G395" s="9" t="n"/>
      <c r="H395" s="12">
        <f>IF(A395="","",D395*E395)</f>
        <v/>
      </c>
      <c r="I395" s="12">
        <f>IF(A395="","",IF(Rates!$B$6=1,MIN(H395,Rates!$B$5),H395)*(Rates!$B$4+Rates!$B$13))</f>
        <v/>
      </c>
      <c r="J395" s="12">
        <f>IF(A395="","",IF(D395&lt;=Rates!$B$8,D395*Rates!$B$7,0))</f>
        <v/>
      </c>
      <c r="K395" s="12">
        <f>IF(A395="","",H395*Rates!$B$9)</f>
        <v/>
      </c>
      <c r="L395" s="12">
        <f>IF(A395="","",IF(D395&lt;=Rates!$B$11,H395*Rates!$B$10,0))</f>
        <v/>
      </c>
      <c r="M395" s="12">
        <f>IF(A395="","",Rates!$B$12/12)</f>
        <v/>
      </c>
      <c r="N395" s="12">
        <f>IF(A395="","",D395+I395+J395+K395+L395+M395)</f>
        <v/>
      </c>
      <c r="O395" s="13">
        <f>IF(A395="","",MAX(0,MIN(12,IF(G395="",12,G395))-MAX(1,F395)+1))</f>
        <v/>
      </c>
      <c r="P395" s="12">
        <f>IF(A395="","",N395*O395)</f>
        <v/>
      </c>
      <c r="Q395" s="12">
        <f>IF(A395="","",0.12*IF(Rates!$B$6=1,MIN(H395,Rates!$B$5),H395))</f>
        <v/>
      </c>
      <c r="R395" s="12">
        <f>IF(A395="","",IF(D395&lt;=Rates!$B$8,D395*0.0075,0))</f>
        <v/>
      </c>
    </row>
    <row r="396">
      <c r="A396" s="10" t="n"/>
      <c r="B396" s="10" t="n"/>
      <c r="C396" s="10" t="n"/>
      <c r="D396" s="8" t="n"/>
      <c r="E396" s="11" t="n"/>
      <c r="F396" s="9" t="n"/>
      <c r="G396" s="9" t="n"/>
      <c r="H396" s="12">
        <f>IF(A396="","",D396*E396)</f>
        <v/>
      </c>
      <c r="I396" s="12">
        <f>IF(A396="","",IF(Rates!$B$6=1,MIN(H396,Rates!$B$5),H396)*(Rates!$B$4+Rates!$B$13))</f>
        <v/>
      </c>
      <c r="J396" s="12">
        <f>IF(A396="","",IF(D396&lt;=Rates!$B$8,D396*Rates!$B$7,0))</f>
        <v/>
      </c>
      <c r="K396" s="12">
        <f>IF(A396="","",H396*Rates!$B$9)</f>
        <v/>
      </c>
      <c r="L396" s="12">
        <f>IF(A396="","",IF(D396&lt;=Rates!$B$11,H396*Rates!$B$10,0))</f>
        <v/>
      </c>
      <c r="M396" s="12">
        <f>IF(A396="","",Rates!$B$12/12)</f>
        <v/>
      </c>
      <c r="N396" s="12">
        <f>IF(A396="","",D396+I396+J396+K396+L396+M396)</f>
        <v/>
      </c>
      <c r="O396" s="13">
        <f>IF(A396="","",MAX(0,MIN(12,IF(G396="",12,G396))-MAX(1,F396)+1))</f>
        <v/>
      </c>
      <c r="P396" s="12">
        <f>IF(A396="","",N396*O396)</f>
        <v/>
      </c>
      <c r="Q396" s="12">
        <f>IF(A396="","",0.12*IF(Rates!$B$6=1,MIN(H396,Rates!$B$5),H396))</f>
        <v/>
      </c>
      <c r="R396" s="12">
        <f>IF(A396="","",IF(D396&lt;=Rates!$B$8,D396*0.0075,0))</f>
        <v/>
      </c>
    </row>
    <row r="397">
      <c r="A397" s="10" t="n"/>
      <c r="B397" s="10" t="n"/>
      <c r="C397" s="10" t="n"/>
      <c r="D397" s="8" t="n"/>
      <c r="E397" s="11" t="n"/>
      <c r="F397" s="9" t="n"/>
      <c r="G397" s="9" t="n"/>
      <c r="H397" s="12">
        <f>IF(A397="","",D397*E397)</f>
        <v/>
      </c>
      <c r="I397" s="12">
        <f>IF(A397="","",IF(Rates!$B$6=1,MIN(H397,Rates!$B$5),H397)*(Rates!$B$4+Rates!$B$13))</f>
        <v/>
      </c>
      <c r="J397" s="12">
        <f>IF(A397="","",IF(D397&lt;=Rates!$B$8,D397*Rates!$B$7,0))</f>
        <v/>
      </c>
      <c r="K397" s="12">
        <f>IF(A397="","",H397*Rates!$B$9)</f>
        <v/>
      </c>
      <c r="L397" s="12">
        <f>IF(A397="","",IF(D397&lt;=Rates!$B$11,H397*Rates!$B$10,0))</f>
        <v/>
      </c>
      <c r="M397" s="12">
        <f>IF(A397="","",Rates!$B$12/12)</f>
        <v/>
      </c>
      <c r="N397" s="12">
        <f>IF(A397="","",D397+I397+J397+K397+L397+M397)</f>
        <v/>
      </c>
      <c r="O397" s="13">
        <f>IF(A397="","",MAX(0,MIN(12,IF(G397="",12,G397))-MAX(1,F397)+1))</f>
        <v/>
      </c>
      <c r="P397" s="12">
        <f>IF(A397="","",N397*O397)</f>
        <v/>
      </c>
      <c r="Q397" s="12">
        <f>IF(A397="","",0.12*IF(Rates!$B$6=1,MIN(H397,Rates!$B$5),H397))</f>
        <v/>
      </c>
      <c r="R397" s="12">
        <f>IF(A397="","",IF(D397&lt;=Rates!$B$8,D397*0.0075,0))</f>
        <v/>
      </c>
    </row>
    <row r="398">
      <c r="A398" s="10" t="n"/>
      <c r="B398" s="10" t="n"/>
      <c r="C398" s="10" t="n"/>
      <c r="D398" s="8" t="n"/>
      <c r="E398" s="11" t="n"/>
      <c r="F398" s="9" t="n"/>
      <c r="G398" s="9" t="n"/>
      <c r="H398" s="12">
        <f>IF(A398="","",D398*E398)</f>
        <v/>
      </c>
      <c r="I398" s="12">
        <f>IF(A398="","",IF(Rates!$B$6=1,MIN(H398,Rates!$B$5),H398)*(Rates!$B$4+Rates!$B$13))</f>
        <v/>
      </c>
      <c r="J398" s="12">
        <f>IF(A398="","",IF(D398&lt;=Rates!$B$8,D398*Rates!$B$7,0))</f>
        <v/>
      </c>
      <c r="K398" s="12">
        <f>IF(A398="","",H398*Rates!$B$9)</f>
        <v/>
      </c>
      <c r="L398" s="12">
        <f>IF(A398="","",IF(D398&lt;=Rates!$B$11,H398*Rates!$B$10,0))</f>
        <v/>
      </c>
      <c r="M398" s="12">
        <f>IF(A398="","",Rates!$B$12/12)</f>
        <v/>
      </c>
      <c r="N398" s="12">
        <f>IF(A398="","",D398+I398+J398+K398+L398+M398)</f>
        <v/>
      </c>
      <c r="O398" s="13">
        <f>IF(A398="","",MAX(0,MIN(12,IF(G398="",12,G398))-MAX(1,F398)+1))</f>
        <v/>
      </c>
      <c r="P398" s="12">
        <f>IF(A398="","",N398*O398)</f>
        <v/>
      </c>
      <c r="Q398" s="12">
        <f>IF(A398="","",0.12*IF(Rates!$B$6=1,MIN(H398,Rates!$B$5),H398))</f>
        <v/>
      </c>
      <c r="R398" s="12">
        <f>IF(A398="","",IF(D398&lt;=Rates!$B$8,D398*0.0075,0))</f>
        <v/>
      </c>
    </row>
    <row r="399">
      <c r="A399" s="10" t="n"/>
      <c r="B399" s="10" t="n"/>
      <c r="C399" s="10" t="n"/>
      <c r="D399" s="8" t="n"/>
      <c r="E399" s="11" t="n"/>
      <c r="F399" s="9" t="n"/>
      <c r="G399" s="9" t="n"/>
      <c r="H399" s="12">
        <f>IF(A399="","",D399*E399)</f>
        <v/>
      </c>
      <c r="I399" s="12">
        <f>IF(A399="","",IF(Rates!$B$6=1,MIN(H399,Rates!$B$5),H399)*(Rates!$B$4+Rates!$B$13))</f>
        <v/>
      </c>
      <c r="J399" s="12">
        <f>IF(A399="","",IF(D399&lt;=Rates!$B$8,D399*Rates!$B$7,0))</f>
        <v/>
      </c>
      <c r="K399" s="12">
        <f>IF(A399="","",H399*Rates!$B$9)</f>
        <v/>
      </c>
      <c r="L399" s="12">
        <f>IF(A399="","",IF(D399&lt;=Rates!$B$11,H399*Rates!$B$10,0))</f>
        <v/>
      </c>
      <c r="M399" s="12">
        <f>IF(A399="","",Rates!$B$12/12)</f>
        <v/>
      </c>
      <c r="N399" s="12">
        <f>IF(A399="","",D399+I399+J399+K399+L399+M399)</f>
        <v/>
      </c>
      <c r="O399" s="13">
        <f>IF(A399="","",MAX(0,MIN(12,IF(G399="",12,G399))-MAX(1,F399)+1))</f>
        <v/>
      </c>
      <c r="P399" s="12">
        <f>IF(A399="","",N399*O399)</f>
        <v/>
      </c>
      <c r="Q399" s="12">
        <f>IF(A399="","",0.12*IF(Rates!$B$6=1,MIN(H399,Rates!$B$5),H399))</f>
        <v/>
      </c>
      <c r="R399" s="12">
        <f>IF(A399="","",IF(D399&lt;=Rates!$B$8,D399*0.0075,0))</f>
        <v/>
      </c>
    </row>
    <row r="400">
      <c r="A400" s="10" t="n"/>
      <c r="B400" s="10" t="n"/>
      <c r="C400" s="10" t="n"/>
      <c r="D400" s="8" t="n"/>
      <c r="E400" s="11" t="n"/>
      <c r="F400" s="9" t="n"/>
      <c r="G400" s="9" t="n"/>
      <c r="H400" s="12">
        <f>IF(A400="","",D400*E400)</f>
        <v/>
      </c>
      <c r="I400" s="12">
        <f>IF(A400="","",IF(Rates!$B$6=1,MIN(H400,Rates!$B$5),H400)*(Rates!$B$4+Rates!$B$13))</f>
        <v/>
      </c>
      <c r="J400" s="12">
        <f>IF(A400="","",IF(D400&lt;=Rates!$B$8,D400*Rates!$B$7,0))</f>
        <v/>
      </c>
      <c r="K400" s="12">
        <f>IF(A400="","",H400*Rates!$B$9)</f>
        <v/>
      </c>
      <c r="L400" s="12">
        <f>IF(A400="","",IF(D400&lt;=Rates!$B$11,H400*Rates!$B$10,0))</f>
        <v/>
      </c>
      <c r="M400" s="12">
        <f>IF(A400="","",Rates!$B$12/12)</f>
        <v/>
      </c>
      <c r="N400" s="12">
        <f>IF(A400="","",D400+I400+J400+K400+L400+M400)</f>
        <v/>
      </c>
      <c r="O400" s="13">
        <f>IF(A400="","",MAX(0,MIN(12,IF(G400="",12,G400))-MAX(1,F400)+1))</f>
        <v/>
      </c>
      <c r="P400" s="12">
        <f>IF(A400="","",N400*O400)</f>
        <v/>
      </c>
      <c r="Q400" s="12">
        <f>IF(A400="","",0.12*IF(Rates!$B$6=1,MIN(H400,Rates!$B$5),H400))</f>
        <v/>
      </c>
      <c r="R400" s="12">
        <f>IF(A400="","",IF(D400&lt;=Rates!$B$8,D400*0.0075,0))</f>
        <v/>
      </c>
    </row>
    <row r="401">
      <c r="A401" s="10" t="n"/>
      <c r="B401" s="10" t="n"/>
      <c r="C401" s="10" t="n"/>
      <c r="D401" s="8" t="n"/>
      <c r="E401" s="11" t="n"/>
      <c r="F401" s="9" t="n"/>
      <c r="G401" s="9" t="n"/>
      <c r="H401" s="12">
        <f>IF(A401="","",D401*E401)</f>
        <v/>
      </c>
      <c r="I401" s="12">
        <f>IF(A401="","",IF(Rates!$B$6=1,MIN(H401,Rates!$B$5),H401)*(Rates!$B$4+Rates!$B$13))</f>
        <v/>
      </c>
      <c r="J401" s="12">
        <f>IF(A401="","",IF(D401&lt;=Rates!$B$8,D401*Rates!$B$7,0))</f>
        <v/>
      </c>
      <c r="K401" s="12">
        <f>IF(A401="","",H401*Rates!$B$9)</f>
        <v/>
      </c>
      <c r="L401" s="12">
        <f>IF(A401="","",IF(D401&lt;=Rates!$B$11,H401*Rates!$B$10,0))</f>
        <v/>
      </c>
      <c r="M401" s="12">
        <f>IF(A401="","",Rates!$B$12/12)</f>
        <v/>
      </c>
      <c r="N401" s="12">
        <f>IF(A401="","",D401+I401+J401+K401+L401+M401)</f>
        <v/>
      </c>
      <c r="O401" s="13">
        <f>IF(A401="","",MAX(0,MIN(12,IF(G401="",12,G401))-MAX(1,F401)+1))</f>
        <v/>
      </c>
      <c r="P401" s="12">
        <f>IF(A401="","",N401*O401)</f>
        <v/>
      </c>
      <c r="Q401" s="12">
        <f>IF(A401="","",0.12*IF(Rates!$B$6=1,MIN(H401,Rates!$B$5),H401))</f>
        <v/>
      </c>
      <c r="R401" s="12">
        <f>IF(A401="","",IF(D401&lt;=Rates!$B$8,D401*0.0075,0))</f>
        <v/>
      </c>
    </row>
    <row r="402">
      <c r="A402" s="10" t="n"/>
      <c r="B402" s="10" t="n"/>
      <c r="C402" s="10" t="n"/>
      <c r="D402" s="8" t="n"/>
      <c r="E402" s="11" t="n"/>
      <c r="F402" s="9" t="n"/>
      <c r="G402" s="9" t="n"/>
      <c r="H402" s="12">
        <f>IF(A402="","",D402*E402)</f>
        <v/>
      </c>
      <c r="I402" s="12">
        <f>IF(A402="","",IF(Rates!$B$6=1,MIN(H402,Rates!$B$5),H402)*(Rates!$B$4+Rates!$B$13))</f>
        <v/>
      </c>
      <c r="J402" s="12">
        <f>IF(A402="","",IF(D402&lt;=Rates!$B$8,D402*Rates!$B$7,0))</f>
        <v/>
      </c>
      <c r="K402" s="12">
        <f>IF(A402="","",H402*Rates!$B$9)</f>
        <v/>
      </c>
      <c r="L402" s="12">
        <f>IF(A402="","",IF(D402&lt;=Rates!$B$11,H402*Rates!$B$10,0))</f>
        <v/>
      </c>
      <c r="M402" s="12">
        <f>IF(A402="","",Rates!$B$12/12)</f>
        <v/>
      </c>
      <c r="N402" s="12">
        <f>IF(A402="","",D402+I402+J402+K402+L402+M402)</f>
        <v/>
      </c>
      <c r="O402" s="13">
        <f>IF(A402="","",MAX(0,MIN(12,IF(G402="",12,G402))-MAX(1,F402)+1))</f>
        <v/>
      </c>
      <c r="P402" s="12">
        <f>IF(A402="","",N402*O402)</f>
        <v/>
      </c>
      <c r="Q402" s="12">
        <f>IF(A402="","",0.12*IF(Rates!$B$6=1,MIN(H402,Rates!$B$5),H402))</f>
        <v/>
      </c>
      <c r="R402" s="12">
        <f>IF(A402="","",IF(D402&lt;=Rates!$B$8,D402*0.0075,0))</f>
        <v/>
      </c>
    </row>
    <row r="403">
      <c r="A403" s="10" t="n"/>
      <c r="B403" s="10" t="n"/>
      <c r="C403" s="10" t="n"/>
      <c r="D403" s="8" t="n"/>
      <c r="E403" s="11" t="n"/>
      <c r="F403" s="9" t="n"/>
      <c r="G403" s="9" t="n"/>
      <c r="H403" s="12">
        <f>IF(A403="","",D403*E403)</f>
        <v/>
      </c>
      <c r="I403" s="12">
        <f>IF(A403="","",IF(Rates!$B$6=1,MIN(H403,Rates!$B$5),H403)*(Rates!$B$4+Rates!$B$13))</f>
        <v/>
      </c>
      <c r="J403" s="12">
        <f>IF(A403="","",IF(D403&lt;=Rates!$B$8,D403*Rates!$B$7,0))</f>
        <v/>
      </c>
      <c r="K403" s="12">
        <f>IF(A403="","",H403*Rates!$B$9)</f>
        <v/>
      </c>
      <c r="L403" s="12">
        <f>IF(A403="","",IF(D403&lt;=Rates!$B$11,H403*Rates!$B$10,0))</f>
        <v/>
      </c>
      <c r="M403" s="12">
        <f>IF(A403="","",Rates!$B$12/12)</f>
        <v/>
      </c>
      <c r="N403" s="12">
        <f>IF(A403="","",D403+I403+J403+K403+L403+M403)</f>
        <v/>
      </c>
      <c r="O403" s="13">
        <f>IF(A403="","",MAX(0,MIN(12,IF(G403="",12,G403))-MAX(1,F403)+1))</f>
        <v/>
      </c>
      <c r="P403" s="12">
        <f>IF(A403="","",N403*O403)</f>
        <v/>
      </c>
      <c r="Q403" s="12">
        <f>IF(A403="","",0.12*IF(Rates!$B$6=1,MIN(H403,Rates!$B$5),H403))</f>
        <v/>
      </c>
      <c r="R403" s="12">
        <f>IF(A403="","",IF(D403&lt;=Rates!$B$8,D403*0.0075,0))</f>
        <v/>
      </c>
    </row>
    <row r="404">
      <c r="A404" s="10" t="n"/>
      <c r="B404" s="10" t="n"/>
      <c r="C404" s="10" t="n"/>
      <c r="D404" s="8" t="n"/>
      <c r="E404" s="11" t="n"/>
      <c r="F404" s="9" t="n"/>
      <c r="G404" s="9" t="n"/>
      <c r="H404" s="12">
        <f>IF(A404="","",D404*E404)</f>
        <v/>
      </c>
      <c r="I404" s="12">
        <f>IF(A404="","",IF(Rates!$B$6=1,MIN(H404,Rates!$B$5),H404)*(Rates!$B$4+Rates!$B$13))</f>
        <v/>
      </c>
      <c r="J404" s="12">
        <f>IF(A404="","",IF(D404&lt;=Rates!$B$8,D404*Rates!$B$7,0))</f>
        <v/>
      </c>
      <c r="K404" s="12">
        <f>IF(A404="","",H404*Rates!$B$9)</f>
        <v/>
      </c>
      <c r="L404" s="12">
        <f>IF(A404="","",IF(D404&lt;=Rates!$B$11,H404*Rates!$B$10,0))</f>
        <v/>
      </c>
      <c r="M404" s="12">
        <f>IF(A404="","",Rates!$B$12/12)</f>
        <v/>
      </c>
      <c r="N404" s="12">
        <f>IF(A404="","",D404+I404+J404+K404+L404+M404)</f>
        <v/>
      </c>
      <c r="O404" s="13">
        <f>IF(A404="","",MAX(0,MIN(12,IF(G404="",12,G404))-MAX(1,F404)+1))</f>
        <v/>
      </c>
      <c r="P404" s="12">
        <f>IF(A404="","",N404*O404)</f>
        <v/>
      </c>
      <c r="Q404" s="12">
        <f>IF(A404="","",0.12*IF(Rates!$B$6=1,MIN(H404,Rates!$B$5),H404))</f>
        <v/>
      </c>
      <c r="R404" s="12">
        <f>IF(A404="","",IF(D404&lt;=Rates!$B$8,D404*0.0075,0))</f>
        <v/>
      </c>
    </row>
    <row r="405">
      <c r="A405" s="10" t="n"/>
      <c r="B405" s="10" t="n"/>
      <c r="C405" s="10" t="n"/>
      <c r="D405" s="8" t="n"/>
      <c r="E405" s="11" t="n"/>
      <c r="F405" s="9" t="n"/>
      <c r="G405" s="9" t="n"/>
      <c r="H405" s="12">
        <f>IF(A405="","",D405*E405)</f>
        <v/>
      </c>
      <c r="I405" s="12">
        <f>IF(A405="","",IF(Rates!$B$6=1,MIN(H405,Rates!$B$5),H405)*(Rates!$B$4+Rates!$B$13))</f>
        <v/>
      </c>
      <c r="J405" s="12">
        <f>IF(A405="","",IF(D405&lt;=Rates!$B$8,D405*Rates!$B$7,0))</f>
        <v/>
      </c>
      <c r="K405" s="12">
        <f>IF(A405="","",H405*Rates!$B$9)</f>
        <v/>
      </c>
      <c r="L405" s="12">
        <f>IF(A405="","",IF(D405&lt;=Rates!$B$11,H405*Rates!$B$10,0))</f>
        <v/>
      </c>
      <c r="M405" s="12">
        <f>IF(A405="","",Rates!$B$12/12)</f>
        <v/>
      </c>
      <c r="N405" s="12">
        <f>IF(A405="","",D405+I405+J405+K405+L405+M405)</f>
        <v/>
      </c>
      <c r="O405" s="13">
        <f>IF(A405="","",MAX(0,MIN(12,IF(G405="",12,G405))-MAX(1,F405)+1))</f>
        <v/>
      </c>
      <c r="P405" s="12">
        <f>IF(A405="","",N405*O405)</f>
        <v/>
      </c>
      <c r="Q405" s="12">
        <f>IF(A405="","",0.12*IF(Rates!$B$6=1,MIN(H405,Rates!$B$5),H405))</f>
        <v/>
      </c>
      <c r="R405" s="12">
        <f>IF(A405="","",IF(D405&lt;=Rates!$B$8,D405*0.0075,0))</f>
        <v/>
      </c>
    </row>
    <row r="406">
      <c r="A406" s="10" t="n"/>
      <c r="B406" s="10" t="n"/>
      <c r="C406" s="10" t="n"/>
      <c r="D406" s="8" t="n"/>
      <c r="E406" s="11" t="n"/>
      <c r="F406" s="9" t="n"/>
      <c r="G406" s="9" t="n"/>
      <c r="H406" s="12">
        <f>IF(A406="","",D406*E406)</f>
        <v/>
      </c>
      <c r="I406" s="12">
        <f>IF(A406="","",IF(Rates!$B$6=1,MIN(H406,Rates!$B$5),H406)*(Rates!$B$4+Rates!$B$13))</f>
        <v/>
      </c>
      <c r="J406" s="12">
        <f>IF(A406="","",IF(D406&lt;=Rates!$B$8,D406*Rates!$B$7,0))</f>
        <v/>
      </c>
      <c r="K406" s="12">
        <f>IF(A406="","",H406*Rates!$B$9)</f>
        <v/>
      </c>
      <c r="L406" s="12">
        <f>IF(A406="","",IF(D406&lt;=Rates!$B$11,H406*Rates!$B$10,0))</f>
        <v/>
      </c>
      <c r="M406" s="12">
        <f>IF(A406="","",Rates!$B$12/12)</f>
        <v/>
      </c>
      <c r="N406" s="12">
        <f>IF(A406="","",D406+I406+J406+K406+L406+M406)</f>
        <v/>
      </c>
      <c r="O406" s="13">
        <f>IF(A406="","",MAX(0,MIN(12,IF(G406="",12,G406))-MAX(1,F406)+1))</f>
        <v/>
      </c>
      <c r="P406" s="12">
        <f>IF(A406="","",N406*O406)</f>
        <v/>
      </c>
      <c r="Q406" s="12">
        <f>IF(A406="","",0.12*IF(Rates!$B$6=1,MIN(H406,Rates!$B$5),H406))</f>
        <v/>
      </c>
      <c r="R406" s="12">
        <f>IF(A406="","",IF(D406&lt;=Rates!$B$8,D406*0.0075,0))</f>
        <v/>
      </c>
    </row>
    <row r="407">
      <c r="A407" s="10" t="n"/>
      <c r="B407" s="10" t="n"/>
      <c r="C407" s="10" t="n"/>
      <c r="D407" s="8" t="n"/>
      <c r="E407" s="11" t="n"/>
      <c r="F407" s="9" t="n"/>
      <c r="G407" s="9" t="n"/>
      <c r="H407" s="12">
        <f>IF(A407="","",D407*E407)</f>
        <v/>
      </c>
      <c r="I407" s="12">
        <f>IF(A407="","",IF(Rates!$B$6=1,MIN(H407,Rates!$B$5),H407)*(Rates!$B$4+Rates!$B$13))</f>
        <v/>
      </c>
      <c r="J407" s="12">
        <f>IF(A407="","",IF(D407&lt;=Rates!$B$8,D407*Rates!$B$7,0))</f>
        <v/>
      </c>
      <c r="K407" s="12">
        <f>IF(A407="","",H407*Rates!$B$9)</f>
        <v/>
      </c>
      <c r="L407" s="12">
        <f>IF(A407="","",IF(D407&lt;=Rates!$B$11,H407*Rates!$B$10,0))</f>
        <v/>
      </c>
      <c r="M407" s="12">
        <f>IF(A407="","",Rates!$B$12/12)</f>
        <v/>
      </c>
      <c r="N407" s="12">
        <f>IF(A407="","",D407+I407+J407+K407+L407+M407)</f>
        <v/>
      </c>
      <c r="O407" s="13">
        <f>IF(A407="","",MAX(0,MIN(12,IF(G407="",12,G407))-MAX(1,F407)+1))</f>
        <v/>
      </c>
      <c r="P407" s="12">
        <f>IF(A407="","",N407*O407)</f>
        <v/>
      </c>
      <c r="Q407" s="12">
        <f>IF(A407="","",0.12*IF(Rates!$B$6=1,MIN(H407,Rates!$B$5),H407))</f>
        <v/>
      </c>
      <c r="R407" s="12">
        <f>IF(A407="","",IF(D407&lt;=Rates!$B$8,D407*0.0075,0))</f>
        <v/>
      </c>
    </row>
    <row r="408">
      <c r="A408" s="10" t="n"/>
      <c r="B408" s="10" t="n"/>
      <c r="C408" s="10" t="n"/>
      <c r="D408" s="8" t="n"/>
      <c r="E408" s="11" t="n"/>
      <c r="F408" s="9" t="n"/>
      <c r="G408" s="9" t="n"/>
      <c r="H408" s="12">
        <f>IF(A408="","",D408*E408)</f>
        <v/>
      </c>
      <c r="I408" s="12">
        <f>IF(A408="","",IF(Rates!$B$6=1,MIN(H408,Rates!$B$5),H408)*(Rates!$B$4+Rates!$B$13))</f>
        <v/>
      </c>
      <c r="J408" s="12">
        <f>IF(A408="","",IF(D408&lt;=Rates!$B$8,D408*Rates!$B$7,0))</f>
        <v/>
      </c>
      <c r="K408" s="12">
        <f>IF(A408="","",H408*Rates!$B$9)</f>
        <v/>
      </c>
      <c r="L408" s="12">
        <f>IF(A408="","",IF(D408&lt;=Rates!$B$11,H408*Rates!$B$10,0))</f>
        <v/>
      </c>
      <c r="M408" s="12">
        <f>IF(A408="","",Rates!$B$12/12)</f>
        <v/>
      </c>
      <c r="N408" s="12">
        <f>IF(A408="","",D408+I408+J408+K408+L408+M408)</f>
        <v/>
      </c>
      <c r="O408" s="13">
        <f>IF(A408="","",MAX(0,MIN(12,IF(G408="",12,G408))-MAX(1,F408)+1))</f>
        <v/>
      </c>
      <c r="P408" s="12">
        <f>IF(A408="","",N408*O408)</f>
        <v/>
      </c>
      <c r="Q408" s="12">
        <f>IF(A408="","",0.12*IF(Rates!$B$6=1,MIN(H408,Rates!$B$5),H408))</f>
        <v/>
      </c>
      <c r="R408" s="12">
        <f>IF(A408="","",IF(D408&lt;=Rates!$B$8,D408*0.0075,0))</f>
        <v/>
      </c>
    </row>
    <row r="409">
      <c r="A409" s="10" t="n"/>
      <c r="B409" s="10" t="n"/>
      <c r="C409" s="10" t="n"/>
      <c r="D409" s="8" t="n"/>
      <c r="E409" s="11" t="n"/>
      <c r="F409" s="9" t="n"/>
      <c r="G409" s="9" t="n"/>
      <c r="H409" s="12">
        <f>IF(A409="","",D409*E409)</f>
        <v/>
      </c>
      <c r="I409" s="12">
        <f>IF(A409="","",IF(Rates!$B$6=1,MIN(H409,Rates!$B$5),H409)*(Rates!$B$4+Rates!$B$13))</f>
        <v/>
      </c>
      <c r="J409" s="12">
        <f>IF(A409="","",IF(D409&lt;=Rates!$B$8,D409*Rates!$B$7,0))</f>
        <v/>
      </c>
      <c r="K409" s="12">
        <f>IF(A409="","",H409*Rates!$B$9)</f>
        <v/>
      </c>
      <c r="L409" s="12">
        <f>IF(A409="","",IF(D409&lt;=Rates!$B$11,H409*Rates!$B$10,0))</f>
        <v/>
      </c>
      <c r="M409" s="12">
        <f>IF(A409="","",Rates!$B$12/12)</f>
        <v/>
      </c>
      <c r="N409" s="12">
        <f>IF(A409="","",D409+I409+J409+K409+L409+M409)</f>
        <v/>
      </c>
      <c r="O409" s="13">
        <f>IF(A409="","",MAX(0,MIN(12,IF(G409="",12,G409))-MAX(1,F409)+1))</f>
        <v/>
      </c>
      <c r="P409" s="12">
        <f>IF(A409="","",N409*O409)</f>
        <v/>
      </c>
      <c r="Q409" s="12">
        <f>IF(A409="","",0.12*IF(Rates!$B$6=1,MIN(H409,Rates!$B$5),H409))</f>
        <v/>
      </c>
      <c r="R409" s="12">
        <f>IF(A409="","",IF(D409&lt;=Rates!$B$8,D409*0.0075,0))</f>
        <v/>
      </c>
    </row>
    <row r="410">
      <c r="A410" s="10" t="n"/>
      <c r="B410" s="10" t="n"/>
      <c r="C410" s="10" t="n"/>
      <c r="D410" s="8" t="n"/>
      <c r="E410" s="11" t="n"/>
      <c r="F410" s="9" t="n"/>
      <c r="G410" s="9" t="n"/>
      <c r="H410" s="12">
        <f>IF(A410="","",D410*E410)</f>
        <v/>
      </c>
      <c r="I410" s="12">
        <f>IF(A410="","",IF(Rates!$B$6=1,MIN(H410,Rates!$B$5),H410)*(Rates!$B$4+Rates!$B$13))</f>
        <v/>
      </c>
      <c r="J410" s="12">
        <f>IF(A410="","",IF(D410&lt;=Rates!$B$8,D410*Rates!$B$7,0))</f>
        <v/>
      </c>
      <c r="K410" s="12">
        <f>IF(A410="","",H410*Rates!$B$9)</f>
        <v/>
      </c>
      <c r="L410" s="12">
        <f>IF(A410="","",IF(D410&lt;=Rates!$B$11,H410*Rates!$B$10,0))</f>
        <v/>
      </c>
      <c r="M410" s="12">
        <f>IF(A410="","",Rates!$B$12/12)</f>
        <v/>
      </c>
      <c r="N410" s="12">
        <f>IF(A410="","",D410+I410+J410+K410+L410+M410)</f>
        <v/>
      </c>
      <c r="O410" s="13">
        <f>IF(A410="","",MAX(0,MIN(12,IF(G410="",12,G410))-MAX(1,F410)+1))</f>
        <v/>
      </c>
      <c r="P410" s="12">
        <f>IF(A410="","",N410*O410)</f>
        <v/>
      </c>
      <c r="Q410" s="12">
        <f>IF(A410="","",0.12*IF(Rates!$B$6=1,MIN(H410,Rates!$B$5),H410))</f>
        <v/>
      </c>
      <c r="R410" s="12">
        <f>IF(A410="","",IF(D410&lt;=Rates!$B$8,D410*0.0075,0))</f>
        <v/>
      </c>
    </row>
    <row r="411">
      <c r="A411" s="10" t="n"/>
      <c r="B411" s="10" t="n"/>
      <c r="C411" s="10" t="n"/>
      <c r="D411" s="8" t="n"/>
      <c r="E411" s="11" t="n"/>
      <c r="F411" s="9" t="n"/>
      <c r="G411" s="9" t="n"/>
      <c r="H411" s="12">
        <f>IF(A411="","",D411*E411)</f>
        <v/>
      </c>
      <c r="I411" s="12">
        <f>IF(A411="","",IF(Rates!$B$6=1,MIN(H411,Rates!$B$5),H411)*(Rates!$B$4+Rates!$B$13))</f>
        <v/>
      </c>
      <c r="J411" s="12">
        <f>IF(A411="","",IF(D411&lt;=Rates!$B$8,D411*Rates!$B$7,0))</f>
        <v/>
      </c>
      <c r="K411" s="12">
        <f>IF(A411="","",H411*Rates!$B$9)</f>
        <v/>
      </c>
      <c r="L411" s="12">
        <f>IF(A411="","",IF(D411&lt;=Rates!$B$11,H411*Rates!$B$10,0))</f>
        <v/>
      </c>
      <c r="M411" s="12">
        <f>IF(A411="","",Rates!$B$12/12)</f>
        <v/>
      </c>
      <c r="N411" s="12">
        <f>IF(A411="","",D411+I411+J411+K411+L411+M411)</f>
        <v/>
      </c>
      <c r="O411" s="13">
        <f>IF(A411="","",MAX(0,MIN(12,IF(G411="",12,G411))-MAX(1,F411)+1))</f>
        <v/>
      </c>
      <c r="P411" s="12">
        <f>IF(A411="","",N411*O411)</f>
        <v/>
      </c>
      <c r="Q411" s="12">
        <f>IF(A411="","",0.12*IF(Rates!$B$6=1,MIN(H411,Rates!$B$5),H411))</f>
        <v/>
      </c>
      <c r="R411" s="12">
        <f>IF(A411="","",IF(D411&lt;=Rates!$B$8,D411*0.0075,0))</f>
        <v/>
      </c>
    </row>
    <row r="412">
      <c r="A412" s="10" t="n"/>
      <c r="B412" s="10" t="n"/>
      <c r="C412" s="10" t="n"/>
      <c r="D412" s="8" t="n"/>
      <c r="E412" s="11" t="n"/>
      <c r="F412" s="9" t="n"/>
      <c r="G412" s="9" t="n"/>
      <c r="H412" s="12">
        <f>IF(A412="","",D412*E412)</f>
        <v/>
      </c>
      <c r="I412" s="12">
        <f>IF(A412="","",IF(Rates!$B$6=1,MIN(H412,Rates!$B$5),H412)*(Rates!$B$4+Rates!$B$13))</f>
        <v/>
      </c>
      <c r="J412" s="12">
        <f>IF(A412="","",IF(D412&lt;=Rates!$B$8,D412*Rates!$B$7,0))</f>
        <v/>
      </c>
      <c r="K412" s="12">
        <f>IF(A412="","",H412*Rates!$B$9)</f>
        <v/>
      </c>
      <c r="L412" s="12">
        <f>IF(A412="","",IF(D412&lt;=Rates!$B$11,H412*Rates!$B$10,0))</f>
        <v/>
      </c>
      <c r="M412" s="12">
        <f>IF(A412="","",Rates!$B$12/12)</f>
        <v/>
      </c>
      <c r="N412" s="12">
        <f>IF(A412="","",D412+I412+J412+K412+L412+M412)</f>
        <v/>
      </c>
      <c r="O412" s="13">
        <f>IF(A412="","",MAX(0,MIN(12,IF(G412="",12,G412))-MAX(1,F412)+1))</f>
        <v/>
      </c>
      <c r="P412" s="12">
        <f>IF(A412="","",N412*O412)</f>
        <v/>
      </c>
      <c r="Q412" s="12">
        <f>IF(A412="","",0.12*IF(Rates!$B$6=1,MIN(H412,Rates!$B$5),H412))</f>
        <v/>
      </c>
      <c r="R412" s="12">
        <f>IF(A412="","",IF(D412&lt;=Rates!$B$8,D412*0.0075,0))</f>
        <v/>
      </c>
    </row>
    <row r="413">
      <c r="A413" s="10" t="n"/>
      <c r="B413" s="10" t="n"/>
      <c r="C413" s="10" t="n"/>
      <c r="D413" s="8" t="n"/>
      <c r="E413" s="11" t="n"/>
      <c r="F413" s="9" t="n"/>
      <c r="G413" s="9" t="n"/>
      <c r="H413" s="12">
        <f>IF(A413="","",D413*E413)</f>
        <v/>
      </c>
      <c r="I413" s="12">
        <f>IF(A413="","",IF(Rates!$B$6=1,MIN(H413,Rates!$B$5),H413)*(Rates!$B$4+Rates!$B$13))</f>
        <v/>
      </c>
      <c r="J413" s="12">
        <f>IF(A413="","",IF(D413&lt;=Rates!$B$8,D413*Rates!$B$7,0))</f>
        <v/>
      </c>
      <c r="K413" s="12">
        <f>IF(A413="","",H413*Rates!$B$9)</f>
        <v/>
      </c>
      <c r="L413" s="12">
        <f>IF(A413="","",IF(D413&lt;=Rates!$B$11,H413*Rates!$B$10,0))</f>
        <v/>
      </c>
      <c r="M413" s="12">
        <f>IF(A413="","",Rates!$B$12/12)</f>
        <v/>
      </c>
      <c r="N413" s="12">
        <f>IF(A413="","",D413+I413+J413+K413+L413+M413)</f>
        <v/>
      </c>
      <c r="O413" s="13">
        <f>IF(A413="","",MAX(0,MIN(12,IF(G413="",12,G413))-MAX(1,F413)+1))</f>
        <v/>
      </c>
      <c r="P413" s="12">
        <f>IF(A413="","",N413*O413)</f>
        <v/>
      </c>
      <c r="Q413" s="12">
        <f>IF(A413="","",0.12*IF(Rates!$B$6=1,MIN(H413,Rates!$B$5),H413))</f>
        <v/>
      </c>
      <c r="R413" s="12">
        <f>IF(A413="","",IF(D413&lt;=Rates!$B$8,D413*0.0075,0))</f>
        <v/>
      </c>
    </row>
    <row r="414">
      <c r="A414" s="10" t="n"/>
      <c r="B414" s="10" t="n"/>
      <c r="C414" s="10" t="n"/>
      <c r="D414" s="8" t="n"/>
      <c r="E414" s="11" t="n"/>
      <c r="F414" s="9" t="n"/>
      <c r="G414" s="9" t="n"/>
      <c r="H414" s="12">
        <f>IF(A414="","",D414*E414)</f>
        <v/>
      </c>
      <c r="I414" s="12">
        <f>IF(A414="","",IF(Rates!$B$6=1,MIN(H414,Rates!$B$5),H414)*(Rates!$B$4+Rates!$B$13))</f>
        <v/>
      </c>
      <c r="J414" s="12">
        <f>IF(A414="","",IF(D414&lt;=Rates!$B$8,D414*Rates!$B$7,0))</f>
        <v/>
      </c>
      <c r="K414" s="12">
        <f>IF(A414="","",H414*Rates!$B$9)</f>
        <v/>
      </c>
      <c r="L414" s="12">
        <f>IF(A414="","",IF(D414&lt;=Rates!$B$11,H414*Rates!$B$10,0))</f>
        <v/>
      </c>
      <c r="M414" s="12">
        <f>IF(A414="","",Rates!$B$12/12)</f>
        <v/>
      </c>
      <c r="N414" s="12">
        <f>IF(A414="","",D414+I414+J414+K414+L414+M414)</f>
        <v/>
      </c>
      <c r="O414" s="13">
        <f>IF(A414="","",MAX(0,MIN(12,IF(G414="",12,G414))-MAX(1,F414)+1))</f>
        <v/>
      </c>
      <c r="P414" s="12">
        <f>IF(A414="","",N414*O414)</f>
        <v/>
      </c>
      <c r="Q414" s="12">
        <f>IF(A414="","",0.12*IF(Rates!$B$6=1,MIN(H414,Rates!$B$5),H414))</f>
        <v/>
      </c>
      <c r="R414" s="12">
        <f>IF(A414="","",IF(D414&lt;=Rates!$B$8,D414*0.0075,0))</f>
        <v/>
      </c>
    </row>
    <row r="415">
      <c r="A415" s="10" t="n"/>
      <c r="B415" s="10" t="n"/>
      <c r="C415" s="10" t="n"/>
      <c r="D415" s="8" t="n"/>
      <c r="E415" s="11" t="n"/>
      <c r="F415" s="9" t="n"/>
      <c r="G415" s="9" t="n"/>
      <c r="H415" s="12">
        <f>IF(A415="","",D415*E415)</f>
        <v/>
      </c>
      <c r="I415" s="12">
        <f>IF(A415="","",IF(Rates!$B$6=1,MIN(H415,Rates!$B$5),H415)*(Rates!$B$4+Rates!$B$13))</f>
        <v/>
      </c>
      <c r="J415" s="12">
        <f>IF(A415="","",IF(D415&lt;=Rates!$B$8,D415*Rates!$B$7,0))</f>
        <v/>
      </c>
      <c r="K415" s="12">
        <f>IF(A415="","",H415*Rates!$B$9)</f>
        <v/>
      </c>
      <c r="L415" s="12">
        <f>IF(A415="","",IF(D415&lt;=Rates!$B$11,H415*Rates!$B$10,0))</f>
        <v/>
      </c>
      <c r="M415" s="12">
        <f>IF(A415="","",Rates!$B$12/12)</f>
        <v/>
      </c>
      <c r="N415" s="12">
        <f>IF(A415="","",D415+I415+J415+K415+L415+M415)</f>
        <v/>
      </c>
      <c r="O415" s="13">
        <f>IF(A415="","",MAX(0,MIN(12,IF(G415="",12,G415))-MAX(1,F415)+1))</f>
        <v/>
      </c>
      <c r="P415" s="12">
        <f>IF(A415="","",N415*O415)</f>
        <v/>
      </c>
      <c r="Q415" s="12">
        <f>IF(A415="","",0.12*IF(Rates!$B$6=1,MIN(H415,Rates!$B$5),H415))</f>
        <v/>
      </c>
      <c r="R415" s="12">
        <f>IF(A415="","",IF(D415&lt;=Rates!$B$8,D415*0.0075,0))</f>
        <v/>
      </c>
    </row>
    <row r="416">
      <c r="A416" s="10" t="n"/>
      <c r="B416" s="10" t="n"/>
      <c r="C416" s="10" t="n"/>
      <c r="D416" s="8" t="n"/>
      <c r="E416" s="11" t="n"/>
      <c r="F416" s="9" t="n"/>
      <c r="G416" s="9" t="n"/>
      <c r="H416" s="12">
        <f>IF(A416="","",D416*E416)</f>
        <v/>
      </c>
      <c r="I416" s="12">
        <f>IF(A416="","",IF(Rates!$B$6=1,MIN(H416,Rates!$B$5),H416)*(Rates!$B$4+Rates!$B$13))</f>
        <v/>
      </c>
      <c r="J416" s="12">
        <f>IF(A416="","",IF(D416&lt;=Rates!$B$8,D416*Rates!$B$7,0))</f>
        <v/>
      </c>
      <c r="K416" s="12">
        <f>IF(A416="","",H416*Rates!$B$9)</f>
        <v/>
      </c>
      <c r="L416" s="12">
        <f>IF(A416="","",IF(D416&lt;=Rates!$B$11,H416*Rates!$B$10,0))</f>
        <v/>
      </c>
      <c r="M416" s="12">
        <f>IF(A416="","",Rates!$B$12/12)</f>
        <v/>
      </c>
      <c r="N416" s="12">
        <f>IF(A416="","",D416+I416+J416+K416+L416+M416)</f>
        <v/>
      </c>
      <c r="O416" s="13">
        <f>IF(A416="","",MAX(0,MIN(12,IF(G416="",12,G416))-MAX(1,F416)+1))</f>
        <v/>
      </c>
      <c r="P416" s="12">
        <f>IF(A416="","",N416*O416)</f>
        <v/>
      </c>
      <c r="Q416" s="12">
        <f>IF(A416="","",0.12*IF(Rates!$B$6=1,MIN(H416,Rates!$B$5),H416))</f>
        <v/>
      </c>
      <c r="R416" s="12">
        <f>IF(A416="","",IF(D416&lt;=Rates!$B$8,D416*0.0075,0))</f>
        <v/>
      </c>
    </row>
    <row r="417">
      <c r="A417" s="10" t="n"/>
      <c r="B417" s="10" t="n"/>
      <c r="C417" s="10" t="n"/>
      <c r="D417" s="8" t="n"/>
      <c r="E417" s="11" t="n"/>
      <c r="F417" s="9" t="n"/>
      <c r="G417" s="9" t="n"/>
      <c r="H417" s="12">
        <f>IF(A417="","",D417*E417)</f>
        <v/>
      </c>
      <c r="I417" s="12">
        <f>IF(A417="","",IF(Rates!$B$6=1,MIN(H417,Rates!$B$5),H417)*(Rates!$B$4+Rates!$B$13))</f>
        <v/>
      </c>
      <c r="J417" s="12">
        <f>IF(A417="","",IF(D417&lt;=Rates!$B$8,D417*Rates!$B$7,0))</f>
        <v/>
      </c>
      <c r="K417" s="12">
        <f>IF(A417="","",H417*Rates!$B$9)</f>
        <v/>
      </c>
      <c r="L417" s="12">
        <f>IF(A417="","",IF(D417&lt;=Rates!$B$11,H417*Rates!$B$10,0))</f>
        <v/>
      </c>
      <c r="M417" s="12">
        <f>IF(A417="","",Rates!$B$12/12)</f>
        <v/>
      </c>
      <c r="N417" s="12">
        <f>IF(A417="","",D417+I417+J417+K417+L417+M417)</f>
        <v/>
      </c>
      <c r="O417" s="13">
        <f>IF(A417="","",MAX(0,MIN(12,IF(G417="",12,G417))-MAX(1,F417)+1))</f>
        <v/>
      </c>
      <c r="P417" s="12">
        <f>IF(A417="","",N417*O417)</f>
        <v/>
      </c>
      <c r="Q417" s="12">
        <f>IF(A417="","",0.12*IF(Rates!$B$6=1,MIN(H417,Rates!$B$5),H417))</f>
        <v/>
      </c>
      <c r="R417" s="12">
        <f>IF(A417="","",IF(D417&lt;=Rates!$B$8,D417*0.0075,0))</f>
        <v/>
      </c>
    </row>
    <row r="418">
      <c r="A418" s="10" t="n"/>
      <c r="B418" s="10" t="n"/>
      <c r="C418" s="10" t="n"/>
      <c r="D418" s="8" t="n"/>
      <c r="E418" s="11" t="n"/>
      <c r="F418" s="9" t="n"/>
      <c r="G418" s="9" t="n"/>
      <c r="H418" s="12">
        <f>IF(A418="","",D418*E418)</f>
        <v/>
      </c>
      <c r="I418" s="12">
        <f>IF(A418="","",IF(Rates!$B$6=1,MIN(H418,Rates!$B$5),H418)*(Rates!$B$4+Rates!$B$13))</f>
        <v/>
      </c>
      <c r="J418" s="12">
        <f>IF(A418="","",IF(D418&lt;=Rates!$B$8,D418*Rates!$B$7,0))</f>
        <v/>
      </c>
      <c r="K418" s="12">
        <f>IF(A418="","",H418*Rates!$B$9)</f>
        <v/>
      </c>
      <c r="L418" s="12">
        <f>IF(A418="","",IF(D418&lt;=Rates!$B$11,H418*Rates!$B$10,0))</f>
        <v/>
      </c>
      <c r="M418" s="12">
        <f>IF(A418="","",Rates!$B$12/12)</f>
        <v/>
      </c>
      <c r="N418" s="12">
        <f>IF(A418="","",D418+I418+J418+K418+L418+M418)</f>
        <v/>
      </c>
      <c r="O418" s="13">
        <f>IF(A418="","",MAX(0,MIN(12,IF(G418="",12,G418))-MAX(1,F418)+1))</f>
        <v/>
      </c>
      <c r="P418" s="12">
        <f>IF(A418="","",N418*O418)</f>
        <v/>
      </c>
      <c r="Q418" s="12">
        <f>IF(A418="","",0.12*IF(Rates!$B$6=1,MIN(H418,Rates!$B$5),H418))</f>
        <v/>
      </c>
      <c r="R418" s="12">
        <f>IF(A418="","",IF(D418&lt;=Rates!$B$8,D418*0.0075,0))</f>
        <v/>
      </c>
    </row>
    <row r="419">
      <c r="A419" s="10" t="n"/>
      <c r="B419" s="10" t="n"/>
      <c r="C419" s="10" t="n"/>
      <c r="D419" s="8" t="n"/>
      <c r="E419" s="11" t="n"/>
      <c r="F419" s="9" t="n"/>
      <c r="G419" s="9" t="n"/>
      <c r="H419" s="12">
        <f>IF(A419="","",D419*E419)</f>
        <v/>
      </c>
      <c r="I419" s="12">
        <f>IF(A419="","",IF(Rates!$B$6=1,MIN(H419,Rates!$B$5),H419)*(Rates!$B$4+Rates!$B$13))</f>
        <v/>
      </c>
      <c r="J419" s="12">
        <f>IF(A419="","",IF(D419&lt;=Rates!$B$8,D419*Rates!$B$7,0))</f>
        <v/>
      </c>
      <c r="K419" s="12">
        <f>IF(A419="","",H419*Rates!$B$9)</f>
        <v/>
      </c>
      <c r="L419" s="12">
        <f>IF(A419="","",IF(D419&lt;=Rates!$B$11,H419*Rates!$B$10,0))</f>
        <v/>
      </c>
      <c r="M419" s="12">
        <f>IF(A419="","",Rates!$B$12/12)</f>
        <v/>
      </c>
      <c r="N419" s="12">
        <f>IF(A419="","",D419+I419+J419+K419+L419+M419)</f>
        <v/>
      </c>
      <c r="O419" s="13">
        <f>IF(A419="","",MAX(0,MIN(12,IF(G419="",12,G419))-MAX(1,F419)+1))</f>
        <v/>
      </c>
      <c r="P419" s="12">
        <f>IF(A419="","",N419*O419)</f>
        <v/>
      </c>
      <c r="Q419" s="12">
        <f>IF(A419="","",0.12*IF(Rates!$B$6=1,MIN(H419,Rates!$B$5),H419))</f>
        <v/>
      </c>
      <c r="R419" s="12">
        <f>IF(A419="","",IF(D419&lt;=Rates!$B$8,D419*0.0075,0))</f>
        <v/>
      </c>
    </row>
    <row r="420">
      <c r="A420" s="10" t="n"/>
      <c r="B420" s="10" t="n"/>
      <c r="C420" s="10" t="n"/>
      <c r="D420" s="8" t="n"/>
      <c r="E420" s="11" t="n"/>
      <c r="F420" s="9" t="n"/>
      <c r="G420" s="9" t="n"/>
      <c r="H420" s="12">
        <f>IF(A420="","",D420*E420)</f>
        <v/>
      </c>
      <c r="I420" s="12">
        <f>IF(A420="","",IF(Rates!$B$6=1,MIN(H420,Rates!$B$5),H420)*(Rates!$B$4+Rates!$B$13))</f>
        <v/>
      </c>
      <c r="J420" s="12">
        <f>IF(A420="","",IF(D420&lt;=Rates!$B$8,D420*Rates!$B$7,0))</f>
        <v/>
      </c>
      <c r="K420" s="12">
        <f>IF(A420="","",H420*Rates!$B$9)</f>
        <v/>
      </c>
      <c r="L420" s="12">
        <f>IF(A420="","",IF(D420&lt;=Rates!$B$11,H420*Rates!$B$10,0))</f>
        <v/>
      </c>
      <c r="M420" s="12">
        <f>IF(A420="","",Rates!$B$12/12)</f>
        <v/>
      </c>
      <c r="N420" s="12">
        <f>IF(A420="","",D420+I420+J420+K420+L420+M420)</f>
        <v/>
      </c>
      <c r="O420" s="13">
        <f>IF(A420="","",MAX(0,MIN(12,IF(G420="",12,G420))-MAX(1,F420)+1))</f>
        <v/>
      </c>
      <c r="P420" s="12">
        <f>IF(A420="","",N420*O420)</f>
        <v/>
      </c>
      <c r="Q420" s="12">
        <f>IF(A420="","",0.12*IF(Rates!$B$6=1,MIN(H420,Rates!$B$5),H420))</f>
        <v/>
      </c>
      <c r="R420" s="12">
        <f>IF(A420="","",IF(D420&lt;=Rates!$B$8,D420*0.0075,0))</f>
        <v/>
      </c>
    </row>
    <row r="421">
      <c r="A421" s="10" t="n"/>
      <c r="B421" s="10" t="n"/>
      <c r="C421" s="10" t="n"/>
      <c r="D421" s="8" t="n"/>
      <c r="E421" s="11" t="n"/>
      <c r="F421" s="9" t="n"/>
      <c r="G421" s="9" t="n"/>
      <c r="H421" s="12">
        <f>IF(A421="","",D421*E421)</f>
        <v/>
      </c>
      <c r="I421" s="12">
        <f>IF(A421="","",IF(Rates!$B$6=1,MIN(H421,Rates!$B$5),H421)*(Rates!$B$4+Rates!$B$13))</f>
        <v/>
      </c>
      <c r="J421" s="12">
        <f>IF(A421="","",IF(D421&lt;=Rates!$B$8,D421*Rates!$B$7,0))</f>
        <v/>
      </c>
      <c r="K421" s="12">
        <f>IF(A421="","",H421*Rates!$B$9)</f>
        <v/>
      </c>
      <c r="L421" s="12">
        <f>IF(A421="","",IF(D421&lt;=Rates!$B$11,H421*Rates!$B$10,0))</f>
        <v/>
      </c>
      <c r="M421" s="12">
        <f>IF(A421="","",Rates!$B$12/12)</f>
        <v/>
      </c>
      <c r="N421" s="12">
        <f>IF(A421="","",D421+I421+J421+K421+L421+M421)</f>
        <v/>
      </c>
      <c r="O421" s="13">
        <f>IF(A421="","",MAX(0,MIN(12,IF(G421="",12,G421))-MAX(1,F421)+1))</f>
        <v/>
      </c>
      <c r="P421" s="12">
        <f>IF(A421="","",N421*O421)</f>
        <v/>
      </c>
      <c r="Q421" s="12">
        <f>IF(A421="","",0.12*IF(Rates!$B$6=1,MIN(H421,Rates!$B$5),H421))</f>
        <v/>
      </c>
      <c r="R421" s="12">
        <f>IF(A421="","",IF(D421&lt;=Rates!$B$8,D421*0.0075,0))</f>
        <v/>
      </c>
    </row>
    <row r="422">
      <c r="A422" s="10" t="n"/>
      <c r="B422" s="10" t="n"/>
      <c r="C422" s="10" t="n"/>
      <c r="D422" s="8" t="n"/>
      <c r="E422" s="11" t="n"/>
      <c r="F422" s="9" t="n"/>
      <c r="G422" s="9" t="n"/>
      <c r="H422" s="12">
        <f>IF(A422="","",D422*E422)</f>
        <v/>
      </c>
      <c r="I422" s="12">
        <f>IF(A422="","",IF(Rates!$B$6=1,MIN(H422,Rates!$B$5),H422)*(Rates!$B$4+Rates!$B$13))</f>
        <v/>
      </c>
      <c r="J422" s="12">
        <f>IF(A422="","",IF(D422&lt;=Rates!$B$8,D422*Rates!$B$7,0))</f>
        <v/>
      </c>
      <c r="K422" s="12">
        <f>IF(A422="","",H422*Rates!$B$9)</f>
        <v/>
      </c>
      <c r="L422" s="12">
        <f>IF(A422="","",IF(D422&lt;=Rates!$B$11,H422*Rates!$B$10,0))</f>
        <v/>
      </c>
      <c r="M422" s="12">
        <f>IF(A422="","",Rates!$B$12/12)</f>
        <v/>
      </c>
      <c r="N422" s="12">
        <f>IF(A422="","",D422+I422+J422+K422+L422+M422)</f>
        <v/>
      </c>
      <c r="O422" s="13">
        <f>IF(A422="","",MAX(0,MIN(12,IF(G422="",12,G422))-MAX(1,F422)+1))</f>
        <v/>
      </c>
      <c r="P422" s="12">
        <f>IF(A422="","",N422*O422)</f>
        <v/>
      </c>
      <c r="Q422" s="12">
        <f>IF(A422="","",0.12*IF(Rates!$B$6=1,MIN(H422,Rates!$B$5),H422))</f>
        <v/>
      </c>
      <c r="R422" s="12">
        <f>IF(A422="","",IF(D422&lt;=Rates!$B$8,D422*0.0075,0))</f>
        <v/>
      </c>
    </row>
    <row r="423">
      <c r="A423" s="10" t="n"/>
      <c r="B423" s="10" t="n"/>
      <c r="C423" s="10" t="n"/>
      <c r="D423" s="8" t="n"/>
      <c r="E423" s="11" t="n"/>
      <c r="F423" s="9" t="n"/>
      <c r="G423" s="9" t="n"/>
      <c r="H423" s="12">
        <f>IF(A423="","",D423*E423)</f>
        <v/>
      </c>
      <c r="I423" s="12">
        <f>IF(A423="","",IF(Rates!$B$6=1,MIN(H423,Rates!$B$5),H423)*(Rates!$B$4+Rates!$B$13))</f>
        <v/>
      </c>
      <c r="J423" s="12">
        <f>IF(A423="","",IF(D423&lt;=Rates!$B$8,D423*Rates!$B$7,0))</f>
        <v/>
      </c>
      <c r="K423" s="12">
        <f>IF(A423="","",H423*Rates!$B$9)</f>
        <v/>
      </c>
      <c r="L423" s="12">
        <f>IF(A423="","",IF(D423&lt;=Rates!$B$11,H423*Rates!$B$10,0))</f>
        <v/>
      </c>
      <c r="M423" s="12">
        <f>IF(A423="","",Rates!$B$12/12)</f>
        <v/>
      </c>
      <c r="N423" s="12">
        <f>IF(A423="","",D423+I423+J423+K423+L423+M423)</f>
        <v/>
      </c>
      <c r="O423" s="13">
        <f>IF(A423="","",MAX(0,MIN(12,IF(G423="",12,G423))-MAX(1,F423)+1))</f>
        <v/>
      </c>
      <c r="P423" s="12">
        <f>IF(A423="","",N423*O423)</f>
        <v/>
      </c>
      <c r="Q423" s="12">
        <f>IF(A423="","",0.12*IF(Rates!$B$6=1,MIN(H423,Rates!$B$5),H423))</f>
        <v/>
      </c>
      <c r="R423" s="12">
        <f>IF(A423="","",IF(D423&lt;=Rates!$B$8,D423*0.0075,0))</f>
        <v/>
      </c>
    </row>
    <row r="424">
      <c r="A424" s="10" t="n"/>
      <c r="B424" s="10" t="n"/>
      <c r="C424" s="10" t="n"/>
      <c r="D424" s="8" t="n"/>
      <c r="E424" s="11" t="n"/>
      <c r="F424" s="9" t="n"/>
      <c r="G424" s="9" t="n"/>
      <c r="H424" s="12">
        <f>IF(A424="","",D424*E424)</f>
        <v/>
      </c>
      <c r="I424" s="12">
        <f>IF(A424="","",IF(Rates!$B$6=1,MIN(H424,Rates!$B$5),H424)*(Rates!$B$4+Rates!$B$13))</f>
        <v/>
      </c>
      <c r="J424" s="12">
        <f>IF(A424="","",IF(D424&lt;=Rates!$B$8,D424*Rates!$B$7,0))</f>
        <v/>
      </c>
      <c r="K424" s="12">
        <f>IF(A424="","",H424*Rates!$B$9)</f>
        <v/>
      </c>
      <c r="L424" s="12">
        <f>IF(A424="","",IF(D424&lt;=Rates!$B$11,H424*Rates!$B$10,0))</f>
        <v/>
      </c>
      <c r="M424" s="12">
        <f>IF(A424="","",Rates!$B$12/12)</f>
        <v/>
      </c>
      <c r="N424" s="12">
        <f>IF(A424="","",D424+I424+J424+K424+L424+M424)</f>
        <v/>
      </c>
      <c r="O424" s="13">
        <f>IF(A424="","",MAX(0,MIN(12,IF(G424="",12,G424))-MAX(1,F424)+1))</f>
        <v/>
      </c>
      <c r="P424" s="12">
        <f>IF(A424="","",N424*O424)</f>
        <v/>
      </c>
      <c r="Q424" s="12">
        <f>IF(A424="","",0.12*IF(Rates!$B$6=1,MIN(H424,Rates!$B$5),H424))</f>
        <v/>
      </c>
      <c r="R424" s="12">
        <f>IF(A424="","",IF(D424&lt;=Rates!$B$8,D424*0.0075,0))</f>
        <v/>
      </c>
    </row>
    <row r="425">
      <c r="A425" s="10" t="n"/>
      <c r="B425" s="10" t="n"/>
      <c r="C425" s="10" t="n"/>
      <c r="D425" s="8" t="n"/>
      <c r="E425" s="11" t="n"/>
      <c r="F425" s="9" t="n"/>
      <c r="G425" s="9" t="n"/>
      <c r="H425" s="12">
        <f>IF(A425="","",D425*E425)</f>
        <v/>
      </c>
      <c r="I425" s="12">
        <f>IF(A425="","",IF(Rates!$B$6=1,MIN(H425,Rates!$B$5),H425)*(Rates!$B$4+Rates!$B$13))</f>
        <v/>
      </c>
      <c r="J425" s="12">
        <f>IF(A425="","",IF(D425&lt;=Rates!$B$8,D425*Rates!$B$7,0))</f>
        <v/>
      </c>
      <c r="K425" s="12">
        <f>IF(A425="","",H425*Rates!$B$9)</f>
        <v/>
      </c>
      <c r="L425" s="12">
        <f>IF(A425="","",IF(D425&lt;=Rates!$B$11,H425*Rates!$B$10,0))</f>
        <v/>
      </c>
      <c r="M425" s="12">
        <f>IF(A425="","",Rates!$B$12/12)</f>
        <v/>
      </c>
      <c r="N425" s="12">
        <f>IF(A425="","",D425+I425+J425+K425+L425+M425)</f>
        <v/>
      </c>
      <c r="O425" s="13">
        <f>IF(A425="","",MAX(0,MIN(12,IF(G425="",12,G425))-MAX(1,F425)+1))</f>
        <v/>
      </c>
      <c r="P425" s="12">
        <f>IF(A425="","",N425*O425)</f>
        <v/>
      </c>
      <c r="Q425" s="12">
        <f>IF(A425="","",0.12*IF(Rates!$B$6=1,MIN(H425,Rates!$B$5),H425))</f>
        <v/>
      </c>
      <c r="R425" s="12">
        <f>IF(A425="","",IF(D425&lt;=Rates!$B$8,D425*0.0075,0))</f>
        <v/>
      </c>
    </row>
    <row r="426">
      <c r="A426" s="10" t="n"/>
      <c r="B426" s="10" t="n"/>
      <c r="C426" s="10" t="n"/>
      <c r="D426" s="8" t="n"/>
      <c r="E426" s="11" t="n"/>
      <c r="F426" s="9" t="n"/>
      <c r="G426" s="9" t="n"/>
      <c r="H426" s="12">
        <f>IF(A426="","",D426*E426)</f>
        <v/>
      </c>
      <c r="I426" s="12">
        <f>IF(A426="","",IF(Rates!$B$6=1,MIN(H426,Rates!$B$5),H426)*(Rates!$B$4+Rates!$B$13))</f>
        <v/>
      </c>
      <c r="J426" s="12">
        <f>IF(A426="","",IF(D426&lt;=Rates!$B$8,D426*Rates!$B$7,0))</f>
        <v/>
      </c>
      <c r="K426" s="12">
        <f>IF(A426="","",H426*Rates!$B$9)</f>
        <v/>
      </c>
      <c r="L426" s="12">
        <f>IF(A426="","",IF(D426&lt;=Rates!$B$11,H426*Rates!$B$10,0))</f>
        <v/>
      </c>
      <c r="M426" s="12">
        <f>IF(A426="","",Rates!$B$12/12)</f>
        <v/>
      </c>
      <c r="N426" s="12">
        <f>IF(A426="","",D426+I426+J426+K426+L426+M426)</f>
        <v/>
      </c>
      <c r="O426" s="13">
        <f>IF(A426="","",MAX(0,MIN(12,IF(G426="",12,G426))-MAX(1,F426)+1))</f>
        <v/>
      </c>
      <c r="P426" s="12">
        <f>IF(A426="","",N426*O426)</f>
        <v/>
      </c>
      <c r="Q426" s="12">
        <f>IF(A426="","",0.12*IF(Rates!$B$6=1,MIN(H426,Rates!$B$5),H426))</f>
        <v/>
      </c>
      <c r="R426" s="12">
        <f>IF(A426="","",IF(D426&lt;=Rates!$B$8,D426*0.0075,0))</f>
        <v/>
      </c>
    </row>
    <row r="427">
      <c r="A427" s="10" t="n"/>
      <c r="B427" s="10" t="n"/>
      <c r="C427" s="10" t="n"/>
      <c r="D427" s="8" t="n"/>
      <c r="E427" s="11" t="n"/>
      <c r="F427" s="9" t="n"/>
      <c r="G427" s="9" t="n"/>
      <c r="H427" s="12">
        <f>IF(A427="","",D427*E427)</f>
        <v/>
      </c>
      <c r="I427" s="12">
        <f>IF(A427="","",IF(Rates!$B$6=1,MIN(H427,Rates!$B$5),H427)*(Rates!$B$4+Rates!$B$13))</f>
        <v/>
      </c>
      <c r="J427" s="12">
        <f>IF(A427="","",IF(D427&lt;=Rates!$B$8,D427*Rates!$B$7,0))</f>
        <v/>
      </c>
      <c r="K427" s="12">
        <f>IF(A427="","",H427*Rates!$B$9)</f>
        <v/>
      </c>
      <c r="L427" s="12">
        <f>IF(A427="","",IF(D427&lt;=Rates!$B$11,H427*Rates!$B$10,0))</f>
        <v/>
      </c>
      <c r="M427" s="12">
        <f>IF(A427="","",Rates!$B$12/12)</f>
        <v/>
      </c>
      <c r="N427" s="12">
        <f>IF(A427="","",D427+I427+J427+K427+L427+M427)</f>
        <v/>
      </c>
      <c r="O427" s="13">
        <f>IF(A427="","",MAX(0,MIN(12,IF(G427="",12,G427))-MAX(1,F427)+1))</f>
        <v/>
      </c>
      <c r="P427" s="12">
        <f>IF(A427="","",N427*O427)</f>
        <v/>
      </c>
      <c r="Q427" s="12">
        <f>IF(A427="","",0.12*IF(Rates!$B$6=1,MIN(H427,Rates!$B$5),H427))</f>
        <v/>
      </c>
      <c r="R427" s="12">
        <f>IF(A427="","",IF(D427&lt;=Rates!$B$8,D427*0.0075,0))</f>
        <v/>
      </c>
    </row>
    <row r="428">
      <c r="A428" s="10" t="n"/>
      <c r="B428" s="10" t="n"/>
      <c r="C428" s="10" t="n"/>
      <c r="D428" s="8" t="n"/>
      <c r="E428" s="11" t="n"/>
      <c r="F428" s="9" t="n"/>
      <c r="G428" s="9" t="n"/>
      <c r="H428" s="12">
        <f>IF(A428="","",D428*E428)</f>
        <v/>
      </c>
      <c r="I428" s="12">
        <f>IF(A428="","",IF(Rates!$B$6=1,MIN(H428,Rates!$B$5),H428)*(Rates!$B$4+Rates!$B$13))</f>
        <v/>
      </c>
      <c r="J428" s="12">
        <f>IF(A428="","",IF(D428&lt;=Rates!$B$8,D428*Rates!$B$7,0))</f>
        <v/>
      </c>
      <c r="K428" s="12">
        <f>IF(A428="","",H428*Rates!$B$9)</f>
        <v/>
      </c>
      <c r="L428" s="12">
        <f>IF(A428="","",IF(D428&lt;=Rates!$B$11,H428*Rates!$B$10,0))</f>
        <v/>
      </c>
      <c r="M428" s="12">
        <f>IF(A428="","",Rates!$B$12/12)</f>
        <v/>
      </c>
      <c r="N428" s="12">
        <f>IF(A428="","",D428+I428+J428+K428+L428+M428)</f>
        <v/>
      </c>
      <c r="O428" s="13">
        <f>IF(A428="","",MAX(0,MIN(12,IF(G428="",12,G428))-MAX(1,F428)+1))</f>
        <v/>
      </c>
      <c r="P428" s="12">
        <f>IF(A428="","",N428*O428)</f>
        <v/>
      </c>
      <c r="Q428" s="12">
        <f>IF(A428="","",0.12*IF(Rates!$B$6=1,MIN(H428,Rates!$B$5),H428))</f>
        <v/>
      </c>
      <c r="R428" s="12">
        <f>IF(A428="","",IF(D428&lt;=Rates!$B$8,D428*0.0075,0))</f>
        <v/>
      </c>
    </row>
    <row r="429">
      <c r="A429" s="10" t="n"/>
      <c r="B429" s="10" t="n"/>
      <c r="C429" s="10" t="n"/>
      <c r="D429" s="8" t="n"/>
      <c r="E429" s="11" t="n"/>
      <c r="F429" s="9" t="n"/>
      <c r="G429" s="9" t="n"/>
      <c r="H429" s="12">
        <f>IF(A429="","",D429*E429)</f>
        <v/>
      </c>
      <c r="I429" s="12">
        <f>IF(A429="","",IF(Rates!$B$6=1,MIN(H429,Rates!$B$5),H429)*(Rates!$B$4+Rates!$B$13))</f>
        <v/>
      </c>
      <c r="J429" s="12">
        <f>IF(A429="","",IF(D429&lt;=Rates!$B$8,D429*Rates!$B$7,0))</f>
        <v/>
      </c>
      <c r="K429" s="12">
        <f>IF(A429="","",H429*Rates!$B$9)</f>
        <v/>
      </c>
      <c r="L429" s="12">
        <f>IF(A429="","",IF(D429&lt;=Rates!$B$11,H429*Rates!$B$10,0))</f>
        <v/>
      </c>
      <c r="M429" s="12">
        <f>IF(A429="","",Rates!$B$12/12)</f>
        <v/>
      </c>
      <c r="N429" s="12">
        <f>IF(A429="","",D429+I429+J429+K429+L429+M429)</f>
        <v/>
      </c>
      <c r="O429" s="13">
        <f>IF(A429="","",MAX(0,MIN(12,IF(G429="",12,G429))-MAX(1,F429)+1))</f>
        <v/>
      </c>
      <c r="P429" s="12">
        <f>IF(A429="","",N429*O429)</f>
        <v/>
      </c>
      <c r="Q429" s="12">
        <f>IF(A429="","",0.12*IF(Rates!$B$6=1,MIN(H429,Rates!$B$5),H429))</f>
        <v/>
      </c>
      <c r="R429" s="12">
        <f>IF(A429="","",IF(D429&lt;=Rates!$B$8,D429*0.0075,0))</f>
        <v/>
      </c>
    </row>
    <row r="430">
      <c r="A430" s="10" t="n"/>
      <c r="B430" s="10" t="n"/>
      <c r="C430" s="10" t="n"/>
      <c r="D430" s="8" t="n"/>
      <c r="E430" s="11" t="n"/>
      <c r="F430" s="9" t="n"/>
      <c r="G430" s="9" t="n"/>
      <c r="H430" s="12">
        <f>IF(A430="","",D430*E430)</f>
        <v/>
      </c>
      <c r="I430" s="12">
        <f>IF(A430="","",IF(Rates!$B$6=1,MIN(H430,Rates!$B$5),H430)*(Rates!$B$4+Rates!$B$13))</f>
        <v/>
      </c>
      <c r="J430" s="12">
        <f>IF(A430="","",IF(D430&lt;=Rates!$B$8,D430*Rates!$B$7,0))</f>
        <v/>
      </c>
      <c r="K430" s="12">
        <f>IF(A430="","",H430*Rates!$B$9)</f>
        <v/>
      </c>
      <c r="L430" s="12">
        <f>IF(A430="","",IF(D430&lt;=Rates!$B$11,H430*Rates!$B$10,0))</f>
        <v/>
      </c>
      <c r="M430" s="12">
        <f>IF(A430="","",Rates!$B$12/12)</f>
        <v/>
      </c>
      <c r="N430" s="12">
        <f>IF(A430="","",D430+I430+J430+K430+L430+M430)</f>
        <v/>
      </c>
      <c r="O430" s="13">
        <f>IF(A430="","",MAX(0,MIN(12,IF(G430="",12,G430))-MAX(1,F430)+1))</f>
        <v/>
      </c>
      <c r="P430" s="12">
        <f>IF(A430="","",N430*O430)</f>
        <v/>
      </c>
      <c r="Q430" s="12">
        <f>IF(A430="","",0.12*IF(Rates!$B$6=1,MIN(H430,Rates!$B$5),H430))</f>
        <v/>
      </c>
      <c r="R430" s="12">
        <f>IF(A430="","",IF(D430&lt;=Rates!$B$8,D430*0.0075,0))</f>
        <v/>
      </c>
    </row>
    <row r="431">
      <c r="A431" s="10" t="n"/>
      <c r="B431" s="10" t="n"/>
      <c r="C431" s="10" t="n"/>
      <c r="D431" s="8" t="n"/>
      <c r="E431" s="11" t="n"/>
      <c r="F431" s="9" t="n"/>
      <c r="G431" s="9" t="n"/>
      <c r="H431" s="12">
        <f>IF(A431="","",D431*E431)</f>
        <v/>
      </c>
      <c r="I431" s="12">
        <f>IF(A431="","",IF(Rates!$B$6=1,MIN(H431,Rates!$B$5),H431)*(Rates!$B$4+Rates!$B$13))</f>
        <v/>
      </c>
      <c r="J431" s="12">
        <f>IF(A431="","",IF(D431&lt;=Rates!$B$8,D431*Rates!$B$7,0))</f>
        <v/>
      </c>
      <c r="K431" s="12">
        <f>IF(A431="","",H431*Rates!$B$9)</f>
        <v/>
      </c>
      <c r="L431" s="12">
        <f>IF(A431="","",IF(D431&lt;=Rates!$B$11,H431*Rates!$B$10,0))</f>
        <v/>
      </c>
      <c r="M431" s="12">
        <f>IF(A431="","",Rates!$B$12/12)</f>
        <v/>
      </c>
      <c r="N431" s="12">
        <f>IF(A431="","",D431+I431+J431+K431+L431+M431)</f>
        <v/>
      </c>
      <c r="O431" s="13">
        <f>IF(A431="","",MAX(0,MIN(12,IF(G431="",12,G431))-MAX(1,F431)+1))</f>
        <v/>
      </c>
      <c r="P431" s="12">
        <f>IF(A431="","",N431*O431)</f>
        <v/>
      </c>
      <c r="Q431" s="12">
        <f>IF(A431="","",0.12*IF(Rates!$B$6=1,MIN(H431,Rates!$B$5),H431))</f>
        <v/>
      </c>
      <c r="R431" s="12">
        <f>IF(A431="","",IF(D431&lt;=Rates!$B$8,D431*0.0075,0))</f>
        <v/>
      </c>
    </row>
    <row r="432">
      <c r="A432" s="10" t="n"/>
      <c r="B432" s="10" t="n"/>
      <c r="C432" s="10" t="n"/>
      <c r="D432" s="8" t="n"/>
      <c r="E432" s="11" t="n"/>
      <c r="F432" s="9" t="n"/>
      <c r="G432" s="9" t="n"/>
      <c r="H432" s="12">
        <f>IF(A432="","",D432*E432)</f>
        <v/>
      </c>
      <c r="I432" s="12">
        <f>IF(A432="","",IF(Rates!$B$6=1,MIN(H432,Rates!$B$5),H432)*(Rates!$B$4+Rates!$B$13))</f>
        <v/>
      </c>
      <c r="J432" s="12">
        <f>IF(A432="","",IF(D432&lt;=Rates!$B$8,D432*Rates!$B$7,0))</f>
        <v/>
      </c>
      <c r="K432" s="12">
        <f>IF(A432="","",H432*Rates!$B$9)</f>
        <v/>
      </c>
      <c r="L432" s="12">
        <f>IF(A432="","",IF(D432&lt;=Rates!$B$11,H432*Rates!$B$10,0))</f>
        <v/>
      </c>
      <c r="M432" s="12">
        <f>IF(A432="","",Rates!$B$12/12)</f>
        <v/>
      </c>
      <c r="N432" s="12">
        <f>IF(A432="","",D432+I432+J432+K432+L432+M432)</f>
        <v/>
      </c>
      <c r="O432" s="13">
        <f>IF(A432="","",MAX(0,MIN(12,IF(G432="",12,G432))-MAX(1,F432)+1))</f>
        <v/>
      </c>
      <c r="P432" s="12">
        <f>IF(A432="","",N432*O432)</f>
        <v/>
      </c>
      <c r="Q432" s="12">
        <f>IF(A432="","",0.12*IF(Rates!$B$6=1,MIN(H432,Rates!$B$5),H432))</f>
        <v/>
      </c>
      <c r="R432" s="12">
        <f>IF(A432="","",IF(D432&lt;=Rates!$B$8,D432*0.0075,0))</f>
        <v/>
      </c>
    </row>
    <row r="433">
      <c r="A433" s="10" t="n"/>
      <c r="B433" s="10" t="n"/>
      <c r="C433" s="10" t="n"/>
      <c r="D433" s="8" t="n"/>
      <c r="E433" s="11" t="n"/>
      <c r="F433" s="9" t="n"/>
      <c r="G433" s="9" t="n"/>
      <c r="H433" s="12">
        <f>IF(A433="","",D433*E433)</f>
        <v/>
      </c>
      <c r="I433" s="12">
        <f>IF(A433="","",IF(Rates!$B$6=1,MIN(H433,Rates!$B$5),H433)*(Rates!$B$4+Rates!$B$13))</f>
        <v/>
      </c>
      <c r="J433" s="12">
        <f>IF(A433="","",IF(D433&lt;=Rates!$B$8,D433*Rates!$B$7,0))</f>
        <v/>
      </c>
      <c r="K433" s="12">
        <f>IF(A433="","",H433*Rates!$B$9)</f>
        <v/>
      </c>
      <c r="L433" s="12">
        <f>IF(A433="","",IF(D433&lt;=Rates!$B$11,H433*Rates!$B$10,0))</f>
        <v/>
      </c>
      <c r="M433" s="12">
        <f>IF(A433="","",Rates!$B$12/12)</f>
        <v/>
      </c>
      <c r="N433" s="12">
        <f>IF(A433="","",D433+I433+J433+K433+L433+M433)</f>
        <v/>
      </c>
      <c r="O433" s="13">
        <f>IF(A433="","",MAX(0,MIN(12,IF(G433="",12,G433))-MAX(1,F433)+1))</f>
        <v/>
      </c>
      <c r="P433" s="12">
        <f>IF(A433="","",N433*O433)</f>
        <v/>
      </c>
      <c r="Q433" s="12">
        <f>IF(A433="","",0.12*IF(Rates!$B$6=1,MIN(H433,Rates!$B$5),H433))</f>
        <v/>
      </c>
      <c r="R433" s="12">
        <f>IF(A433="","",IF(D433&lt;=Rates!$B$8,D433*0.0075,0))</f>
        <v/>
      </c>
    </row>
    <row r="434">
      <c r="A434" s="10" t="n"/>
      <c r="B434" s="10" t="n"/>
      <c r="C434" s="10" t="n"/>
      <c r="D434" s="8" t="n"/>
      <c r="E434" s="11" t="n"/>
      <c r="F434" s="9" t="n"/>
      <c r="G434" s="9" t="n"/>
      <c r="H434" s="12">
        <f>IF(A434="","",D434*E434)</f>
        <v/>
      </c>
      <c r="I434" s="12">
        <f>IF(A434="","",IF(Rates!$B$6=1,MIN(H434,Rates!$B$5),H434)*(Rates!$B$4+Rates!$B$13))</f>
        <v/>
      </c>
      <c r="J434" s="12">
        <f>IF(A434="","",IF(D434&lt;=Rates!$B$8,D434*Rates!$B$7,0))</f>
        <v/>
      </c>
      <c r="K434" s="12">
        <f>IF(A434="","",H434*Rates!$B$9)</f>
        <v/>
      </c>
      <c r="L434" s="12">
        <f>IF(A434="","",IF(D434&lt;=Rates!$B$11,H434*Rates!$B$10,0))</f>
        <v/>
      </c>
      <c r="M434" s="12">
        <f>IF(A434="","",Rates!$B$12/12)</f>
        <v/>
      </c>
      <c r="N434" s="12">
        <f>IF(A434="","",D434+I434+J434+K434+L434+M434)</f>
        <v/>
      </c>
      <c r="O434" s="13">
        <f>IF(A434="","",MAX(0,MIN(12,IF(G434="",12,G434))-MAX(1,F434)+1))</f>
        <v/>
      </c>
      <c r="P434" s="12">
        <f>IF(A434="","",N434*O434)</f>
        <v/>
      </c>
      <c r="Q434" s="12">
        <f>IF(A434="","",0.12*IF(Rates!$B$6=1,MIN(H434,Rates!$B$5),H434))</f>
        <v/>
      </c>
      <c r="R434" s="12">
        <f>IF(A434="","",IF(D434&lt;=Rates!$B$8,D434*0.0075,0))</f>
        <v/>
      </c>
    </row>
    <row r="435">
      <c r="A435" s="10" t="n"/>
      <c r="B435" s="10" t="n"/>
      <c r="C435" s="10" t="n"/>
      <c r="D435" s="8" t="n"/>
      <c r="E435" s="11" t="n"/>
      <c r="F435" s="9" t="n"/>
      <c r="G435" s="9" t="n"/>
      <c r="H435" s="12">
        <f>IF(A435="","",D435*E435)</f>
        <v/>
      </c>
      <c r="I435" s="12">
        <f>IF(A435="","",IF(Rates!$B$6=1,MIN(H435,Rates!$B$5),H435)*(Rates!$B$4+Rates!$B$13))</f>
        <v/>
      </c>
      <c r="J435" s="12">
        <f>IF(A435="","",IF(D435&lt;=Rates!$B$8,D435*Rates!$B$7,0))</f>
        <v/>
      </c>
      <c r="K435" s="12">
        <f>IF(A435="","",H435*Rates!$B$9)</f>
        <v/>
      </c>
      <c r="L435" s="12">
        <f>IF(A435="","",IF(D435&lt;=Rates!$B$11,H435*Rates!$B$10,0))</f>
        <v/>
      </c>
      <c r="M435" s="12">
        <f>IF(A435="","",Rates!$B$12/12)</f>
        <v/>
      </c>
      <c r="N435" s="12">
        <f>IF(A435="","",D435+I435+J435+K435+L435+M435)</f>
        <v/>
      </c>
      <c r="O435" s="13">
        <f>IF(A435="","",MAX(0,MIN(12,IF(G435="",12,G435))-MAX(1,F435)+1))</f>
        <v/>
      </c>
      <c r="P435" s="12">
        <f>IF(A435="","",N435*O435)</f>
        <v/>
      </c>
      <c r="Q435" s="12">
        <f>IF(A435="","",0.12*IF(Rates!$B$6=1,MIN(H435,Rates!$B$5),H435))</f>
        <v/>
      </c>
      <c r="R435" s="12">
        <f>IF(A435="","",IF(D435&lt;=Rates!$B$8,D435*0.0075,0))</f>
        <v/>
      </c>
    </row>
    <row r="436">
      <c r="A436" s="10" t="n"/>
      <c r="B436" s="10" t="n"/>
      <c r="C436" s="10" t="n"/>
      <c r="D436" s="8" t="n"/>
      <c r="E436" s="11" t="n"/>
      <c r="F436" s="9" t="n"/>
      <c r="G436" s="9" t="n"/>
      <c r="H436" s="12">
        <f>IF(A436="","",D436*E436)</f>
        <v/>
      </c>
      <c r="I436" s="12">
        <f>IF(A436="","",IF(Rates!$B$6=1,MIN(H436,Rates!$B$5),H436)*(Rates!$B$4+Rates!$B$13))</f>
        <v/>
      </c>
      <c r="J436" s="12">
        <f>IF(A436="","",IF(D436&lt;=Rates!$B$8,D436*Rates!$B$7,0))</f>
        <v/>
      </c>
      <c r="K436" s="12">
        <f>IF(A436="","",H436*Rates!$B$9)</f>
        <v/>
      </c>
      <c r="L436" s="12">
        <f>IF(A436="","",IF(D436&lt;=Rates!$B$11,H436*Rates!$B$10,0))</f>
        <v/>
      </c>
      <c r="M436" s="12">
        <f>IF(A436="","",Rates!$B$12/12)</f>
        <v/>
      </c>
      <c r="N436" s="12">
        <f>IF(A436="","",D436+I436+J436+K436+L436+M436)</f>
        <v/>
      </c>
      <c r="O436" s="13">
        <f>IF(A436="","",MAX(0,MIN(12,IF(G436="",12,G436))-MAX(1,F436)+1))</f>
        <v/>
      </c>
      <c r="P436" s="12">
        <f>IF(A436="","",N436*O436)</f>
        <v/>
      </c>
      <c r="Q436" s="12">
        <f>IF(A436="","",0.12*IF(Rates!$B$6=1,MIN(H436,Rates!$B$5),H436))</f>
        <v/>
      </c>
      <c r="R436" s="12">
        <f>IF(A436="","",IF(D436&lt;=Rates!$B$8,D436*0.0075,0))</f>
        <v/>
      </c>
    </row>
    <row r="437">
      <c r="A437" s="10" t="n"/>
      <c r="B437" s="10" t="n"/>
      <c r="C437" s="10" t="n"/>
      <c r="D437" s="8" t="n"/>
      <c r="E437" s="11" t="n"/>
      <c r="F437" s="9" t="n"/>
      <c r="G437" s="9" t="n"/>
      <c r="H437" s="12">
        <f>IF(A437="","",D437*E437)</f>
        <v/>
      </c>
      <c r="I437" s="12">
        <f>IF(A437="","",IF(Rates!$B$6=1,MIN(H437,Rates!$B$5),H437)*(Rates!$B$4+Rates!$B$13))</f>
        <v/>
      </c>
      <c r="J437" s="12">
        <f>IF(A437="","",IF(D437&lt;=Rates!$B$8,D437*Rates!$B$7,0))</f>
        <v/>
      </c>
      <c r="K437" s="12">
        <f>IF(A437="","",H437*Rates!$B$9)</f>
        <v/>
      </c>
      <c r="L437" s="12">
        <f>IF(A437="","",IF(D437&lt;=Rates!$B$11,H437*Rates!$B$10,0))</f>
        <v/>
      </c>
      <c r="M437" s="12">
        <f>IF(A437="","",Rates!$B$12/12)</f>
        <v/>
      </c>
      <c r="N437" s="12">
        <f>IF(A437="","",D437+I437+J437+K437+L437+M437)</f>
        <v/>
      </c>
      <c r="O437" s="13">
        <f>IF(A437="","",MAX(0,MIN(12,IF(G437="",12,G437))-MAX(1,F437)+1))</f>
        <v/>
      </c>
      <c r="P437" s="12">
        <f>IF(A437="","",N437*O437)</f>
        <v/>
      </c>
      <c r="Q437" s="12">
        <f>IF(A437="","",0.12*IF(Rates!$B$6=1,MIN(H437,Rates!$B$5),H437))</f>
        <v/>
      </c>
      <c r="R437" s="12">
        <f>IF(A437="","",IF(D437&lt;=Rates!$B$8,D437*0.0075,0))</f>
        <v/>
      </c>
    </row>
    <row r="438">
      <c r="A438" s="10" t="n"/>
      <c r="B438" s="10" t="n"/>
      <c r="C438" s="10" t="n"/>
      <c r="D438" s="8" t="n"/>
      <c r="E438" s="11" t="n"/>
      <c r="F438" s="9" t="n"/>
      <c r="G438" s="9" t="n"/>
      <c r="H438" s="12">
        <f>IF(A438="","",D438*E438)</f>
        <v/>
      </c>
      <c r="I438" s="12">
        <f>IF(A438="","",IF(Rates!$B$6=1,MIN(H438,Rates!$B$5),H438)*(Rates!$B$4+Rates!$B$13))</f>
        <v/>
      </c>
      <c r="J438" s="12">
        <f>IF(A438="","",IF(D438&lt;=Rates!$B$8,D438*Rates!$B$7,0))</f>
        <v/>
      </c>
      <c r="K438" s="12">
        <f>IF(A438="","",H438*Rates!$B$9)</f>
        <v/>
      </c>
      <c r="L438" s="12">
        <f>IF(A438="","",IF(D438&lt;=Rates!$B$11,H438*Rates!$B$10,0))</f>
        <v/>
      </c>
      <c r="M438" s="12">
        <f>IF(A438="","",Rates!$B$12/12)</f>
        <v/>
      </c>
      <c r="N438" s="12">
        <f>IF(A438="","",D438+I438+J438+K438+L438+M438)</f>
        <v/>
      </c>
      <c r="O438" s="13">
        <f>IF(A438="","",MAX(0,MIN(12,IF(G438="",12,G438))-MAX(1,F438)+1))</f>
        <v/>
      </c>
      <c r="P438" s="12">
        <f>IF(A438="","",N438*O438)</f>
        <v/>
      </c>
      <c r="Q438" s="12">
        <f>IF(A438="","",0.12*IF(Rates!$B$6=1,MIN(H438,Rates!$B$5),H438))</f>
        <v/>
      </c>
      <c r="R438" s="12">
        <f>IF(A438="","",IF(D438&lt;=Rates!$B$8,D438*0.0075,0))</f>
        <v/>
      </c>
    </row>
    <row r="439">
      <c r="A439" s="10" t="n"/>
      <c r="B439" s="10" t="n"/>
      <c r="C439" s="10" t="n"/>
      <c r="D439" s="8" t="n"/>
      <c r="E439" s="11" t="n"/>
      <c r="F439" s="9" t="n"/>
      <c r="G439" s="9" t="n"/>
      <c r="H439" s="12">
        <f>IF(A439="","",D439*E439)</f>
        <v/>
      </c>
      <c r="I439" s="12">
        <f>IF(A439="","",IF(Rates!$B$6=1,MIN(H439,Rates!$B$5),H439)*(Rates!$B$4+Rates!$B$13))</f>
        <v/>
      </c>
      <c r="J439" s="12">
        <f>IF(A439="","",IF(D439&lt;=Rates!$B$8,D439*Rates!$B$7,0))</f>
        <v/>
      </c>
      <c r="K439" s="12">
        <f>IF(A439="","",H439*Rates!$B$9)</f>
        <v/>
      </c>
      <c r="L439" s="12">
        <f>IF(A439="","",IF(D439&lt;=Rates!$B$11,H439*Rates!$B$10,0))</f>
        <v/>
      </c>
      <c r="M439" s="12">
        <f>IF(A439="","",Rates!$B$12/12)</f>
        <v/>
      </c>
      <c r="N439" s="12">
        <f>IF(A439="","",D439+I439+J439+K439+L439+M439)</f>
        <v/>
      </c>
      <c r="O439" s="13">
        <f>IF(A439="","",MAX(0,MIN(12,IF(G439="",12,G439))-MAX(1,F439)+1))</f>
        <v/>
      </c>
      <c r="P439" s="12">
        <f>IF(A439="","",N439*O439)</f>
        <v/>
      </c>
      <c r="Q439" s="12">
        <f>IF(A439="","",0.12*IF(Rates!$B$6=1,MIN(H439,Rates!$B$5),H439))</f>
        <v/>
      </c>
      <c r="R439" s="12">
        <f>IF(A439="","",IF(D439&lt;=Rates!$B$8,D439*0.0075,0))</f>
        <v/>
      </c>
    </row>
    <row r="440">
      <c r="A440" s="10" t="n"/>
      <c r="B440" s="10" t="n"/>
      <c r="C440" s="10" t="n"/>
      <c r="D440" s="8" t="n"/>
      <c r="E440" s="11" t="n"/>
      <c r="F440" s="9" t="n"/>
      <c r="G440" s="9" t="n"/>
      <c r="H440" s="12">
        <f>IF(A440="","",D440*E440)</f>
        <v/>
      </c>
      <c r="I440" s="12">
        <f>IF(A440="","",IF(Rates!$B$6=1,MIN(H440,Rates!$B$5),H440)*(Rates!$B$4+Rates!$B$13))</f>
        <v/>
      </c>
      <c r="J440" s="12">
        <f>IF(A440="","",IF(D440&lt;=Rates!$B$8,D440*Rates!$B$7,0))</f>
        <v/>
      </c>
      <c r="K440" s="12">
        <f>IF(A440="","",H440*Rates!$B$9)</f>
        <v/>
      </c>
      <c r="L440" s="12">
        <f>IF(A440="","",IF(D440&lt;=Rates!$B$11,H440*Rates!$B$10,0))</f>
        <v/>
      </c>
      <c r="M440" s="12">
        <f>IF(A440="","",Rates!$B$12/12)</f>
        <v/>
      </c>
      <c r="N440" s="12">
        <f>IF(A440="","",D440+I440+J440+K440+L440+M440)</f>
        <v/>
      </c>
      <c r="O440" s="13">
        <f>IF(A440="","",MAX(0,MIN(12,IF(G440="",12,G440))-MAX(1,F440)+1))</f>
        <v/>
      </c>
      <c r="P440" s="12">
        <f>IF(A440="","",N440*O440)</f>
        <v/>
      </c>
      <c r="Q440" s="12">
        <f>IF(A440="","",0.12*IF(Rates!$B$6=1,MIN(H440,Rates!$B$5),H440))</f>
        <v/>
      </c>
      <c r="R440" s="12">
        <f>IF(A440="","",IF(D440&lt;=Rates!$B$8,D440*0.0075,0))</f>
        <v/>
      </c>
    </row>
    <row r="441">
      <c r="A441" s="10" t="n"/>
      <c r="B441" s="10" t="n"/>
      <c r="C441" s="10" t="n"/>
      <c r="D441" s="8" t="n"/>
      <c r="E441" s="11" t="n"/>
      <c r="F441" s="9" t="n"/>
      <c r="G441" s="9" t="n"/>
      <c r="H441" s="12">
        <f>IF(A441="","",D441*E441)</f>
        <v/>
      </c>
      <c r="I441" s="12">
        <f>IF(A441="","",IF(Rates!$B$6=1,MIN(H441,Rates!$B$5),H441)*(Rates!$B$4+Rates!$B$13))</f>
        <v/>
      </c>
      <c r="J441" s="12">
        <f>IF(A441="","",IF(D441&lt;=Rates!$B$8,D441*Rates!$B$7,0))</f>
        <v/>
      </c>
      <c r="K441" s="12">
        <f>IF(A441="","",H441*Rates!$B$9)</f>
        <v/>
      </c>
      <c r="L441" s="12">
        <f>IF(A441="","",IF(D441&lt;=Rates!$B$11,H441*Rates!$B$10,0))</f>
        <v/>
      </c>
      <c r="M441" s="12">
        <f>IF(A441="","",Rates!$B$12/12)</f>
        <v/>
      </c>
      <c r="N441" s="12">
        <f>IF(A441="","",D441+I441+J441+K441+L441+M441)</f>
        <v/>
      </c>
      <c r="O441" s="13">
        <f>IF(A441="","",MAX(0,MIN(12,IF(G441="",12,G441))-MAX(1,F441)+1))</f>
        <v/>
      </c>
      <c r="P441" s="12">
        <f>IF(A441="","",N441*O441)</f>
        <v/>
      </c>
      <c r="Q441" s="12">
        <f>IF(A441="","",0.12*IF(Rates!$B$6=1,MIN(H441,Rates!$B$5),H441))</f>
        <v/>
      </c>
      <c r="R441" s="12">
        <f>IF(A441="","",IF(D441&lt;=Rates!$B$8,D441*0.0075,0))</f>
        <v/>
      </c>
    </row>
    <row r="442">
      <c r="A442" s="10" t="n"/>
      <c r="B442" s="10" t="n"/>
      <c r="C442" s="10" t="n"/>
      <c r="D442" s="8" t="n"/>
      <c r="E442" s="11" t="n"/>
      <c r="F442" s="9" t="n"/>
      <c r="G442" s="9" t="n"/>
      <c r="H442" s="12">
        <f>IF(A442="","",D442*E442)</f>
        <v/>
      </c>
      <c r="I442" s="12">
        <f>IF(A442="","",IF(Rates!$B$6=1,MIN(H442,Rates!$B$5),H442)*(Rates!$B$4+Rates!$B$13))</f>
        <v/>
      </c>
      <c r="J442" s="12">
        <f>IF(A442="","",IF(D442&lt;=Rates!$B$8,D442*Rates!$B$7,0))</f>
        <v/>
      </c>
      <c r="K442" s="12">
        <f>IF(A442="","",H442*Rates!$B$9)</f>
        <v/>
      </c>
      <c r="L442" s="12">
        <f>IF(A442="","",IF(D442&lt;=Rates!$B$11,H442*Rates!$B$10,0))</f>
        <v/>
      </c>
      <c r="M442" s="12">
        <f>IF(A442="","",Rates!$B$12/12)</f>
        <v/>
      </c>
      <c r="N442" s="12">
        <f>IF(A442="","",D442+I442+J442+K442+L442+M442)</f>
        <v/>
      </c>
      <c r="O442" s="13">
        <f>IF(A442="","",MAX(0,MIN(12,IF(G442="",12,G442))-MAX(1,F442)+1))</f>
        <v/>
      </c>
      <c r="P442" s="12">
        <f>IF(A442="","",N442*O442)</f>
        <v/>
      </c>
      <c r="Q442" s="12">
        <f>IF(A442="","",0.12*IF(Rates!$B$6=1,MIN(H442,Rates!$B$5),H442))</f>
        <v/>
      </c>
      <c r="R442" s="12">
        <f>IF(A442="","",IF(D442&lt;=Rates!$B$8,D442*0.0075,0))</f>
        <v/>
      </c>
    </row>
    <row r="443">
      <c r="A443" s="10" t="n"/>
      <c r="B443" s="10" t="n"/>
      <c r="C443" s="10" t="n"/>
      <c r="D443" s="8" t="n"/>
      <c r="E443" s="11" t="n"/>
      <c r="F443" s="9" t="n"/>
      <c r="G443" s="9" t="n"/>
      <c r="H443" s="12">
        <f>IF(A443="","",D443*E443)</f>
        <v/>
      </c>
      <c r="I443" s="12">
        <f>IF(A443="","",IF(Rates!$B$6=1,MIN(H443,Rates!$B$5),H443)*(Rates!$B$4+Rates!$B$13))</f>
        <v/>
      </c>
      <c r="J443" s="12">
        <f>IF(A443="","",IF(D443&lt;=Rates!$B$8,D443*Rates!$B$7,0))</f>
        <v/>
      </c>
      <c r="K443" s="12">
        <f>IF(A443="","",H443*Rates!$B$9)</f>
        <v/>
      </c>
      <c r="L443" s="12">
        <f>IF(A443="","",IF(D443&lt;=Rates!$B$11,H443*Rates!$B$10,0))</f>
        <v/>
      </c>
      <c r="M443" s="12">
        <f>IF(A443="","",Rates!$B$12/12)</f>
        <v/>
      </c>
      <c r="N443" s="12">
        <f>IF(A443="","",D443+I443+J443+K443+L443+M443)</f>
        <v/>
      </c>
      <c r="O443" s="13">
        <f>IF(A443="","",MAX(0,MIN(12,IF(G443="",12,G443))-MAX(1,F443)+1))</f>
        <v/>
      </c>
      <c r="P443" s="12">
        <f>IF(A443="","",N443*O443)</f>
        <v/>
      </c>
      <c r="Q443" s="12">
        <f>IF(A443="","",0.12*IF(Rates!$B$6=1,MIN(H443,Rates!$B$5),H443))</f>
        <v/>
      </c>
      <c r="R443" s="12">
        <f>IF(A443="","",IF(D443&lt;=Rates!$B$8,D443*0.0075,0))</f>
        <v/>
      </c>
    </row>
    <row r="444">
      <c r="A444" s="10" t="n"/>
      <c r="B444" s="10" t="n"/>
      <c r="C444" s="10" t="n"/>
      <c r="D444" s="8" t="n"/>
      <c r="E444" s="11" t="n"/>
      <c r="F444" s="9" t="n"/>
      <c r="G444" s="9" t="n"/>
      <c r="H444" s="12">
        <f>IF(A444="","",D444*E444)</f>
        <v/>
      </c>
      <c r="I444" s="12">
        <f>IF(A444="","",IF(Rates!$B$6=1,MIN(H444,Rates!$B$5),H444)*(Rates!$B$4+Rates!$B$13))</f>
        <v/>
      </c>
      <c r="J444" s="12">
        <f>IF(A444="","",IF(D444&lt;=Rates!$B$8,D444*Rates!$B$7,0))</f>
        <v/>
      </c>
      <c r="K444" s="12">
        <f>IF(A444="","",H444*Rates!$B$9)</f>
        <v/>
      </c>
      <c r="L444" s="12">
        <f>IF(A444="","",IF(D444&lt;=Rates!$B$11,H444*Rates!$B$10,0))</f>
        <v/>
      </c>
      <c r="M444" s="12">
        <f>IF(A444="","",Rates!$B$12/12)</f>
        <v/>
      </c>
      <c r="N444" s="12">
        <f>IF(A444="","",D444+I444+J444+K444+L444+M444)</f>
        <v/>
      </c>
      <c r="O444" s="13">
        <f>IF(A444="","",MAX(0,MIN(12,IF(G444="",12,G444))-MAX(1,F444)+1))</f>
        <v/>
      </c>
      <c r="P444" s="12">
        <f>IF(A444="","",N444*O444)</f>
        <v/>
      </c>
      <c r="Q444" s="12">
        <f>IF(A444="","",0.12*IF(Rates!$B$6=1,MIN(H444,Rates!$B$5),H444))</f>
        <v/>
      </c>
      <c r="R444" s="12">
        <f>IF(A444="","",IF(D444&lt;=Rates!$B$8,D444*0.0075,0))</f>
        <v/>
      </c>
    </row>
    <row r="445">
      <c r="A445" s="10" t="n"/>
      <c r="B445" s="10" t="n"/>
      <c r="C445" s="10" t="n"/>
      <c r="D445" s="8" t="n"/>
      <c r="E445" s="11" t="n"/>
      <c r="F445" s="9" t="n"/>
      <c r="G445" s="9" t="n"/>
      <c r="H445" s="12">
        <f>IF(A445="","",D445*E445)</f>
        <v/>
      </c>
      <c r="I445" s="12">
        <f>IF(A445="","",IF(Rates!$B$6=1,MIN(H445,Rates!$B$5),H445)*(Rates!$B$4+Rates!$B$13))</f>
        <v/>
      </c>
      <c r="J445" s="12">
        <f>IF(A445="","",IF(D445&lt;=Rates!$B$8,D445*Rates!$B$7,0))</f>
        <v/>
      </c>
      <c r="K445" s="12">
        <f>IF(A445="","",H445*Rates!$B$9)</f>
        <v/>
      </c>
      <c r="L445" s="12">
        <f>IF(A445="","",IF(D445&lt;=Rates!$B$11,H445*Rates!$B$10,0))</f>
        <v/>
      </c>
      <c r="M445" s="12">
        <f>IF(A445="","",Rates!$B$12/12)</f>
        <v/>
      </c>
      <c r="N445" s="12">
        <f>IF(A445="","",D445+I445+J445+K445+L445+M445)</f>
        <v/>
      </c>
      <c r="O445" s="13">
        <f>IF(A445="","",MAX(0,MIN(12,IF(G445="",12,G445))-MAX(1,F445)+1))</f>
        <v/>
      </c>
      <c r="P445" s="12">
        <f>IF(A445="","",N445*O445)</f>
        <v/>
      </c>
      <c r="Q445" s="12">
        <f>IF(A445="","",0.12*IF(Rates!$B$6=1,MIN(H445,Rates!$B$5),H445))</f>
        <v/>
      </c>
      <c r="R445" s="12">
        <f>IF(A445="","",IF(D445&lt;=Rates!$B$8,D445*0.0075,0))</f>
        <v/>
      </c>
    </row>
    <row r="446">
      <c r="A446" s="10" t="n"/>
      <c r="B446" s="10" t="n"/>
      <c r="C446" s="10" t="n"/>
      <c r="D446" s="8" t="n"/>
      <c r="E446" s="11" t="n"/>
      <c r="F446" s="9" t="n"/>
      <c r="G446" s="9" t="n"/>
      <c r="H446" s="12">
        <f>IF(A446="","",D446*E446)</f>
        <v/>
      </c>
      <c r="I446" s="12">
        <f>IF(A446="","",IF(Rates!$B$6=1,MIN(H446,Rates!$B$5),H446)*(Rates!$B$4+Rates!$B$13))</f>
        <v/>
      </c>
      <c r="J446" s="12">
        <f>IF(A446="","",IF(D446&lt;=Rates!$B$8,D446*Rates!$B$7,0))</f>
        <v/>
      </c>
      <c r="K446" s="12">
        <f>IF(A446="","",H446*Rates!$B$9)</f>
        <v/>
      </c>
      <c r="L446" s="12">
        <f>IF(A446="","",IF(D446&lt;=Rates!$B$11,H446*Rates!$B$10,0))</f>
        <v/>
      </c>
      <c r="M446" s="12">
        <f>IF(A446="","",Rates!$B$12/12)</f>
        <v/>
      </c>
      <c r="N446" s="12">
        <f>IF(A446="","",D446+I446+J446+K446+L446+M446)</f>
        <v/>
      </c>
      <c r="O446" s="13">
        <f>IF(A446="","",MAX(0,MIN(12,IF(G446="",12,G446))-MAX(1,F446)+1))</f>
        <v/>
      </c>
      <c r="P446" s="12">
        <f>IF(A446="","",N446*O446)</f>
        <v/>
      </c>
      <c r="Q446" s="12">
        <f>IF(A446="","",0.12*IF(Rates!$B$6=1,MIN(H446,Rates!$B$5),H446))</f>
        <v/>
      </c>
      <c r="R446" s="12">
        <f>IF(A446="","",IF(D446&lt;=Rates!$B$8,D446*0.0075,0))</f>
        <v/>
      </c>
    </row>
    <row r="447">
      <c r="A447" s="10" t="n"/>
      <c r="B447" s="10" t="n"/>
      <c r="C447" s="10" t="n"/>
      <c r="D447" s="8" t="n"/>
      <c r="E447" s="11" t="n"/>
      <c r="F447" s="9" t="n"/>
      <c r="G447" s="9" t="n"/>
      <c r="H447" s="12">
        <f>IF(A447="","",D447*E447)</f>
        <v/>
      </c>
      <c r="I447" s="12">
        <f>IF(A447="","",IF(Rates!$B$6=1,MIN(H447,Rates!$B$5),H447)*(Rates!$B$4+Rates!$B$13))</f>
        <v/>
      </c>
      <c r="J447" s="12">
        <f>IF(A447="","",IF(D447&lt;=Rates!$B$8,D447*Rates!$B$7,0))</f>
        <v/>
      </c>
      <c r="K447" s="12">
        <f>IF(A447="","",H447*Rates!$B$9)</f>
        <v/>
      </c>
      <c r="L447" s="12">
        <f>IF(A447="","",IF(D447&lt;=Rates!$B$11,H447*Rates!$B$10,0))</f>
        <v/>
      </c>
      <c r="M447" s="12">
        <f>IF(A447="","",Rates!$B$12/12)</f>
        <v/>
      </c>
      <c r="N447" s="12">
        <f>IF(A447="","",D447+I447+J447+K447+L447+M447)</f>
        <v/>
      </c>
      <c r="O447" s="13">
        <f>IF(A447="","",MAX(0,MIN(12,IF(G447="",12,G447))-MAX(1,F447)+1))</f>
        <v/>
      </c>
      <c r="P447" s="12">
        <f>IF(A447="","",N447*O447)</f>
        <v/>
      </c>
      <c r="Q447" s="12">
        <f>IF(A447="","",0.12*IF(Rates!$B$6=1,MIN(H447,Rates!$B$5),H447))</f>
        <v/>
      </c>
      <c r="R447" s="12">
        <f>IF(A447="","",IF(D447&lt;=Rates!$B$8,D447*0.0075,0))</f>
        <v/>
      </c>
    </row>
    <row r="448">
      <c r="A448" s="10" t="n"/>
      <c r="B448" s="10" t="n"/>
      <c r="C448" s="10" t="n"/>
      <c r="D448" s="8" t="n"/>
      <c r="E448" s="11" t="n"/>
      <c r="F448" s="9" t="n"/>
      <c r="G448" s="9" t="n"/>
      <c r="H448" s="12">
        <f>IF(A448="","",D448*E448)</f>
        <v/>
      </c>
      <c r="I448" s="12">
        <f>IF(A448="","",IF(Rates!$B$6=1,MIN(H448,Rates!$B$5),H448)*(Rates!$B$4+Rates!$B$13))</f>
        <v/>
      </c>
      <c r="J448" s="12">
        <f>IF(A448="","",IF(D448&lt;=Rates!$B$8,D448*Rates!$B$7,0))</f>
        <v/>
      </c>
      <c r="K448" s="12">
        <f>IF(A448="","",H448*Rates!$B$9)</f>
        <v/>
      </c>
      <c r="L448" s="12">
        <f>IF(A448="","",IF(D448&lt;=Rates!$B$11,H448*Rates!$B$10,0))</f>
        <v/>
      </c>
      <c r="M448" s="12">
        <f>IF(A448="","",Rates!$B$12/12)</f>
        <v/>
      </c>
      <c r="N448" s="12">
        <f>IF(A448="","",D448+I448+J448+K448+L448+M448)</f>
        <v/>
      </c>
      <c r="O448" s="13">
        <f>IF(A448="","",MAX(0,MIN(12,IF(G448="",12,G448))-MAX(1,F448)+1))</f>
        <v/>
      </c>
      <c r="P448" s="12">
        <f>IF(A448="","",N448*O448)</f>
        <v/>
      </c>
      <c r="Q448" s="12">
        <f>IF(A448="","",0.12*IF(Rates!$B$6=1,MIN(H448,Rates!$B$5),H448))</f>
        <v/>
      </c>
      <c r="R448" s="12">
        <f>IF(A448="","",IF(D448&lt;=Rates!$B$8,D448*0.0075,0))</f>
        <v/>
      </c>
    </row>
    <row r="449">
      <c r="A449" s="10" t="n"/>
      <c r="B449" s="10" t="n"/>
      <c r="C449" s="10" t="n"/>
      <c r="D449" s="8" t="n"/>
      <c r="E449" s="11" t="n"/>
      <c r="F449" s="9" t="n"/>
      <c r="G449" s="9" t="n"/>
      <c r="H449" s="12">
        <f>IF(A449="","",D449*E449)</f>
        <v/>
      </c>
      <c r="I449" s="12">
        <f>IF(A449="","",IF(Rates!$B$6=1,MIN(H449,Rates!$B$5),H449)*(Rates!$B$4+Rates!$B$13))</f>
        <v/>
      </c>
      <c r="J449" s="12">
        <f>IF(A449="","",IF(D449&lt;=Rates!$B$8,D449*Rates!$B$7,0))</f>
        <v/>
      </c>
      <c r="K449" s="12">
        <f>IF(A449="","",H449*Rates!$B$9)</f>
        <v/>
      </c>
      <c r="L449" s="12">
        <f>IF(A449="","",IF(D449&lt;=Rates!$B$11,H449*Rates!$B$10,0))</f>
        <v/>
      </c>
      <c r="M449" s="12">
        <f>IF(A449="","",Rates!$B$12/12)</f>
        <v/>
      </c>
      <c r="N449" s="12">
        <f>IF(A449="","",D449+I449+J449+K449+L449+M449)</f>
        <v/>
      </c>
      <c r="O449" s="13">
        <f>IF(A449="","",MAX(0,MIN(12,IF(G449="",12,G449))-MAX(1,F449)+1))</f>
        <v/>
      </c>
      <c r="P449" s="12">
        <f>IF(A449="","",N449*O449)</f>
        <v/>
      </c>
      <c r="Q449" s="12">
        <f>IF(A449="","",0.12*IF(Rates!$B$6=1,MIN(H449,Rates!$B$5),H449))</f>
        <v/>
      </c>
      <c r="R449" s="12">
        <f>IF(A449="","",IF(D449&lt;=Rates!$B$8,D449*0.0075,0))</f>
        <v/>
      </c>
    </row>
    <row r="450">
      <c r="A450" s="10" t="n"/>
      <c r="B450" s="10" t="n"/>
      <c r="C450" s="10" t="n"/>
      <c r="D450" s="8" t="n"/>
      <c r="E450" s="11" t="n"/>
      <c r="F450" s="9" t="n"/>
      <c r="G450" s="9" t="n"/>
      <c r="H450" s="12">
        <f>IF(A450="","",D450*E450)</f>
        <v/>
      </c>
      <c r="I450" s="12">
        <f>IF(A450="","",IF(Rates!$B$6=1,MIN(H450,Rates!$B$5),H450)*(Rates!$B$4+Rates!$B$13))</f>
        <v/>
      </c>
      <c r="J450" s="12">
        <f>IF(A450="","",IF(D450&lt;=Rates!$B$8,D450*Rates!$B$7,0))</f>
        <v/>
      </c>
      <c r="K450" s="12">
        <f>IF(A450="","",H450*Rates!$B$9)</f>
        <v/>
      </c>
      <c r="L450" s="12">
        <f>IF(A450="","",IF(D450&lt;=Rates!$B$11,H450*Rates!$B$10,0))</f>
        <v/>
      </c>
      <c r="M450" s="12">
        <f>IF(A450="","",Rates!$B$12/12)</f>
        <v/>
      </c>
      <c r="N450" s="12">
        <f>IF(A450="","",D450+I450+J450+K450+L450+M450)</f>
        <v/>
      </c>
      <c r="O450" s="13">
        <f>IF(A450="","",MAX(0,MIN(12,IF(G450="",12,G450))-MAX(1,F450)+1))</f>
        <v/>
      </c>
      <c r="P450" s="12">
        <f>IF(A450="","",N450*O450)</f>
        <v/>
      </c>
      <c r="Q450" s="12">
        <f>IF(A450="","",0.12*IF(Rates!$B$6=1,MIN(H450,Rates!$B$5),H450))</f>
        <v/>
      </c>
      <c r="R450" s="12">
        <f>IF(A450="","",IF(D450&lt;=Rates!$B$8,D450*0.0075,0))</f>
        <v/>
      </c>
    </row>
    <row r="451">
      <c r="A451" s="10" t="n"/>
      <c r="B451" s="10" t="n"/>
      <c r="C451" s="10" t="n"/>
      <c r="D451" s="8" t="n"/>
      <c r="E451" s="11" t="n"/>
      <c r="F451" s="9" t="n"/>
      <c r="G451" s="9" t="n"/>
      <c r="H451" s="12">
        <f>IF(A451="","",D451*E451)</f>
        <v/>
      </c>
      <c r="I451" s="12">
        <f>IF(A451="","",IF(Rates!$B$6=1,MIN(H451,Rates!$B$5),H451)*(Rates!$B$4+Rates!$B$13))</f>
        <v/>
      </c>
      <c r="J451" s="12">
        <f>IF(A451="","",IF(D451&lt;=Rates!$B$8,D451*Rates!$B$7,0))</f>
        <v/>
      </c>
      <c r="K451" s="12">
        <f>IF(A451="","",H451*Rates!$B$9)</f>
        <v/>
      </c>
      <c r="L451" s="12">
        <f>IF(A451="","",IF(D451&lt;=Rates!$B$11,H451*Rates!$B$10,0))</f>
        <v/>
      </c>
      <c r="M451" s="12">
        <f>IF(A451="","",Rates!$B$12/12)</f>
        <v/>
      </c>
      <c r="N451" s="12">
        <f>IF(A451="","",D451+I451+J451+K451+L451+M451)</f>
        <v/>
      </c>
      <c r="O451" s="13">
        <f>IF(A451="","",MAX(0,MIN(12,IF(G451="",12,G451))-MAX(1,F451)+1))</f>
        <v/>
      </c>
      <c r="P451" s="12">
        <f>IF(A451="","",N451*O451)</f>
        <v/>
      </c>
      <c r="Q451" s="12">
        <f>IF(A451="","",0.12*IF(Rates!$B$6=1,MIN(H451,Rates!$B$5),H451))</f>
        <v/>
      </c>
      <c r="R451" s="12">
        <f>IF(A451="","",IF(D451&lt;=Rates!$B$8,D451*0.0075,0))</f>
        <v/>
      </c>
    </row>
    <row r="452">
      <c r="A452" s="10" t="n"/>
      <c r="B452" s="10" t="n"/>
      <c r="C452" s="10" t="n"/>
      <c r="D452" s="8" t="n"/>
      <c r="E452" s="11" t="n"/>
      <c r="F452" s="9" t="n"/>
      <c r="G452" s="9" t="n"/>
      <c r="H452" s="12">
        <f>IF(A452="","",D452*E452)</f>
        <v/>
      </c>
      <c r="I452" s="12">
        <f>IF(A452="","",IF(Rates!$B$6=1,MIN(H452,Rates!$B$5),H452)*(Rates!$B$4+Rates!$B$13))</f>
        <v/>
      </c>
      <c r="J452" s="12">
        <f>IF(A452="","",IF(D452&lt;=Rates!$B$8,D452*Rates!$B$7,0))</f>
        <v/>
      </c>
      <c r="K452" s="12">
        <f>IF(A452="","",H452*Rates!$B$9)</f>
        <v/>
      </c>
      <c r="L452" s="12">
        <f>IF(A452="","",IF(D452&lt;=Rates!$B$11,H452*Rates!$B$10,0))</f>
        <v/>
      </c>
      <c r="M452" s="12">
        <f>IF(A452="","",Rates!$B$12/12)</f>
        <v/>
      </c>
      <c r="N452" s="12">
        <f>IF(A452="","",D452+I452+J452+K452+L452+M452)</f>
        <v/>
      </c>
      <c r="O452" s="13">
        <f>IF(A452="","",MAX(0,MIN(12,IF(G452="",12,G452))-MAX(1,F452)+1))</f>
        <v/>
      </c>
      <c r="P452" s="12">
        <f>IF(A452="","",N452*O452)</f>
        <v/>
      </c>
      <c r="Q452" s="12">
        <f>IF(A452="","",0.12*IF(Rates!$B$6=1,MIN(H452,Rates!$B$5),H452))</f>
        <v/>
      </c>
      <c r="R452" s="12">
        <f>IF(A452="","",IF(D452&lt;=Rates!$B$8,D452*0.0075,0))</f>
        <v/>
      </c>
    </row>
    <row r="453">
      <c r="A453" s="10" t="n"/>
      <c r="B453" s="10" t="n"/>
      <c r="C453" s="10" t="n"/>
      <c r="D453" s="8" t="n"/>
      <c r="E453" s="11" t="n"/>
      <c r="F453" s="9" t="n"/>
      <c r="G453" s="9" t="n"/>
      <c r="H453" s="12">
        <f>IF(A453="","",D453*E453)</f>
        <v/>
      </c>
      <c r="I453" s="12">
        <f>IF(A453="","",IF(Rates!$B$6=1,MIN(H453,Rates!$B$5),H453)*(Rates!$B$4+Rates!$B$13))</f>
        <v/>
      </c>
      <c r="J453" s="12">
        <f>IF(A453="","",IF(D453&lt;=Rates!$B$8,D453*Rates!$B$7,0))</f>
        <v/>
      </c>
      <c r="K453" s="12">
        <f>IF(A453="","",H453*Rates!$B$9)</f>
        <v/>
      </c>
      <c r="L453" s="12">
        <f>IF(A453="","",IF(D453&lt;=Rates!$B$11,H453*Rates!$B$10,0))</f>
        <v/>
      </c>
      <c r="M453" s="12">
        <f>IF(A453="","",Rates!$B$12/12)</f>
        <v/>
      </c>
      <c r="N453" s="12">
        <f>IF(A453="","",D453+I453+J453+K453+L453+M453)</f>
        <v/>
      </c>
      <c r="O453" s="13">
        <f>IF(A453="","",MAX(0,MIN(12,IF(G453="",12,G453))-MAX(1,F453)+1))</f>
        <v/>
      </c>
      <c r="P453" s="12">
        <f>IF(A453="","",N453*O453)</f>
        <v/>
      </c>
      <c r="Q453" s="12">
        <f>IF(A453="","",0.12*IF(Rates!$B$6=1,MIN(H453,Rates!$B$5),H453))</f>
        <v/>
      </c>
      <c r="R453" s="12">
        <f>IF(A453="","",IF(D453&lt;=Rates!$B$8,D453*0.0075,0))</f>
        <v/>
      </c>
    </row>
    <row r="454">
      <c r="A454" s="10" t="n"/>
      <c r="B454" s="10" t="n"/>
      <c r="C454" s="10" t="n"/>
      <c r="D454" s="8" t="n"/>
      <c r="E454" s="11" t="n"/>
      <c r="F454" s="9" t="n"/>
      <c r="G454" s="9" t="n"/>
      <c r="H454" s="12">
        <f>IF(A454="","",D454*E454)</f>
        <v/>
      </c>
      <c r="I454" s="12">
        <f>IF(A454="","",IF(Rates!$B$6=1,MIN(H454,Rates!$B$5),H454)*(Rates!$B$4+Rates!$B$13))</f>
        <v/>
      </c>
      <c r="J454" s="12">
        <f>IF(A454="","",IF(D454&lt;=Rates!$B$8,D454*Rates!$B$7,0))</f>
        <v/>
      </c>
      <c r="K454" s="12">
        <f>IF(A454="","",H454*Rates!$B$9)</f>
        <v/>
      </c>
      <c r="L454" s="12">
        <f>IF(A454="","",IF(D454&lt;=Rates!$B$11,H454*Rates!$B$10,0))</f>
        <v/>
      </c>
      <c r="M454" s="12">
        <f>IF(A454="","",Rates!$B$12/12)</f>
        <v/>
      </c>
      <c r="N454" s="12">
        <f>IF(A454="","",D454+I454+J454+K454+L454+M454)</f>
        <v/>
      </c>
      <c r="O454" s="13">
        <f>IF(A454="","",MAX(0,MIN(12,IF(G454="",12,G454))-MAX(1,F454)+1))</f>
        <v/>
      </c>
      <c r="P454" s="12">
        <f>IF(A454="","",N454*O454)</f>
        <v/>
      </c>
      <c r="Q454" s="12">
        <f>IF(A454="","",0.12*IF(Rates!$B$6=1,MIN(H454,Rates!$B$5),H454))</f>
        <v/>
      </c>
      <c r="R454" s="12">
        <f>IF(A454="","",IF(D454&lt;=Rates!$B$8,D454*0.0075,0))</f>
        <v/>
      </c>
    </row>
    <row r="455">
      <c r="A455" s="10" t="n"/>
      <c r="B455" s="10" t="n"/>
      <c r="C455" s="10" t="n"/>
      <c r="D455" s="8" t="n"/>
      <c r="E455" s="11" t="n"/>
      <c r="F455" s="9" t="n"/>
      <c r="G455" s="9" t="n"/>
      <c r="H455" s="12">
        <f>IF(A455="","",D455*E455)</f>
        <v/>
      </c>
      <c r="I455" s="12">
        <f>IF(A455="","",IF(Rates!$B$6=1,MIN(H455,Rates!$B$5),H455)*(Rates!$B$4+Rates!$B$13))</f>
        <v/>
      </c>
      <c r="J455" s="12">
        <f>IF(A455="","",IF(D455&lt;=Rates!$B$8,D455*Rates!$B$7,0))</f>
        <v/>
      </c>
      <c r="K455" s="12">
        <f>IF(A455="","",H455*Rates!$B$9)</f>
        <v/>
      </c>
      <c r="L455" s="12">
        <f>IF(A455="","",IF(D455&lt;=Rates!$B$11,H455*Rates!$B$10,0))</f>
        <v/>
      </c>
      <c r="M455" s="12">
        <f>IF(A455="","",Rates!$B$12/12)</f>
        <v/>
      </c>
      <c r="N455" s="12">
        <f>IF(A455="","",D455+I455+J455+K455+L455+M455)</f>
        <v/>
      </c>
      <c r="O455" s="13">
        <f>IF(A455="","",MAX(0,MIN(12,IF(G455="",12,G455))-MAX(1,F455)+1))</f>
        <v/>
      </c>
      <c r="P455" s="12">
        <f>IF(A455="","",N455*O455)</f>
        <v/>
      </c>
      <c r="Q455" s="12">
        <f>IF(A455="","",0.12*IF(Rates!$B$6=1,MIN(H455,Rates!$B$5),H455))</f>
        <v/>
      </c>
      <c r="R455" s="12">
        <f>IF(A455="","",IF(D455&lt;=Rates!$B$8,D455*0.0075,0))</f>
        <v/>
      </c>
    </row>
    <row r="456">
      <c r="A456" s="10" t="n"/>
      <c r="B456" s="10" t="n"/>
      <c r="C456" s="10" t="n"/>
      <c r="D456" s="8" t="n"/>
      <c r="E456" s="11" t="n"/>
      <c r="F456" s="9" t="n"/>
      <c r="G456" s="9" t="n"/>
      <c r="H456" s="12">
        <f>IF(A456="","",D456*E456)</f>
        <v/>
      </c>
      <c r="I456" s="12">
        <f>IF(A456="","",IF(Rates!$B$6=1,MIN(H456,Rates!$B$5),H456)*(Rates!$B$4+Rates!$B$13))</f>
        <v/>
      </c>
      <c r="J456" s="12">
        <f>IF(A456="","",IF(D456&lt;=Rates!$B$8,D456*Rates!$B$7,0))</f>
        <v/>
      </c>
      <c r="K456" s="12">
        <f>IF(A456="","",H456*Rates!$B$9)</f>
        <v/>
      </c>
      <c r="L456" s="12">
        <f>IF(A456="","",IF(D456&lt;=Rates!$B$11,H456*Rates!$B$10,0))</f>
        <v/>
      </c>
      <c r="M456" s="12">
        <f>IF(A456="","",Rates!$B$12/12)</f>
        <v/>
      </c>
      <c r="N456" s="12">
        <f>IF(A456="","",D456+I456+J456+K456+L456+M456)</f>
        <v/>
      </c>
      <c r="O456" s="13">
        <f>IF(A456="","",MAX(0,MIN(12,IF(G456="",12,G456))-MAX(1,F456)+1))</f>
        <v/>
      </c>
      <c r="P456" s="12">
        <f>IF(A456="","",N456*O456)</f>
        <v/>
      </c>
      <c r="Q456" s="12">
        <f>IF(A456="","",0.12*IF(Rates!$B$6=1,MIN(H456,Rates!$B$5),H456))</f>
        <v/>
      </c>
      <c r="R456" s="12">
        <f>IF(A456="","",IF(D456&lt;=Rates!$B$8,D456*0.0075,0))</f>
        <v/>
      </c>
    </row>
    <row r="457">
      <c r="A457" s="10" t="n"/>
      <c r="B457" s="10" t="n"/>
      <c r="C457" s="10" t="n"/>
      <c r="D457" s="8" t="n"/>
      <c r="E457" s="11" t="n"/>
      <c r="F457" s="9" t="n"/>
      <c r="G457" s="9" t="n"/>
      <c r="H457" s="12">
        <f>IF(A457="","",D457*E457)</f>
        <v/>
      </c>
      <c r="I457" s="12">
        <f>IF(A457="","",IF(Rates!$B$6=1,MIN(H457,Rates!$B$5),H457)*(Rates!$B$4+Rates!$B$13))</f>
        <v/>
      </c>
      <c r="J457" s="12">
        <f>IF(A457="","",IF(D457&lt;=Rates!$B$8,D457*Rates!$B$7,0))</f>
        <v/>
      </c>
      <c r="K457" s="12">
        <f>IF(A457="","",H457*Rates!$B$9)</f>
        <v/>
      </c>
      <c r="L457" s="12">
        <f>IF(A457="","",IF(D457&lt;=Rates!$B$11,H457*Rates!$B$10,0))</f>
        <v/>
      </c>
      <c r="M457" s="12">
        <f>IF(A457="","",Rates!$B$12/12)</f>
        <v/>
      </c>
      <c r="N457" s="12">
        <f>IF(A457="","",D457+I457+J457+K457+L457+M457)</f>
        <v/>
      </c>
      <c r="O457" s="13">
        <f>IF(A457="","",MAX(0,MIN(12,IF(G457="",12,G457))-MAX(1,F457)+1))</f>
        <v/>
      </c>
      <c r="P457" s="12">
        <f>IF(A457="","",N457*O457)</f>
        <v/>
      </c>
      <c r="Q457" s="12">
        <f>IF(A457="","",0.12*IF(Rates!$B$6=1,MIN(H457,Rates!$B$5),H457))</f>
        <v/>
      </c>
      <c r="R457" s="12">
        <f>IF(A457="","",IF(D457&lt;=Rates!$B$8,D457*0.0075,0))</f>
        <v/>
      </c>
    </row>
    <row r="458">
      <c r="A458" s="10" t="n"/>
      <c r="B458" s="10" t="n"/>
      <c r="C458" s="10" t="n"/>
      <c r="D458" s="8" t="n"/>
      <c r="E458" s="11" t="n"/>
      <c r="F458" s="9" t="n"/>
      <c r="G458" s="9" t="n"/>
      <c r="H458" s="12">
        <f>IF(A458="","",D458*E458)</f>
        <v/>
      </c>
      <c r="I458" s="12">
        <f>IF(A458="","",IF(Rates!$B$6=1,MIN(H458,Rates!$B$5),H458)*(Rates!$B$4+Rates!$B$13))</f>
        <v/>
      </c>
      <c r="J458" s="12">
        <f>IF(A458="","",IF(D458&lt;=Rates!$B$8,D458*Rates!$B$7,0))</f>
        <v/>
      </c>
      <c r="K458" s="12">
        <f>IF(A458="","",H458*Rates!$B$9)</f>
        <v/>
      </c>
      <c r="L458" s="12">
        <f>IF(A458="","",IF(D458&lt;=Rates!$B$11,H458*Rates!$B$10,0))</f>
        <v/>
      </c>
      <c r="M458" s="12">
        <f>IF(A458="","",Rates!$B$12/12)</f>
        <v/>
      </c>
      <c r="N458" s="12">
        <f>IF(A458="","",D458+I458+J458+K458+L458+M458)</f>
        <v/>
      </c>
      <c r="O458" s="13">
        <f>IF(A458="","",MAX(0,MIN(12,IF(G458="",12,G458))-MAX(1,F458)+1))</f>
        <v/>
      </c>
      <c r="P458" s="12">
        <f>IF(A458="","",N458*O458)</f>
        <v/>
      </c>
      <c r="Q458" s="12">
        <f>IF(A458="","",0.12*IF(Rates!$B$6=1,MIN(H458,Rates!$B$5),H458))</f>
        <v/>
      </c>
      <c r="R458" s="12">
        <f>IF(A458="","",IF(D458&lt;=Rates!$B$8,D458*0.0075,0))</f>
        <v/>
      </c>
    </row>
    <row r="459">
      <c r="A459" s="10" t="n"/>
      <c r="B459" s="10" t="n"/>
      <c r="C459" s="10" t="n"/>
      <c r="D459" s="8" t="n"/>
      <c r="E459" s="11" t="n"/>
      <c r="F459" s="9" t="n"/>
      <c r="G459" s="9" t="n"/>
      <c r="H459" s="12">
        <f>IF(A459="","",D459*E459)</f>
        <v/>
      </c>
      <c r="I459" s="12">
        <f>IF(A459="","",IF(Rates!$B$6=1,MIN(H459,Rates!$B$5),H459)*(Rates!$B$4+Rates!$B$13))</f>
        <v/>
      </c>
      <c r="J459" s="12">
        <f>IF(A459="","",IF(D459&lt;=Rates!$B$8,D459*Rates!$B$7,0))</f>
        <v/>
      </c>
      <c r="K459" s="12">
        <f>IF(A459="","",H459*Rates!$B$9)</f>
        <v/>
      </c>
      <c r="L459" s="12">
        <f>IF(A459="","",IF(D459&lt;=Rates!$B$11,H459*Rates!$B$10,0))</f>
        <v/>
      </c>
      <c r="M459" s="12">
        <f>IF(A459="","",Rates!$B$12/12)</f>
        <v/>
      </c>
      <c r="N459" s="12">
        <f>IF(A459="","",D459+I459+J459+K459+L459+M459)</f>
        <v/>
      </c>
      <c r="O459" s="13">
        <f>IF(A459="","",MAX(0,MIN(12,IF(G459="",12,G459))-MAX(1,F459)+1))</f>
        <v/>
      </c>
      <c r="P459" s="12">
        <f>IF(A459="","",N459*O459)</f>
        <v/>
      </c>
      <c r="Q459" s="12">
        <f>IF(A459="","",0.12*IF(Rates!$B$6=1,MIN(H459,Rates!$B$5),H459))</f>
        <v/>
      </c>
      <c r="R459" s="12">
        <f>IF(A459="","",IF(D459&lt;=Rates!$B$8,D459*0.0075,0))</f>
        <v/>
      </c>
    </row>
    <row r="460">
      <c r="A460" s="10" t="n"/>
      <c r="B460" s="10" t="n"/>
      <c r="C460" s="10" t="n"/>
      <c r="D460" s="8" t="n"/>
      <c r="E460" s="11" t="n"/>
      <c r="F460" s="9" t="n"/>
      <c r="G460" s="9" t="n"/>
      <c r="H460" s="12">
        <f>IF(A460="","",D460*E460)</f>
        <v/>
      </c>
      <c r="I460" s="12">
        <f>IF(A460="","",IF(Rates!$B$6=1,MIN(H460,Rates!$B$5),H460)*(Rates!$B$4+Rates!$B$13))</f>
        <v/>
      </c>
      <c r="J460" s="12">
        <f>IF(A460="","",IF(D460&lt;=Rates!$B$8,D460*Rates!$B$7,0))</f>
        <v/>
      </c>
      <c r="K460" s="12">
        <f>IF(A460="","",H460*Rates!$B$9)</f>
        <v/>
      </c>
      <c r="L460" s="12">
        <f>IF(A460="","",IF(D460&lt;=Rates!$B$11,H460*Rates!$B$10,0))</f>
        <v/>
      </c>
      <c r="M460" s="12">
        <f>IF(A460="","",Rates!$B$12/12)</f>
        <v/>
      </c>
      <c r="N460" s="12">
        <f>IF(A460="","",D460+I460+J460+K460+L460+M460)</f>
        <v/>
      </c>
      <c r="O460" s="13">
        <f>IF(A460="","",MAX(0,MIN(12,IF(G460="",12,G460))-MAX(1,F460)+1))</f>
        <v/>
      </c>
      <c r="P460" s="12">
        <f>IF(A460="","",N460*O460)</f>
        <v/>
      </c>
      <c r="Q460" s="12">
        <f>IF(A460="","",0.12*IF(Rates!$B$6=1,MIN(H460,Rates!$B$5),H460))</f>
        <v/>
      </c>
      <c r="R460" s="12">
        <f>IF(A460="","",IF(D460&lt;=Rates!$B$8,D460*0.0075,0))</f>
        <v/>
      </c>
    </row>
    <row r="461">
      <c r="A461" s="10" t="n"/>
      <c r="B461" s="10" t="n"/>
      <c r="C461" s="10" t="n"/>
      <c r="D461" s="8" t="n"/>
      <c r="E461" s="11" t="n"/>
      <c r="F461" s="9" t="n"/>
      <c r="G461" s="9" t="n"/>
      <c r="H461" s="12">
        <f>IF(A461="","",D461*E461)</f>
        <v/>
      </c>
      <c r="I461" s="12">
        <f>IF(A461="","",IF(Rates!$B$6=1,MIN(H461,Rates!$B$5),H461)*(Rates!$B$4+Rates!$B$13))</f>
        <v/>
      </c>
      <c r="J461" s="12">
        <f>IF(A461="","",IF(D461&lt;=Rates!$B$8,D461*Rates!$B$7,0))</f>
        <v/>
      </c>
      <c r="K461" s="12">
        <f>IF(A461="","",H461*Rates!$B$9)</f>
        <v/>
      </c>
      <c r="L461" s="12">
        <f>IF(A461="","",IF(D461&lt;=Rates!$B$11,H461*Rates!$B$10,0))</f>
        <v/>
      </c>
      <c r="M461" s="12">
        <f>IF(A461="","",Rates!$B$12/12)</f>
        <v/>
      </c>
      <c r="N461" s="12">
        <f>IF(A461="","",D461+I461+J461+K461+L461+M461)</f>
        <v/>
      </c>
      <c r="O461" s="13">
        <f>IF(A461="","",MAX(0,MIN(12,IF(G461="",12,G461))-MAX(1,F461)+1))</f>
        <v/>
      </c>
      <c r="P461" s="12">
        <f>IF(A461="","",N461*O461)</f>
        <v/>
      </c>
      <c r="Q461" s="12">
        <f>IF(A461="","",0.12*IF(Rates!$B$6=1,MIN(H461,Rates!$B$5),H461))</f>
        <v/>
      </c>
      <c r="R461" s="12">
        <f>IF(A461="","",IF(D461&lt;=Rates!$B$8,D461*0.0075,0))</f>
        <v/>
      </c>
    </row>
    <row r="462">
      <c r="A462" s="10" t="n"/>
      <c r="B462" s="10" t="n"/>
      <c r="C462" s="10" t="n"/>
      <c r="D462" s="8" t="n"/>
      <c r="E462" s="11" t="n"/>
      <c r="F462" s="9" t="n"/>
      <c r="G462" s="9" t="n"/>
      <c r="H462" s="12">
        <f>IF(A462="","",D462*E462)</f>
        <v/>
      </c>
      <c r="I462" s="12">
        <f>IF(A462="","",IF(Rates!$B$6=1,MIN(H462,Rates!$B$5),H462)*(Rates!$B$4+Rates!$B$13))</f>
        <v/>
      </c>
      <c r="J462" s="12">
        <f>IF(A462="","",IF(D462&lt;=Rates!$B$8,D462*Rates!$B$7,0))</f>
        <v/>
      </c>
      <c r="K462" s="12">
        <f>IF(A462="","",H462*Rates!$B$9)</f>
        <v/>
      </c>
      <c r="L462" s="12">
        <f>IF(A462="","",IF(D462&lt;=Rates!$B$11,H462*Rates!$B$10,0))</f>
        <v/>
      </c>
      <c r="M462" s="12">
        <f>IF(A462="","",Rates!$B$12/12)</f>
        <v/>
      </c>
      <c r="N462" s="12">
        <f>IF(A462="","",D462+I462+J462+K462+L462+M462)</f>
        <v/>
      </c>
      <c r="O462" s="13">
        <f>IF(A462="","",MAX(0,MIN(12,IF(G462="",12,G462))-MAX(1,F462)+1))</f>
        <v/>
      </c>
      <c r="P462" s="12">
        <f>IF(A462="","",N462*O462)</f>
        <v/>
      </c>
      <c r="Q462" s="12">
        <f>IF(A462="","",0.12*IF(Rates!$B$6=1,MIN(H462,Rates!$B$5),H462))</f>
        <v/>
      </c>
      <c r="R462" s="12">
        <f>IF(A462="","",IF(D462&lt;=Rates!$B$8,D462*0.0075,0))</f>
        <v/>
      </c>
    </row>
    <row r="463">
      <c r="A463" s="10" t="n"/>
      <c r="B463" s="10" t="n"/>
      <c r="C463" s="10" t="n"/>
      <c r="D463" s="8" t="n"/>
      <c r="E463" s="11" t="n"/>
      <c r="F463" s="9" t="n"/>
      <c r="G463" s="9" t="n"/>
      <c r="H463" s="12">
        <f>IF(A463="","",D463*E463)</f>
        <v/>
      </c>
      <c r="I463" s="12">
        <f>IF(A463="","",IF(Rates!$B$6=1,MIN(H463,Rates!$B$5),H463)*(Rates!$B$4+Rates!$B$13))</f>
        <v/>
      </c>
      <c r="J463" s="12">
        <f>IF(A463="","",IF(D463&lt;=Rates!$B$8,D463*Rates!$B$7,0))</f>
        <v/>
      </c>
      <c r="K463" s="12">
        <f>IF(A463="","",H463*Rates!$B$9)</f>
        <v/>
      </c>
      <c r="L463" s="12">
        <f>IF(A463="","",IF(D463&lt;=Rates!$B$11,H463*Rates!$B$10,0))</f>
        <v/>
      </c>
      <c r="M463" s="12">
        <f>IF(A463="","",Rates!$B$12/12)</f>
        <v/>
      </c>
      <c r="N463" s="12">
        <f>IF(A463="","",D463+I463+J463+K463+L463+M463)</f>
        <v/>
      </c>
      <c r="O463" s="13">
        <f>IF(A463="","",MAX(0,MIN(12,IF(G463="",12,G463))-MAX(1,F463)+1))</f>
        <v/>
      </c>
      <c r="P463" s="12">
        <f>IF(A463="","",N463*O463)</f>
        <v/>
      </c>
      <c r="Q463" s="12">
        <f>IF(A463="","",0.12*IF(Rates!$B$6=1,MIN(H463,Rates!$B$5),H463))</f>
        <v/>
      </c>
      <c r="R463" s="12">
        <f>IF(A463="","",IF(D463&lt;=Rates!$B$8,D463*0.0075,0))</f>
        <v/>
      </c>
    </row>
    <row r="464">
      <c r="A464" s="10" t="n"/>
      <c r="B464" s="10" t="n"/>
      <c r="C464" s="10" t="n"/>
      <c r="D464" s="8" t="n"/>
      <c r="E464" s="11" t="n"/>
      <c r="F464" s="9" t="n"/>
      <c r="G464" s="9" t="n"/>
      <c r="H464" s="12">
        <f>IF(A464="","",D464*E464)</f>
        <v/>
      </c>
      <c r="I464" s="12">
        <f>IF(A464="","",IF(Rates!$B$6=1,MIN(H464,Rates!$B$5),H464)*(Rates!$B$4+Rates!$B$13))</f>
        <v/>
      </c>
      <c r="J464" s="12">
        <f>IF(A464="","",IF(D464&lt;=Rates!$B$8,D464*Rates!$B$7,0))</f>
        <v/>
      </c>
      <c r="K464" s="12">
        <f>IF(A464="","",H464*Rates!$B$9)</f>
        <v/>
      </c>
      <c r="L464" s="12">
        <f>IF(A464="","",IF(D464&lt;=Rates!$B$11,H464*Rates!$B$10,0))</f>
        <v/>
      </c>
      <c r="M464" s="12">
        <f>IF(A464="","",Rates!$B$12/12)</f>
        <v/>
      </c>
      <c r="N464" s="12">
        <f>IF(A464="","",D464+I464+J464+K464+L464+M464)</f>
        <v/>
      </c>
      <c r="O464" s="13">
        <f>IF(A464="","",MAX(0,MIN(12,IF(G464="",12,G464))-MAX(1,F464)+1))</f>
        <v/>
      </c>
      <c r="P464" s="12">
        <f>IF(A464="","",N464*O464)</f>
        <v/>
      </c>
      <c r="Q464" s="12">
        <f>IF(A464="","",0.12*IF(Rates!$B$6=1,MIN(H464,Rates!$B$5),H464))</f>
        <v/>
      </c>
      <c r="R464" s="12">
        <f>IF(A464="","",IF(D464&lt;=Rates!$B$8,D464*0.0075,0))</f>
        <v/>
      </c>
    </row>
    <row r="465">
      <c r="A465" s="10" t="n"/>
      <c r="B465" s="10" t="n"/>
      <c r="C465" s="10" t="n"/>
      <c r="D465" s="8" t="n"/>
      <c r="E465" s="11" t="n"/>
      <c r="F465" s="9" t="n"/>
      <c r="G465" s="9" t="n"/>
      <c r="H465" s="12">
        <f>IF(A465="","",D465*E465)</f>
        <v/>
      </c>
      <c r="I465" s="12">
        <f>IF(A465="","",IF(Rates!$B$6=1,MIN(H465,Rates!$B$5),H465)*(Rates!$B$4+Rates!$B$13))</f>
        <v/>
      </c>
      <c r="J465" s="12">
        <f>IF(A465="","",IF(D465&lt;=Rates!$B$8,D465*Rates!$B$7,0))</f>
        <v/>
      </c>
      <c r="K465" s="12">
        <f>IF(A465="","",H465*Rates!$B$9)</f>
        <v/>
      </c>
      <c r="L465" s="12">
        <f>IF(A465="","",IF(D465&lt;=Rates!$B$11,H465*Rates!$B$10,0))</f>
        <v/>
      </c>
      <c r="M465" s="12">
        <f>IF(A465="","",Rates!$B$12/12)</f>
        <v/>
      </c>
      <c r="N465" s="12">
        <f>IF(A465="","",D465+I465+J465+K465+L465+M465)</f>
        <v/>
      </c>
      <c r="O465" s="13">
        <f>IF(A465="","",MAX(0,MIN(12,IF(G465="",12,G465))-MAX(1,F465)+1))</f>
        <v/>
      </c>
      <c r="P465" s="12">
        <f>IF(A465="","",N465*O465)</f>
        <v/>
      </c>
      <c r="Q465" s="12">
        <f>IF(A465="","",0.12*IF(Rates!$B$6=1,MIN(H465,Rates!$B$5),H465))</f>
        <v/>
      </c>
      <c r="R465" s="12">
        <f>IF(A465="","",IF(D465&lt;=Rates!$B$8,D465*0.0075,0))</f>
        <v/>
      </c>
    </row>
    <row r="466">
      <c r="A466" s="10" t="n"/>
      <c r="B466" s="10" t="n"/>
      <c r="C466" s="10" t="n"/>
      <c r="D466" s="8" t="n"/>
      <c r="E466" s="11" t="n"/>
      <c r="F466" s="9" t="n"/>
      <c r="G466" s="9" t="n"/>
      <c r="H466" s="12">
        <f>IF(A466="","",D466*E466)</f>
        <v/>
      </c>
      <c r="I466" s="12">
        <f>IF(A466="","",IF(Rates!$B$6=1,MIN(H466,Rates!$B$5),H466)*(Rates!$B$4+Rates!$B$13))</f>
        <v/>
      </c>
      <c r="J466" s="12">
        <f>IF(A466="","",IF(D466&lt;=Rates!$B$8,D466*Rates!$B$7,0))</f>
        <v/>
      </c>
      <c r="K466" s="12">
        <f>IF(A466="","",H466*Rates!$B$9)</f>
        <v/>
      </c>
      <c r="L466" s="12">
        <f>IF(A466="","",IF(D466&lt;=Rates!$B$11,H466*Rates!$B$10,0))</f>
        <v/>
      </c>
      <c r="M466" s="12">
        <f>IF(A466="","",Rates!$B$12/12)</f>
        <v/>
      </c>
      <c r="N466" s="12">
        <f>IF(A466="","",D466+I466+J466+K466+L466+M466)</f>
        <v/>
      </c>
      <c r="O466" s="13">
        <f>IF(A466="","",MAX(0,MIN(12,IF(G466="",12,G466))-MAX(1,F466)+1))</f>
        <v/>
      </c>
      <c r="P466" s="12">
        <f>IF(A466="","",N466*O466)</f>
        <v/>
      </c>
      <c r="Q466" s="12">
        <f>IF(A466="","",0.12*IF(Rates!$B$6=1,MIN(H466,Rates!$B$5),H466))</f>
        <v/>
      </c>
      <c r="R466" s="12">
        <f>IF(A466="","",IF(D466&lt;=Rates!$B$8,D466*0.0075,0))</f>
        <v/>
      </c>
    </row>
    <row r="467">
      <c r="A467" s="10" t="n"/>
      <c r="B467" s="10" t="n"/>
      <c r="C467" s="10" t="n"/>
      <c r="D467" s="8" t="n"/>
      <c r="E467" s="11" t="n"/>
      <c r="F467" s="9" t="n"/>
      <c r="G467" s="9" t="n"/>
      <c r="H467" s="12">
        <f>IF(A467="","",D467*E467)</f>
        <v/>
      </c>
      <c r="I467" s="12">
        <f>IF(A467="","",IF(Rates!$B$6=1,MIN(H467,Rates!$B$5),H467)*(Rates!$B$4+Rates!$B$13))</f>
        <v/>
      </c>
      <c r="J467" s="12">
        <f>IF(A467="","",IF(D467&lt;=Rates!$B$8,D467*Rates!$B$7,0))</f>
        <v/>
      </c>
      <c r="K467" s="12">
        <f>IF(A467="","",H467*Rates!$B$9)</f>
        <v/>
      </c>
      <c r="L467" s="12">
        <f>IF(A467="","",IF(D467&lt;=Rates!$B$11,H467*Rates!$B$10,0))</f>
        <v/>
      </c>
      <c r="M467" s="12">
        <f>IF(A467="","",Rates!$B$12/12)</f>
        <v/>
      </c>
      <c r="N467" s="12">
        <f>IF(A467="","",D467+I467+J467+K467+L467+M467)</f>
        <v/>
      </c>
      <c r="O467" s="13">
        <f>IF(A467="","",MAX(0,MIN(12,IF(G467="",12,G467))-MAX(1,F467)+1))</f>
        <v/>
      </c>
      <c r="P467" s="12">
        <f>IF(A467="","",N467*O467)</f>
        <v/>
      </c>
      <c r="Q467" s="12">
        <f>IF(A467="","",0.12*IF(Rates!$B$6=1,MIN(H467,Rates!$B$5),H467))</f>
        <v/>
      </c>
      <c r="R467" s="12">
        <f>IF(A467="","",IF(D467&lt;=Rates!$B$8,D467*0.0075,0))</f>
        <v/>
      </c>
    </row>
    <row r="468">
      <c r="A468" s="10" t="n"/>
      <c r="B468" s="10" t="n"/>
      <c r="C468" s="10" t="n"/>
      <c r="D468" s="8" t="n"/>
      <c r="E468" s="11" t="n"/>
      <c r="F468" s="9" t="n"/>
      <c r="G468" s="9" t="n"/>
      <c r="H468" s="12">
        <f>IF(A468="","",D468*E468)</f>
        <v/>
      </c>
      <c r="I468" s="12">
        <f>IF(A468="","",IF(Rates!$B$6=1,MIN(H468,Rates!$B$5),H468)*(Rates!$B$4+Rates!$B$13))</f>
        <v/>
      </c>
      <c r="J468" s="12">
        <f>IF(A468="","",IF(D468&lt;=Rates!$B$8,D468*Rates!$B$7,0))</f>
        <v/>
      </c>
      <c r="K468" s="12">
        <f>IF(A468="","",H468*Rates!$B$9)</f>
        <v/>
      </c>
      <c r="L468" s="12">
        <f>IF(A468="","",IF(D468&lt;=Rates!$B$11,H468*Rates!$B$10,0))</f>
        <v/>
      </c>
      <c r="M468" s="12">
        <f>IF(A468="","",Rates!$B$12/12)</f>
        <v/>
      </c>
      <c r="N468" s="12">
        <f>IF(A468="","",D468+I468+J468+K468+L468+M468)</f>
        <v/>
      </c>
      <c r="O468" s="13">
        <f>IF(A468="","",MAX(0,MIN(12,IF(G468="",12,G468))-MAX(1,F468)+1))</f>
        <v/>
      </c>
      <c r="P468" s="12">
        <f>IF(A468="","",N468*O468)</f>
        <v/>
      </c>
      <c r="Q468" s="12">
        <f>IF(A468="","",0.12*IF(Rates!$B$6=1,MIN(H468,Rates!$B$5),H468))</f>
        <v/>
      </c>
      <c r="R468" s="12">
        <f>IF(A468="","",IF(D468&lt;=Rates!$B$8,D468*0.0075,0))</f>
        <v/>
      </c>
    </row>
    <row r="469">
      <c r="A469" s="10" t="n"/>
      <c r="B469" s="10" t="n"/>
      <c r="C469" s="10" t="n"/>
      <c r="D469" s="8" t="n"/>
      <c r="E469" s="11" t="n"/>
      <c r="F469" s="9" t="n"/>
      <c r="G469" s="9" t="n"/>
      <c r="H469" s="12">
        <f>IF(A469="","",D469*E469)</f>
        <v/>
      </c>
      <c r="I469" s="12">
        <f>IF(A469="","",IF(Rates!$B$6=1,MIN(H469,Rates!$B$5),H469)*(Rates!$B$4+Rates!$B$13))</f>
        <v/>
      </c>
      <c r="J469" s="12">
        <f>IF(A469="","",IF(D469&lt;=Rates!$B$8,D469*Rates!$B$7,0))</f>
        <v/>
      </c>
      <c r="K469" s="12">
        <f>IF(A469="","",H469*Rates!$B$9)</f>
        <v/>
      </c>
      <c r="L469" s="12">
        <f>IF(A469="","",IF(D469&lt;=Rates!$B$11,H469*Rates!$B$10,0))</f>
        <v/>
      </c>
      <c r="M469" s="12">
        <f>IF(A469="","",Rates!$B$12/12)</f>
        <v/>
      </c>
      <c r="N469" s="12">
        <f>IF(A469="","",D469+I469+J469+K469+L469+M469)</f>
        <v/>
      </c>
      <c r="O469" s="13">
        <f>IF(A469="","",MAX(0,MIN(12,IF(G469="",12,G469))-MAX(1,F469)+1))</f>
        <v/>
      </c>
      <c r="P469" s="12">
        <f>IF(A469="","",N469*O469)</f>
        <v/>
      </c>
      <c r="Q469" s="12">
        <f>IF(A469="","",0.12*IF(Rates!$B$6=1,MIN(H469,Rates!$B$5),H469))</f>
        <v/>
      </c>
      <c r="R469" s="12">
        <f>IF(A469="","",IF(D469&lt;=Rates!$B$8,D469*0.0075,0))</f>
        <v/>
      </c>
    </row>
    <row r="470">
      <c r="A470" s="10" t="n"/>
      <c r="B470" s="10" t="n"/>
      <c r="C470" s="10" t="n"/>
      <c r="D470" s="8" t="n"/>
      <c r="E470" s="11" t="n"/>
      <c r="F470" s="9" t="n"/>
      <c r="G470" s="9" t="n"/>
      <c r="H470" s="12">
        <f>IF(A470="","",D470*E470)</f>
        <v/>
      </c>
      <c r="I470" s="12">
        <f>IF(A470="","",IF(Rates!$B$6=1,MIN(H470,Rates!$B$5),H470)*(Rates!$B$4+Rates!$B$13))</f>
        <v/>
      </c>
      <c r="J470" s="12">
        <f>IF(A470="","",IF(D470&lt;=Rates!$B$8,D470*Rates!$B$7,0))</f>
        <v/>
      </c>
      <c r="K470" s="12">
        <f>IF(A470="","",H470*Rates!$B$9)</f>
        <v/>
      </c>
      <c r="L470" s="12">
        <f>IF(A470="","",IF(D470&lt;=Rates!$B$11,H470*Rates!$B$10,0))</f>
        <v/>
      </c>
      <c r="M470" s="12">
        <f>IF(A470="","",Rates!$B$12/12)</f>
        <v/>
      </c>
      <c r="N470" s="12">
        <f>IF(A470="","",D470+I470+J470+K470+L470+M470)</f>
        <v/>
      </c>
      <c r="O470" s="13">
        <f>IF(A470="","",MAX(0,MIN(12,IF(G470="",12,G470))-MAX(1,F470)+1))</f>
        <v/>
      </c>
      <c r="P470" s="12">
        <f>IF(A470="","",N470*O470)</f>
        <v/>
      </c>
      <c r="Q470" s="12">
        <f>IF(A470="","",0.12*IF(Rates!$B$6=1,MIN(H470,Rates!$B$5),H470))</f>
        <v/>
      </c>
      <c r="R470" s="12">
        <f>IF(A470="","",IF(D470&lt;=Rates!$B$8,D470*0.0075,0))</f>
        <v/>
      </c>
    </row>
    <row r="471">
      <c r="A471" s="10" t="n"/>
      <c r="B471" s="10" t="n"/>
      <c r="C471" s="10" t="n"/>
      <c r="D471" s="8" t="n"/>
      <c r="E471" s="11" t="n"/>
      <c r="F471" s="9" t="n"/>
      <c r="G471" s="9" t="n"/>
      <c r="H471" s="12">
        <f>IF(A471="","",D471*E471)</f>
        <v/>
      </c>
      <c r="I471" s="12">
        <f>IF(A471="","",IF(Rates!$B$6=1,MIN(H471,Rates!$B$5),H471)*(Rates!$B$4+Rates!$B$13))</f>
        <v/>
      </c>
      <c r="J471" s="12">
        <f>IF(A471="","",IF(D471&lt;=Rates!$B$8,D471*Rates!$B$7,0))</f>
        <v/>
      </c>
      <c r="K471" s="12">
        <f>IF(A471="","",H471*Rates!$B$9)</f>
        <v/>
      </c>
      <c r="L471" s="12">
        <f>IF(A471="","",IF(D471&lt;=Rates!$B$11,H471*Rates!$B$10,0))</f>
        <v/>
      </c>
      <c r="M471" s="12">
        <f>IF(A471="","",Rates!$B$12/12)</f>
        <v/>
      </c>
      <c r="N471" s="12">
        <f>IF(A471="","",D471+I471+J471+K471+L471+M471)</f>
        <v/>
      </c>
      <c r="O471" s="13">
        <f>IF(A471="","",MAX(0,MIN(12,IF(G471="",12,G471))-MAX(1,F471)+1))</f>
        <v/>
      </c>
      <c r="P471" s="12">
        <f>IF(A471="","",N471*O471)</f>
        <v/>
      </c>
      <c r="Q471" s="12">
        <f>IF(A471="","",0.12*IF(Rates!$B$6=1,MIN(H471,Rates!$B$5),H471))</f>
        <v/>
      </c>
      <c r="R471" s="12">
        <f>IF(A471="","",IF(D471&lt;=Rates!$B$8,D471*0.0075,0))</f>
        <v/>
      </c>
    </row>
    <row r="472">
      <c r="A472" s="10" t="n"/>
      <c r="B472" s="10" t="n"/>
      <c r="C472" s="10" t="n"/>
      <c r="D472" s="8" t="n"/>
      <c r="E472" s="11" t="n"/>
      <c r="F472" s="9" t="n"/>
      <c r="G472" s="9" t="n"/>
      <c r="H472" s="12">
        <f>IF(A472="","",D472*E472)</f>
        <v/>
      </c>
      <c r="I472" s="12">
        <f>IF(A472="","",IF(Rates!$B$6=1,MIN(H472,Rates!$B$5),H472)*(Rates!$B$4+Rates!$B$13))</f>
        <v/>
      </c>
      <c r="J472" s="12">
        <f>IF(A472="","",IF(D472&lt;=Rates!$B$8,D472*Rates!$B$7,0))</f>
        <v/>
      </c>
      <c r="K472" s="12">
        <f>IF(A472="","",H472*Rates!$B$9)</f>
        <v/>
      </c>
      <c r="L472" s="12">
        <f>IF(A472="","",IF(D472&lt;=Rates!$B$11,H472*Rates!$B$10,0))</f>
        <v/>
      </c>
      <c r="M472" s="12">
        <f>IF(A472="","",Rates!$B$12/12)</f>
        <v/>
      </c>
      <c r="N472" s="12">
        <f>IF(A472="","",D472+I472+J472+K472+L472+M472)</f>
        <v/>
      </c>
      <c r="O472" s="13">
        <f>IF(A472="","",MAX(0,MIN(12,IF(G472="",12,G472))-MAX(1,F472)+1))</f>
        <v/>
      </c>
      <c r="P472" s="12">
        <f>IF(A472="","",N472*O472)</f>
        <v/>
      </c>
      <c r="Q472" s="12">
        <f>IF(A472="","",0.12*IF(Rates!$B$6=1,MIN(H472,Rates!$B$5),H472))</f>
        <v/>
      </c>
      <c r="R472" s="12">
        <f>IF(A472="","",IF(D472&lt;=Rates!$B$8,D472*0.0075,0))</f>
        <v/>
      </c>
    </row>
    <row r="473">
      <c r="A473" s="10" t="n"/>
      <c r="B473" s="10" t="n"/>
      <c r="C473" s="10" t="n"/>
      <c r="D473" s="8" t="n"/>
      <c r="E473" s="11" t="n"/>
      <c r="F473" s="9" t="n"/>
      <c r="G473" s="9" t="n"/>
      <c r="H473" s="12">
        <f>IF(A473="","",D473*E473)</f>
        <v/>
      </c>
      <c r="I473" s="12">
        <f>IF(A473="","",IF(Rates!$B$6=1,MIN(H473,Rates!$B$5),H473)*(Rates!$B$4+Rates!$B$13))</f>
        <v/>
      </c>
      <c r="J473" s="12">
        <f>IF(A473="","",IF(D473&lt;=Rates!$B$8,D473*Rates!$B$7,0))</f>
        <v/>
      </c>
      <c r="K473" s="12">
        <f>IF(A473="","",H473*Rates!$B$9)</f>
        <v/>
      </c>
      <c r="L473" s="12">
        <f>IF(A473="","",IF(D473&lt;=Rates!$B$11,H473*Rates!$B$10,0))</f>
        <v/>
      </c>
      <c r="M473" s="12">
        <f>IF(A473="","",Rates!$B$12/12)</f>
        <v/>
      </c>
      <c r="N473" s="12">
        <f>IF(A473="","",D473+I473+J473+K473+L473+M473)</f>
        <v/>
      </c>
      <c r="O473" s="13">
        <f>IF(A473="","",MAX(0,MIN(12,IF(G473="",12,G473))-MAX(1,F473)+1))</f>
        <v/>
      </c>
      <c r="P473" s="12">
        <f>IF(A473="","",N473*O473)</f>
        <v/>
      </c>
      <c r="Q473" s="12">
        <f>IF(A473="","",0.12*IF(Rates!$B$6=1,MIN(H473,Rates!$B$5),H473))</f>
        <v/>
      </c>
      <c r="R473" s="12">
        <f>IF(A473="","",IF(D473&lt;=Rates!$B$8,D473*0.0075,0))</f>
        <v/>
      </c>
    </row>
    <row r="474">
      <c r="A474" s="10" t="n"/>
      <c r="B474" s="10" t="n"/>
      <c r="C474" s="10" t="n"/>
      <c r="D474" s="8" t="n"/>
      <c r="E474" s="11" t="n"/>
      <c r="F474" s="9" t="n"/>
      <c r="G474" s="9" t="n"/>
      <c r="H474" s="12">
        <f>IF(A474="","",D474*E474)</f>
        <v/>
      </c>
      <c r="I474" s="12">
        <f>IF(A474="","",IF(Rates!$B$6=1,MIN(H474,Rates!$B$5),H474)*(Rates!$B$4+Rates!$B$13))</f>
        <v/>
      </c>
      <c r="J474" s="12">
        <f>IF(A474="","",IF(D474&lt;=Rates!$B$8,D474*Rates!$B$7,0))</f>
        <v/>
      </c>
      <c r="K474" s="12">
        <f>IF(A474="","",H474*Rates!$B$9)</f>
        <v/>
      </c>
      <c r="L474" s="12">
        <f>IF(A474="","",IF(D474&lt;=Rates!$B$11,H474*Rates!$B$10,0))</f>
        <v/>
      </c>
      <c r="M474" s="12">
        <f>IF(A474="","",Rates!$B$12/12)</f>
        <v/>
      </c>
      <c r="N474" s="12">
        <f>IF(A474="","",D474+I474+J474+K474+L474+M474)</f>
        <v/>
      </c>
      <c r="O474" s="13">
        <f>IF(A474="","",MAX(0,MIN(12,IF(G474="",12,G474))-MAX(1,F474)+1))</f>
        <v/>
      </c>
      <c r="P474" s="12">
        <f>IF(A474="","",N474*O474)</f>
        <v/>
      </c>
      <c r="Q474" s="12">
        <f>IF(A474="","",0.12*IF(Rates!$B$6=1,MIN(H474,Rates!$B$5),H474))</f>
        <v/>
      </c>
      <c r="R474" s="12">
        <f>IF(A474="","",IF(D474&lt;=Rates!$B$8,D474*0.0075,0))</f>
        <v/>
      </c>
    </row>
    <row r="475">
      <c r="A475" s="10" t="n"/>
      <c r="B475" s="10" t="n"/>
      <c r="C475" s="10" t="n"/>
      <c r="D475" s="8" t="n"/>
      <c r="E475" s="11" t="n"/>
      <c r="F475" s="9" t="n"/>
      <c r="G475" s="9" t="n"/>
      <c r="H475" s="12">
        <f>IF(A475="","",D475*E475)</f>
        <v/>
      </c>
      <c r="I475" s="12">
        <f>IF(A475="","",IF(Rates!$B$6=1,MIN(H475,Rates!$B$5),H475)*(Rates!$B$4+Rates!$B$13))</f>
        <v/>
      </c>
      <c r="J475" s="12">
        <f>IF(A475="","",IF(D475&lt;=Rates!$B$8,D475*Rates!$B$7,0))</f>
        <v/>
      </c>
      <c r="K475" s="12">
        <f>IF(A475="","",H475*Rates!$B$9)</f>
        <v/>
      </c>
      <c r="L475" s="12">
        <f>IF(A475="","",IF(D475&lt;=Rates!$B$11,H475*Rates!$B$10,0))</f>
        <v/>
      </c>
      <c r="M475" s="12">
        <f>IF(A475="","",Rates!$B$12/12)</f>
        <v/>
      </c>
      <c r="N475" s="12">
        <f>IF(A475="","",D475+I475+J475+K475+L475+M475)</f>
        <v/>
      </c>
      <c r="O475" s="13">
        <f>IF(A475="","",MAX(0,MIN(12,IF(G475="",12,G475))-MAX(1,F475)+1))</f>
        <v/>
      </c>
      <c r="P475" s="12">
        <f>IF(A475="","",N475*O475)</f>
        <v/>
      </c>
      <c r="Q475" s="12">
        <f>IF(A475="","",0.12*IF(Rates!$B$6=1,MIN(H475,Rates!$B$5),H475))</f>
        <v/>
      </c>
      <c r="R475" s="12">
        <f>IF(A475="","",IF(D475&lt;=Rates!$B$8,D475*0.0075,0))</f>
        <v/>
      </c>
    </row>
    <row r="476">
      <c r="A476" s="10" t="n"/>
      <c r="B476" s="10" t="n"/>
      <c r="C476" s="10" t="n"/>
      <c r="D476" s="8" t="n"/>
      <c r="E476" s="11" t="n"/>
      <c r="F476" s="9" t="n"/>
      <c r="G476" s="9" t="n"/>
      <c r="H476" s="12">
        <f>IF(A476="","",D476*E476)</f>
        <v/>
      </c>
      <c r="I476" s="12">
        <f>IF(A476="","",IF(Rates!$B$6=1,MIN(H476,Rates!$B$5),H476)*(Rates!$B$4+Rates!$B$13))</f>
        <v/>
      </c>
      <c r="J476" s="12">
        <f>IF(A476="","",IF(D476&lt;=Rates!$B$8,D476*Rates!$B$7,0))</f>
        <v/>
      </c>
      <c r="K476" s="12">
        <f>IF(A476="","",H476*Rates!$B$9)</f>
        <v/>
      </c>
      <c r="L476" s="12">
        <f>IF(A476="","",IF(D476&lt;=Rates!$B$11,H476*Rates!$B$10,0))</f>
        <v/>
      </c>
      <c r="M476" s="12">
        <f>IF(A476="","",Rates!$B$12/12)</f>
        <v/>
      </c>
      <c r="N476" s="12">
        <f>IF(A476="","",D476+I476+J476+K476+L476+M476)</f>
        <v/>
      </c>
      <c r="O476" s="13">
        <f>IF(A476="","",MAX(0,MIN(12,IF(G476="",12,G476))-MAX(1,F476)+1))</f>
        <v/>
      </c>
      <c r="P476" s="12">
        <f>IF(A476="","",N476*O476)</f>
        <v/>
      </c>
      <c r="Q476" s="12">
        <f>IF(A476="","",0.12*IF(Rates!$B$6=1,MIN(H476,Rates!$B$5),H476))</f>
        <v/>
      </c>
      <c r="R476" s="12">
        <f>IF(A476="","",IF(D476&lt;=Rates!$B$8,D476*0.0075,0))</f>
        <v/>
      </c>
    </row>
    <row r="477">
      <c r="A477" s="10" t="n"/>
      <c r="B477" s="10" t="n"/>
      <c r="C477" s="10" t="n"/>
      <c r="D477" s="8" t="n"/>
      <c r="E477" s="11" t="n"/>
      <c r="F477" s="9" t="n"/>
      <c r="G477" s="9" t="n"/>
      <c r="H477" s="12">
        <f>IF(A477="","",D477*E477)</f>
        <v/>
      </c>
      <c r="I477" s="12">
        <f>IF(A477="","",IF(Rates!$B$6=1,MIN(H477,Rates!$B$5),H477)*(Rates!$B$4+Rates!$B$13))</f>
        <v/>
      </c>
      <c r="J477" s="12">
        <f>IF(A477="","",IF(D477&lt;=Rates!$B$8,D477*Rates!$B$7,0))</f>
        <v/>
      </c>
      <c r="K477" s="12">
        <f>IF(A477="","",H477*Rates!$B$9)</f>
        <v/>
      </c>
      <c r="L477" s="12">
        <f>IF(A477="","",IF(D477&lt;=Rates!$B$11,H477*Rates!$B$10,0))</f>
        <v/>
      </c>
      <c r="M477" s="12">
        <f>IF(A477="","",Rates!$B$12/12)</f>
        <v/>
      </c>
      <c r="N477" s="12">
        <f>IF(A477="","",D477+I477+J477+K477+L477+M477)</f>
        <v/>
      </c>
      <c r="O477" s="13">
        <f>IF(A477="","",MAX(0,MIN(12,IF(G477="",12,G477))-MAX(1,F477)+1))</f>
        <v/>
      </c>
      <c r="P477" s="12">
        <f>IF(A477="","",N477*O477)</f>
        <v/>
      </c>
      <c r="Q477" s="12">
        <f>IF(A477="","",0.12*IF(Rates!$B$6=1,MIN(H477,Rates!$B$5),H477))</f>
        <v/>
      </c>
      <c r="R477" s="12">
        <f>IF(A477="","",IF(D477&lt;=Rates!$B$8,D477*0.0075,0))</f>
        <v/>
      </c>
    </row>
    <row r="478">
      <c r="A478" s="10" t="n"/>
      <c r="B478" s="10" t="n"/>
      <c r="C478" s="10" t="n"/>
      <c r="D478" s="8" t="n"/>
      <c r="E478" s="11" t="n"/>
      <c r="F478" s="9" t="n"/>
      <c r="G478" s="9" t="n"/>
      <c r="H478" s="12">
        <f>IF(A478="","",D478*E478)</f>
        <v/>
      </c>
      <c r="I478" s="12">
        <f>IF(A478="","",IF(Rates!$B$6=1,MIN(H478,Rates!$B$5),H478)*(Rates!$B$4+Rates!$B$13))</f>
        <v/>
      </c>
      <c r="J478" s="12">
        <f>IF(A478="","",IF(D478&lt;=Rates!$B$8,D478*Rates!$B$7,0))</f>
        <v/>
      </c>
      <c r="K478" s="12">
        <f>IF(A478="","",H478*Rates!$B$9)</f>
        <v/>
      </c>
      <c r="L478" s="12">
        <f>IF(A478="","",IF(D478&lt;=Rates!$B$11,H478*Rates!$B$10,0))</f>
        <v/>
      </c>
      <c r="M478" s="12">
        <f>IF(A478="","",Rates!$B$12/12)</f>
        <v/>
      </c>
      <c r="N478" s="12">
        <f>IF(A478="","",D478+I478+J478+K478+L478+M478)</f>
        <v/>
      </c>
      <c r="O478" s="13">
        <f>IF(A478="","",MAX(0,MIN(12,IF(G478="",12,G478))-MAX(1,F478)+1))</f>
        <v/>
      </c>
      <c r="P478" s="12">
        <f>IF(A478="","",N478*O478)</f>
        <v/>
      </c>
      <c r="Q478" s="12">
        <f>IF(A478="","",0.12*IF(Rates!$B$6=1,MIN(H478,Rates!$B$5),H478))</f>
        <v/>
      </c>
      <c r="R478" s="12">
        <f>IF(A478="","",IF(D478&lt;=Rates!$B$8,D478*0.0075,0))</f>
        <v/>
      </c>
    </row>
    <row r="479">
      <c r="A479" s="10" t="n"/>
      <c r="B479" s="10" t="n"/>
      <c r="C479" s="10" t="n"/>
      <c r="D479" s="8" t="n"/>
      <c r="E479" s="11" t="n"/>
      <c r="F479" s="9" t="n"/>
      <c r="G479" s="9" t="n"/>
      <c r="H479" s="12">
        <f>IF(A479="","",D479*E479)</f>
        <v/>
      </c>
      <c r="I479" s="12">
        <f>IF(A479="","",IF(Rates!$B$6=1,MIN(H479,Rates!$B$5),H479)*(Rates!$B$4+Rates!$B$13))</f>
        <v/>
      </c>
      <c r="J479" s="12">
        <f>IF(A479="","",IF(D479&lt;=Rates!$B$8,D479*Rates!$B$7,0))</f>
        <v/>
      </c>
      <c r="K479" s="12">
        <f>IF(A479="","",H479*Rates!$B$9)</f>
        <v/>
      </c>
      <c r="L479" s="12">
        <f>IF(A479="","",IF(D479&lt;=Rates!$B$11,H479*Rates!$B$10,0))</f>
        <v/>
      </c>
      <c r="M479" s="12">
        <f>IF(A479="","",Rates!$B$12/12)</f>
        <v/>
      </c>
      <c r="N479" s="12">
        <f>IF(A479="","",D479+I479+J479+K479+L479+M479)</f>
        <v/>
      </c>
      <c r="O479" s="13">
        <f>IF(A479="","",MAX(0,MIN(12,IF(G479="",12,G479))-MAX(1,F479)+1))</f>
        <v/>
      </c>
      <c r="P479" s="12">
        <f>IF(A479="","",N479*O479)</f>
        <v/>
      </c>
      <c r="Q479" s="12">
        <f>IF(A479="","",0.12*IF(Rates!$B$6=1,MIN(H479,Rates!$B$5),H479))</f>
        <v/>
      </c>
      <c r="R479" s="12">
        <f>IF(A479="","",IF(D479&lt;=Rates!$B$8,D479*0.0075,0))</f>
        <v/>
      </c>
    </row>
    <row r="480">
      <c r="A480" s="10" t="n"/>
      <c r="B480" s="10" t="n"/>
      <c r="C480" s="10" t="n"/>
      <c r="D480" s="8" t="n"/>
      <c r="E480" s="11" t="n"/>
      <c r="F480" s="9" t="n"/>
      <c r="G480" s="9" t="n"/>
      <c r="H480" s="12">
        <f>IF(A480="","",D480*E480)</f>
        <v/>
      </c>
      <c r="I480" s="12">
        <f>IF(A480="","",IF(Rates!$B$6=1,MIN(H480,Rates!$B$5),H480)*(Rates!$B$4+Rates!$B$13))</f>
        <v/>
      </c>
      <c r="J480" s="12">
        <f>IF(A480="","",IF(D480&lt;=Rates!$B$8,D480*Rates!$B$7,0))</f>
        <v/>
      </c>
      <c r="K480" s="12">
        <f>IF(A480="","",H480*Rates!$B$9)</f>
        <v/>
      </c>
      <c r="L480" s="12">
        <f>IF(A480="","",IF(D480&lt;=Rates!$B$11,H480*Rates!$B$10,0))</f>
        <v/>
      </c>
      <c r="M480" s="12">
        <f>IF(A480="","",Rates!$B$12/12)</f>
        <v/>
      </c>
      <c r="N480" s="12">
        <f>IF(A480="","",D480+I480+J480+K480+L480+M480)</f>
        <v/>
      </c>
      <c r="O480" s="13">
        <f>IF(A480="","",MAX(0,MIN(12,IF(G480="",12,G480))-MAX(1,F480)+1))</f>
        <v/>
      </c>
      <c r="P480" s="12">
        <f>IF(A480="","",N480*O480)</f>
        <v/>
      </c>
      <c r="Q480" s="12">
        <f>IF(A480="","",0.12*IF(Rates!$B$6=1,MIN(H480,Rates!$B$5),H480))</f>
        <v/>
      </c>
      <c r="R480" s="12">
        <f>IF(A480="","",IF(D480&lt;=Rates!$B$8,D480*0.0075,0))</f>
        <v/>
      </c>
    </row>
    <row r="481">
      <c r="A481" s="10" t="n"/>
      <c r="B481" s="10" t="n"/>
      <c r="C481" s="10" t="n"/>
      <c r="D481" s="8" t="n"/>
      <c r="E481" s="11" t="n"/>
      <c r="F481" s="9" t="n"/>
      <c r="G481" s="9" t="n"/>
      <c r="H481" s="12">
        <f>IF(A481="","",D481*E481)</f>
        <v/>
      </c>
      <c r="I481" s="12">
        <f>IF(A481="","",IF(Rates!$B$6=1,MIN(H481,Rates!$B$5),H481)*(Rates!$B$4+Rates!$B$13))</f>
        <v/>
      </c>
      <c r="J481" s="12">
        <f>IF(A481="","",IF(D481&lt;=Rates!$B$8,D481*Rates!$B$7,0))</f>
        <v/>
      </c>
      <c r="K481" s="12">
        <f>IF(A481="","",H481*Rates!$B$9)</f>
        <v/>
      </c>
      <c r="L481" s="12">
        <f>IF(A481="","",IF(D481&lt;=Rates!$B$11,H481*Rates!$B$10,0))</f>
        <v/>
      </c>
      <c r="M481" s="12">
        <f>IF(A481="","",Rates!$B$12/12)</f>
        <v/>
      </c>
      <c r="N481" s="12">
        <f>IF(A481="","",D481+I481+J481+K481+L481+M481)</f>
        <v/>
      </c>
      <c r="O481" s="13">
        <f>IF(A481="","",MAX(0,MIN(12,IF(G481="",12,G481))-MAX(1,F481)+1))</f>
        <v/>
      </c>
      <c r="P481" s="12">
        <f>IF(A481="","",N481*O481)</f>
        <v/>
      </c>
      <c r="Q481" s="12">
        <f>IF(A481="","",0.12*IF(Rates!$B$6=1,MIN(H481,Rates!$B$5),H481))</f>
        <v/>
      </c>
      <c r="R481" s="12">
        <f>IF(A481="","",IF(D481&lt;=Rates!$B$8,D481*0.0075,0))</f>
        <v/>
      </c>
    </row>
    <row r="482">
      <c r="A482" s="10" t="n"/>
      <c r="B482" s="10" t="n"/>
      <c r="C482" s="10" t="n"/>
      <c r="D482" s="8" t="n"/>
      <c r="E482" s="11" t="n"/>
      <c r="F482" s="9" t="n"/>
      <c r="G482" s="9" t="n"/>
      <c r="H482" s="12">
        <f>IF(A482="","",D482*E482)</f>
        <v/>
      </c>
      <c r="I482" s="12">
        <f>IF(A482="","",IF(Rates!$B$6=1,MIN(H482,Rates!$B$5),H482)*(Rates!$B$4+Rates!$B$13))</f>
        <v/>
      </c>
      <c r="J482" s="12">
        <f>IF(A482="","",IF(D482&lt;=Rates!$B$8,D482*Rates!$B$7,0))</f>
        <v/>
      </c>
      <c r="K482" s="12">
        <f>IF(A482="","",H482*Rates!$B$9)</f>
        <v/>
      </c>
      <c r="L482" s="12">
        <f>IF(A482="","",IF(D482&lt;=Rates!$B$11,H482*Rates!$B$10,0))</f>
        <v/>
      </c>
      <c r="M482" s="12">
        <f>IF(A482="","",Rates!$B$12/12)</f>
        <v/>
      </c>
      <c r="N482" s="12">
        <f>IF(A482="","",D482+I482+J482+K482+L482+M482)</f>
        <v/>
      </c>
      <c r="O482" s="13">
        <f>IF(A482="","",MAX(0,MIN(12,IF(G482="",12,G482))-MAX(1,F482)+1))</f>
        <v/>
      </c>
      <c r="P482" s="12">
        <f>IF(A482="","",N482*O482)</f>
        <v/>
      </c>
      <c r="Q482" s="12">
        <f>IF(A482="","",0.12*IF(Rates!$B$6=1,MIN(H482,Rates!$B$5),H482))</f>
        <v/>
      </c>
      <c r="R482" s="12">
        <f>IF(A482="","",IF(D482&lt;=Rates!$B$8,D482*0.0075,0))</f>
        <v/>
      </c>
    </row>
    <row r="483">
      <c r="A483" s="10" t="n"/>
      <c r="B483" s="10" t="n"/>
      <c r="C483" s="10" t="n"/>
      <c r="D483" s="8" t="n"/>
      <c r="E483" s="11" t="n"/>
      <c r="F483" s="9" t="n"/>
      <c r="G483" s="9" t="n"/>
      <c r="H483" s="12">
        <f>IF(A483="","",D483*E483)</f>
        <v/>
      </c>
      <c r="I483" s="12">
        <f>IF(A483="","",IF(Rates!$B$6=1,MIN(H483,Rates!$B$5),H483)*(Rates!$B$4+Rates!$B$13))</f>
        <v/>
      </c>
      <c r="J483" s="12">
        <f>IF(A483="","",IF(D483&lt;=Rates!$B$8,D483*Rates!$B$7,0))</f>
        <v/>
      </c>
      <c r="K483" s="12">
        <f>IF(A483="","",H483*Rates!$B$9)</f>
        <v/>
      </c>
      <c r="L483" s="12">
        <f>IF(A483="","",IF(D483&lt;=Rates!$B$11,H483*Rates!$B$10,0))</f>
        <v/>
      </c>
      <c r="M483" s="12">
        <f>IF(A483="","",Rates!$B$12/12)</f>
        <v/>
      </c>
      <c r="N483" s="12">
        <f>IF(A483="","",D483+I483+J483+K483+L483+M483)</f>
        <v/>
      </c>
      <c r="O483" s="13">
        <f>IF(A483="","",MAX(0,MIN(12,IF(G483="",12,G483))-MAX(1,F483)+1))</f>
        <v/>
      </c>
      <c r="P483" s="12">
        <f>IF(A483="","",N483*O483)</f>
        <v/>
      </c>
      <c r="Q483" s="12">
        <f>IF(A483="","",0.12*IF(Rates!$B$6=1,MIN(H483,Rates!$B$5),H483))</f>
        <v/>
      </c>
      <c r="R483" s="12">
        <f>IF(A483="","",IF(D483&lt;=Rates!$B$8,D483*0.0075,0))</f>
        <v/>
      </c>
    </row>
    <row r="484">
      <c r="A484" s="10" t="n"/>
      <c r="B484" s="10" t="n"/>
      <c r="C484" s="10" t="n"/>
      <c r="D484" s="8" t="n"/>
      <c r="E484" s="11" t="n"/>
      <c r="F484" s="9" t="n"/>
      <c r="G484" s="9" t="n"/>
      <c r="H484" s="12">
        <f>IF(A484="","",D484*E484)</f>
        <v/>
      </c>
      <c r="I484" s="12">
        <f>IF(A484="","",IF(Rates!$B$6=1,MIN(H484,Rates!$B$5),H484)*(Rates!$B$4+Rates!$B$13))</f>
        <v/>
      </c>
      <c r="J484" s="12">
        <f>IF(A484="","",IF(D484&lt;=Rates!$B$8,D484*Rates!$B$7,0))</f>
        <v/>
      </c>
      <c r="K484" s="12">
        <f>IF(A484="","",H484*Rates!$B$9)</f>
        <v/>
      </c>
      <c r="L484" s="12">
        <f>IF(A484="","",IF(D484&lt;=Rates!$B$11,H484*Rates!$B$10,0))</f>
        <v/>
      </c>
      <c r="M484" s="12">
        <f>IF(A484="","",Rates!$B$12/12)</f>
        <v/>
      </c>
      <c r="N484" s="12">
        <f>IF(A484="","",D484+I484+J484+K484+L484+M484)</f>
        <v/>
      </c>
      <c r="O484" s="13">
        <f>IF(A484="","",MAX(0,MIN(12,IF(G484="",12,G484))-MAX(1,F484)+1))</f>
        <v/>
      </c>
      <c r="P484" s="12">
        <f>IF(A484="","",N484*O484)</f>
        <v/>
      </c>
      <c r="Q484" s="12">
        <f>IF(A484="","",0.12*IF(Rates!$B$6=1,MIN(H484,Rates!$B$5),H484))</f>
        <v/>
      </c>
      <c r="R484" s="12">
        <f>IF(A484="","",IF(D484&lt;=Rates!$B$8,D484*0.0075,0))</f>
        <v/>
      </c>
    </row>
    <row r="485">
      <c r="A485" s="10" t="n"/>
      <c r="B485" s="10" t="n"/>
      <c r="C485" s="10" t="n"/>
      <c r="D485" s="8" t="n"/>
      <c r="E485" s="11" t="n"/>
      <c r="F485" s="9" t="n"/>
      <c r="G485" s="9" t="n"/>
      <c r="H485" s="12">
        <f>IF(A485="","",D485*E485)</f>
        <v/>
      </c>
      <c r="I485" s="12">
        <f>IF(A485="","",IF(Rates!$B$6=1,MIN(H485,Rates!$B$5),H485)*(Rates!$B$4+Rates!$B$13))</f>
        <v/>
      </c>
      <c r="J485" s="12">
        <f>IF(A485="","",IF(D485&lt;=Rates!$B$8,D485*Rates!$B$7,0))</f>
        <v/>
      </c>
      <c r="K485" s="12">
        <f>IF(A485="","",H485*Rates!$B$9)</f>
        <v/>
      </c>
      <c r="L485" s="12">
        <f>IF(A485="","",IF(D485&lt;=Rates!$B$11,H485*Rates!$B$10,0))</f>
        <v/>
      </c>
      <c r="M485" s="12">
        <f>IF(A485="","",Rates!$B$12/12)</f>
        <v/>
      </c>
      <c r="N485" s="12">
        <f>IF(A485="","",D485+I485+J485+K485+L485+M485)</f>
        <v/>
      </c>
      <c r="O485" s="13">
        <f>IF(A485="","",MAX(0,MIN(12,IF(G485="",12,G485))-MAX(1,F485)+1))</f>
        <v/>
      </c>
      <c r="P485" s="12">
        <f>IF(A485="","",N485*O485)</f>
        <v/>
      </c>
      <c r="Q485" s="12">
        <f>IF(A485="","",0.12*IF(Rates!$B$6=1,MIN(H485,Rates!$B$5),H485))</f>
        <v/>
      </c>
      <c r="R485" s="12">
        <f>IF(A485="","",IF(D485&lt;=Rates!$B$8,D485*0.0075,0))</f>
        <v/>
      </c>
    </row>
    <row r="486">
      <c r="A486" s="10" t="n"/>
      <c r="B486" s="10" t="n"/>
      <c r="C486" s="10" t="n"/>
      <c r="D486" s="8" t="n"/>
      <c r="E486" s="11" t="n"/>
      <c r="F486" s="9" t="n"/>
      <c r="G486" s="9" t="n"/>
      <c r="H486" s="12">
        <f>IF(A486="","",D486*E486)</f>
        <v/>
      </c>
      <c r="I486" s="12">
        <f>IF(A486="","",IF(Rates!$B$6=1,MIN(H486,Rates!$B$5),H486)*(Rates!$B$4+Rates!$B$13))</f>
        <v/>
      </c>
      <c r="J486" s="12">
        <f>IF(A486="","",IF(D486&lt;=Rates!$B$8,D486*Rates!$B$7,0))</f>
        <v/>
      </c>
      <c r="K486" s="12">
        <f>IF(A486="","",H486*Rates!$B$9)</f>
        <v/>
      </c>
      <c r="L486" s="12">
        <f>IF(A486="","",IF(D486&lt;=Rates!$B$11,H486*Rates!$B$10,0))</f>
        <v/>
      </c>
      <c r="M486" s="12">
        <f>IF(A486="","",Rates!$B$12/12)</f>
        <v/>
      </c>
      <c r="N486" s="12">
        <f>IF(A486="","",D486+I486+J486+K486+L486+M486)</f>
        <v/>
      </c>
      <c r="O486" s="13">
        <f>IF(A486="","",MAX(0,MIN(12,IF(G486="",12,G486))-MAX(1,F486)+1))</f>
        <v/>
      </c>
      <c r="P486" s="12">
        <f>IF(A486="","",N486*O486)</f>
        <v/>
      </c>
      <c r="Q486" s="12">
        <f>IF(A486="","",0.12*IF(Rates!$B$6=1,MIN(H486,Rates!$B$5),H486))</f>
        <v/>
      </c>
      <c r="R486" s="12">
        <f>IF(A486="","",IF(D486&lt;=Rates!$B$8,D486*0.0075,0))</f>
        <v/>
      </c>
    </row>
    <row r="487">
      <c r="A487" s="10" t="n"/>
      <c r="B487" s="10" t="n"/>
      <c r="C487" s="10" t="n"/>
      <c r="D487" s="8" t="n"/>
      <c r="E487" s="11" t="n"/>
      <c r="F487" s="9" t="n"/>
      <c r="G487" s="9" t="n"/>
      <c r="H487" s="12">
        <f>IF(A487="","",D487*E487)</f>
        <v/>
      </c>
      <c r="I487" s="12">
        <f>IF(A487="","",IF(Rates!$B$6=1,MIN(H487,Rates!$B$5),H487)*(Rates!$B$4+Rates!$B$13))</f>
        <v/>
      </c>
      <c r="J487" s="12">
        <f>IF(A487="","",IF(D487&lt;=Rates!$B$8,D487*Rates!$B$7,0))</f>
        <v/>
      </c>
      <c r="K487" s="12">
        <f>IF(A487="","",H487*Rates!$B$9)</f>
        <v/>
      </c>
      <c r="L487" s="12">
        <f>IF(A487="","",IF(D487&lt;=Rates!$B$11,H487*Rates!$B$10,0))</f>
        <v/>
      </c>
      <c r="M487" s="12">
        <f>IF(A487="","",Rates!$B$12/12)</f>
        <v/>
      </c>
      <c r="N487" s="12">
        <f>IF(A487="","",D487+I487+J487+K487+L487+M487)</f>
        <v/>
      </c>
      <c r="O487" s="13">
        <f>IF(A487="","",MAX(0,MIN(12,IF(G487="",12,G487))-MAX(1,F487)+1))</f>
        <v/>
      </c>
      <c r="P487" s="12">
        <f>IF(A487="","",N487*O487)</f>
        <v/>
      </c>
      <c r="Q487" s="12">
        <f>IF(A487="","",0.12*IF(Rates!$B$6=1,MIN(H487,Rates!$B$5),H487))</f>
        <v/>
      </c>
      <c r="R487" s="12">
        <f>IF(A487="","",IF(D487&lt;=Rates!$B$8,D487*0.0075,0))</f>
        <v/>
      </c>
    </row>
    <row r="488">
      <c r="A488" s="10" t="n"/>
      <c r="B488" s="10" t="n"/>
      <c r="C488" s="10" t="n"/>
      <c r="D488" s="8" t="n"/>
      <c r="E488" s="11" t="n"/>
      <c r="F488" s="9" t="n"/>
      <c r="G488" s="9" t="n"/>
      <c r="H488" s="12">
        <f>IF(A488="","",D488*E488)</f>
        <v/>
      </c>
      <c r="I488" s="12">
        <f>IF(A488="","",IF(Rates!$B$6=1,MIN(H488,Rates!$B$5),H488)*(Rates!$B$4+Rates!$B$13))</f>
        <v/>
      </c>
      <c r="J488" s="12">
        <f>IF(A488="","",IF(D488&lt;=Rates!$B$8,D488*Rates!$B$7,0))</f>
        <v/>
      </c>
      <c r="K488" s="12">
        <f>IF(A488="","",H488*Rates!$B$9)</f>
        <v/>
      </c>
      <c r="L488" s="12">
        <f>IF(A488="","",IF(D488&lt;=Rates!$B$11,H488*Rates!$B$10,0))</f>
        <v/>
      </c>
      <c r="M488" s="12">
        <f>IF(A488="","",Rates!$B$12/12)</f>
        <v/>
      </c>
      <c r="N488" s="12">
        <f>IF(A488="","",D488+I488+J488+K488+L488+M488)</f>
        <v/>
      </c>
      <c r="O488" s="13">
        <f>IF(A488="","",MAX(0,MIN(12,IF(G488="",12,G488))-MAX(1,F488)+1))</f>
        <v/>
      </c>
      <c r="P488" s="12">
        <f>IF(A488="","",N488*O488)</f>
        <v/>
      </c>
      <c r="Q488" s="12">
        <f>IF(A488="","",0.12*IF(Rates!$B$6=1,MIN(H488,Rates!$B$5),H488))</f>
        <v/>
      </c>
      <c r="R488" s="12">
        <f>IF(A488="","",IF(D488&lt;=Rates!$B$8,D488*0.0075,0))</f>
        <v/>
      </c>
    </row>
    <row r="489">
      <c r="A489" s="10" t="n"/>
      <c r="B489" s="10" t="n"/>
      <c r="C489" s="10" t="n"/>
      <c r="D489" s="8" t="n"/>
      <c r="E489" s="11" t="n"/>
      <c r="F489" s="9" t="n"/>
      <c r="G489" s="9" t="n"/>
      <c r="H489" s="12">
        <f>IF(A489="","",D489*E489)</f>
        <v/>
      </c>
      <c r="I489" s="12">
        <f>IF(A489="","",IF(Rates!$B$6=1,MIN(H489,Rates!$B$5),H489)*(Rates!$B$4+Rates!$B$13))</f>
        <v/>
      </c>
      <c r="J489" s="12">
        <f>IF(A489="","",IF(D489&lt;=Rates!$B$8,D489*Rates!$B$7,0))</f>
        <v/>
      </c>
      <c r="K489" s="12">
        <f>IF(A489="","",H489*Rates!$B$9)</f>
        <v/>
      </c>
      <c r="L489" s="12">
        <f>IF(A489="","",IF(D489&lt;=Rates!$B$11,H489*Rates!$B$10,0))</f>
        <v/>
      </c>
      <c r="M489" s="12">
        <f>IF(A489="","",Rates!$B$12/12)</f>
        <v/>
      </c>
      <c r="N489" s="12">
        <f>IF(A489="","",D489+I489+J489+K489+L489+M489)</f>
        <v/>
      </c>
      <c r="O489" s="13">
        <f>IF(A489="","",MAX(0,MIN(12,IF(G489="",12,G489))-MAX(1,F489)+1))</f>
        <v/>
      </c>
      <c r="P489" s="12">
        <f>IF(A489="","",N489*O489)</f>
        <v/>
      </c>
      <c r="Q489" s="12">
        <f>IF(A489="","",0.12*IF(Rates!$B$6=1,MIN(H489,Rates!$B$5),H489))</f>
        <v/>
      </c>
      <c r="R489" s="12">
        <f>IF(A489="","",IF(D489&lt;=Rates!$B$8,D489*0.0075,0))</f>
        <v/>
      </c>
    </row>
    <row r="490">
      <c r="A490" s="10" t="n"/>
      <c r="B490" s="10" t="n"/>
      <c r="C490" s="10" t="n"/>
      <c r="D490" s="8" t="n"/>
      <c r="E490" s="11" t="n"/>
      <c r="F490" s="9" t="n"/>
      <c r="G490" s="9" t="n"/>
      <c r="H490" s="12">
        <f>IF(A490="","",D490*E490)</f>
        <v/>
      </c>
      <c r="I490" s="12">
        <f>IF(A490="","",IF(Rates!$B$6=1,MIN(H490,Rates!$B$5),H490)*(Rates!$B$4+Rates!$B$13))</f>
        <v/>
      </c>
      <c r="J490" s="12">
        <f>IF(A490="","",IF(D490&lt;=Rates!$B$8,D490*Rates!$B$7,0))</f>
        <v/>
      </c>
      <c r="K490" s="12">
        <f>IF(A490="","",H490*Rates!$B$9)</f>
        <v/>
      </c>
      <c r="L490" s="12">
        <f>IF(A490="","",IF(D490&lt;=Rates!$B$11,H490*Rates!$B$10,0))</f>
        <v/>
      </c>
      <c r="M490" s="12">
        <f>IF(A490="","",Rates!$B$12/12)</f>
        <v/>
      </c>
      <c r="N490" s="12">
        <f>IF(A490="","",D490+I490+J490+K490+L490+M490)</f>
        <v/>
      </c>
      <c r="O490" s="13">
        <f>IF(A490="","",MAX(0,MIN(12,IF(G490="",12,G490))-MAX(1,F490)+1))</f>
        <v/>
      </c>
      <c r="P490" s="12">
        <f>IF(A490="","",N490*O490)</f>
        <v/>
      </c>
      <c r="Q490" s="12">
        <f>IF(A490="","",0.12*IF(Rates!$B$6=1,MIN(H490,Rates!$B$5),H490))</f>
        <v/>
      </c>
      <c r="R490" s="12">
        <f>IF(A490="","",IF(D490&lt;=Rates!$B$8,D490*0.0075,0))</f>
        <v/>
      </c>
    </row>
    <row r="491">
      <c r="A491" s="10" t="n"/>
      <c r="B491" s="10" t="n"/>
      <c r="C491" s="10" t="n"/>
      <c r="D491" s="8" t="n"/>
      <c r="E491" s="11" t="n"/>
      <c r="F491" s="9" t="n"/>
      <c r="G491" s="9" t="n"/>
      <c r="H491" s="12">
        <f>IF(A491="","",D491*E491)</f>
        <v/>
      </c>
      <c r="I491" s="12">
        <f>IF(A491="","",IF(Rates!$B$6=1,MIN(H491,Rates!$B$5),H491)*(Rates!$B$4+Rates!$B$13))</f>
        <v/>
      </c>
      <c r="J491" s="12">
        <f>IF(A491="","",IF(D491&lt;=Rates!$B$8,D491*Rates!$B$7,0))</f>
        <v/>
      </c>
      <c r="K491" s="12">
        <f>IF(A491="","",H491*Rates!$B$9)</f>
        <v/>
      </c>
      <c r="L491" s="12">
        <f>IF(A491="","",IF(D491&lt;=Rates!$B$11,H491*Rates!$B$10,0))</f>
        <v/>
      </c>
      <c r="M491" s="12">
        <f>IF(A491="","",Rates!$B$12/12)</f>
        <v/>
      </c>
      <c r="N491" s="12">
        <f>IF(A491="","",D491+I491+J491+K491+L491+M491)</f>
        <v/>
      </c>
      <c r="O491" s="13">
        <f>IF(A491="","",MAX(0,MIN(12,IF(G491="",12,G491))-MAX(1,F491)+1))</f>
        <v/>
      </c>
      <c r="P491" s="12">
        <f>IF(A491="","",N491*O491)</f>
        <v/>
      </c>
      <c r="Q491" s="12">
        <f>IF(A491="","",0.12*IF(Rates!$B$6=1,MIN(H491,Rates!$B$5),H491))</f>
        <v/>
      </c>
      <c r="R491" s="12">
        <f>IF(A491="","",IF(D491&lt;=Rates!$B$8,D491*0.0075,0))</f>
        <v/>
      </c>
    </row>
    <row r="492">
      <c r="A492" s="10" t="n"/>
      <c r="B492" s="10" t="n"/>
      <c r="C492" s="10" t="n"/>
      <c r="D492" s="8" t="n"/>
      <c r="E492" s="11" t="n"/>
      <c r="F492" s="9" t="n"/>
      <c r="G492" s="9" t="n"/>
      <c r="H492" s="12">
        <f>IF(A492="","",D492*E492)</f>
        <v/>
      </c>
      <c r="I492" s="12">
        <f>IF(A492="","",IF(Rates!$B$6=1,MIN(H492,Rates!$B$5),H492)*(Rates!$B$4+Rates!$B$13))</f>
        <v/>
      </c>
      <c r="J492" s="12">
        <f>IF(A492="","",IF(D492&lt;=Rates!$B$8,D492*Rates!$B$7,0))</f>
        <v/>
      </c>
      <c r="K492" s="12">
        <f>IF(A492="","",H492*Rates!$B$9)</f>
        <v/>
      </c>
      <c r="L492" s="12">
        <f>IF(A492="","",IF(D492&lt;=Rates!$B$11,H492*Rates!$B$10,0))</f>
        <v/>
      </c>
      <c r="M492" s="12">
        <f>IF(A492="","",Rates!$B$12/12)</f>
        <v/>
      </c>
      <c r="N492" s="12">
        <f>IF(A492="","",D492+I492+J492+K492+L492+M492)</f>
        <v/>
      </c>
      <c r="O492" s="13">
        <f>IF(A492="","",MAX(0,MIN(12,IF(G492="",12,G492))-MAX(1,F492)+1))</f>
        <v/>
      </c>
      <c r="P492" s="12">
        <f>IF(A492="","",N492*O492)</f>
        <v/>
      </c>
      <c r="Q492" s="12">
        <f>IF(A492="","",0.12*IF(Rates!$B$6=1,MIN(H492,Rates!$B$5),H492))</f>
        <v/>
      </c>
      <c r="R492" s="12">
        <f>IF(A492="","",IF(D492&lt;=Rates!$B$8,D492*0.0075,0))</f>
        <v/>
      </c>
    </row>
    <row r="493">
      <c r="A493" s="10" t="n"/>
      <c r="B493" s="10" t="n"/>
      <c r="C493" s="10" t="n"/>
      <c r="D493" s="8" t="n"/>
      <c r="E493" s="11" t="n"/>
      <c r="F493" s="9" t="n"/>
      <c r="G493" s="9" t="n"/>
      <c r="H493" s="12">
        <f>IF(A493="","",D493*E493)</f>
        <v/>
      </c>
      <c r="I493" s="12">
        <f>IF(A493="","",IF(Rates!$B$6=1,MIN(H493,Rates!$B$5),H493)*(Rates!$B$4+Rates!$B$13))</f>
        <v/>
      </c>
      <c r="J493" s="12">
        <f>IF(A493="","",IF(D493&lt;=Rates!$B$8,D493*Rates!$B$7,0))</f>
        <v/>
      </c>
      <c r="K493" s="12">
        <f>IF(A493="","",H493*Rates!$B$9)</f>
        <v/>
      </c>
      <c r="L493" s="12">
        <f>IF(A493="","",IF(D493&lt;=Rates!$B$11,H493*Rates!$B$10,0))</f>
        <v/>
      </c>
      <c r="M493" s="12">
        <f>IF(A493="","",Rates!$B$12/12)</f>
        <v/>
      </c>
      <c r="N493" s="12">
        <f>IF(A493="","",D493+I493+J493+K493+L493+M493)</f>
        <v/>
      </c>
      <c r="O493" s="13">
        <f>IF(A493="","",MAX(0,MIN(12,IF(G493="",12,G493))-MAX(1,F493)+1))</f>
        <v/>
      </c>
      <c r="P493" s="12">
        <f>IF(A493="","",N493*O493)</f>
        <v/>
      </c>
      <c r="Q493" s="12">
        <f>IF(A493="","",0.12*IF(Rates!$B$6=1,MIN(H493,Rates!$B$5),H493))</f>
        <v/>
      </c>
      <c r="R493" s="12">
        <f>IF(A493="","",IF(D493&lt;=Rates!$B$8,D493*0.0075,0))</f>
        <v/>
      </c>
    </row>
    <row r="494">
      <c r="A494" s="10" t="n"/>
      <c r="B494" s="10" t="n"/>
      <c r="C494" s="10" t="n"/>
      <c r="D494" s="8" t="n"/>
      <c r="E494" s="11" t="n"/>
      <c r="F494" s="9" t="n"/>
      <c r="G494" s="9" t="n"/>
      <c r="H494" s="12">
        <f>IF(A494="","",D494*E494)</f>
        <v/>
      </c>
      <c r="I494" s="12">
        <f>IF(A494="","",IF(Rates!$B$6=1,MIN(H494,Rates!$B$5),H494)*(Rates!$B$4+Rates!$B$13))</f>
        <v/>
      </c>
      <c r="J494" s="12">
        <f>IF(A494="","",IF(D494&lt;=Rates!$B$8,D494*Rates!$B$7,0))</f>
        <v/>
      </c>
      <c r="K494" s="12">
        <f>IF(A494="","",H494*Rates!$B$9)</f>
        <v/>
      </c>
      <c r="L494" s="12">
        <f>IF(A494="","",IF(D494&lt;=Rates!$B$11,H494*Rates!$B$10,0))</f>
        <v/>
      </c>
      <c r="M494" s="12">
        <f>IF(A494="","",Rates!$B$12/12)</f>
        <v/>
      </c>
      <c r="N494" s="12">
        <f>IF(A494="","",D494+I494+J494+K494+L494+M494)</f>
        <v/>
      </c>
      <c r="O494" s="13">
        <f>IF(A494="","",MAX(0,MIN(12,IF(G494="",12,G494))-MAX(1,F494)+1))</f>
        <v/>
      </c>
      <c r="P494" s="12">
        <f>IF(A494="","",N494*O494)</f>
        <v/>
      </c>
      <c r="Q494" s="12">
        <f>IF(A494="","",0.12*IF(Rates!$B$6=1,MIN(H494,Rates!$B$5),H494))</f>
        <v/>
      </c>
      <c r="R494" s="12">
        <f>IF(A494="","",IF(D494&lt;=Rates!$B$8,D494*0.0075,0))</f>
        <v/>
      </c>
    </row>
    <row r="495">
      <c r="A495" s="10" t="n"/>
      <c r="B495" s="10" t="n"/>
      <c r="C495" s="10" t="n"/>
      <c r="D495" s="8" t="n"/>
      <c r="E495" s="11" t="n"/>
      <c r="F495" s="9" t="n"/>
      <c r="G495" s="9" t="n"/>
      <c r="H495" s="12">
        <f>IF(A495="","",D495*E495)</f>
        <v/>
      </c>
      <c r="I495" s="12">
        <f>IF(A495="","",IF(Rates!$B$6=1,MIN(H495,Rates!$B$5),H495)*(Rates!$B$4+Rates!$B$13))</f>
        <v/>
      </c>
      <c r="J495" s="12">
        <f>IF(A495="","",IF(D495&lt;=Rates!$B$8,D495*Rates!$B$7,0))</f>
        <v/>
      </c>
      <c r="K495" s="12">
        <f>IF(A495="","",H495*Rates!$B$9)</f>
        <v/>
      </c>
      <c r="L495" s="12">
        <f>IF(A495="","",IF(D495&lt;=Rates!$B$11,H495*Rates!$B$10,0))</f>
        <v/>
      </c>
      <c r="M495" s="12">
        <f>IF(A495="","",Rates!$B$12/12)</f>
        <v/>
      </c>
      <c r="N495" s="12">
        <f>IF(A495="","",D495+I495+J495+K495+L495+M495)</f>
        <v/>
      </c>
      <c r="O495" s="13">
        <f>IF(A495="","",MAX(0,MIN(12,IF(G495="",12,G495))-MAX(1,F495)+1))</f>
        <v/>
      </c>
      <c r="P495" s="12">
        <f>IF(A495="","",N495*O495)</f>
        <v/>
      </c>
      <c r="Q495" s="12">
        <f>IF(A495="","",0.12*IF(Rates!$B$6=1,MIN(H495,Rates!$B$5),H495))</f>
        <v/>
      </c>
      <c r="R495" s="12">
        <f>IF(A495="","",IF(D495&lt;=Rates!$B$8,D495*0.0075,0))</f>
        <v/>
      </c>
    </row>
    <row r="496">
      <c r="A496" s="10" t="n"/>
      <c r="B496" s="10" t="n"/>
      <c r="C496" s="10" t="n"/>
      <c r="D496" s="8" t="n"/>
      <c r="E496" s="11" t="n"/>
      <c r="F496" s="9" t="n"/>
      <c r="G496" s="9" t="n"/>
      <c r="H496" s="12">
        <f>IF(A496="","",D496*E496)</f>
        <v/>
      </c>
      <c r="I496" s="12">
        <f>IF(A496="","",IF(Rates!$B$6=1,MIN(H496,Rates!$B$5),H496)*(Rates!$B$4+Rates!$B$13))</f>
        <v/>
      </c>
      <c r="J496" s="12">
        <f>IF(A496="","",IF(D496&lt;=Rates!$B$8,D496*Rates!$B$7,0))</f>
        <v/>
      </c>
      <c r="K496" s="12">
        <f>IF(A496="","",H496*Rates!$B$9)</f>
        <v/>
      </c>
      <c r="L496" s="12">
        <f>IF(A496="","",IF(D496&lt;=Rates!$B$11,H496*Rates!$B$10,0))</f>
        <v/>
      </c>
      <c r="M496" s="12">
        <f>IF(A496="","",Rates!$B$12/12)</f>
        <v/>
      </c>
      <c r="N496" s="12">
        <f>IF(A496="","",D496+I496+J496+K496+L496+M496)</f>
        <v/>
      </c>
      <c r="O496" s="13">
        <f>IF(A496="","",MAX(0,MIN(12,IF(G496="",12,G496))-MAX(1,F496)+1))</f>
        <v/>
      </c>
      <c r="P496" s="12">
        <f>IF(A496="","",N496*O496)</f>
        <v/>
      </c>
      <c r="Q496" s="12">
        <f>IF(A496="","",0.12*IF(Rates!$B$6=1,MIN(H496,Rates!$B$5),H496))</f>
        <v/>
      </c>
      <c r="R496" s="12">
        <f>IF(A496="","",IF(D496&lt;=Rates!$B$8,D496*0.0075,0))</f>
        <v/>
      </c>
    </row>
    <row r="497">
      <c r="A497" s="10" t="n"/>
      <c r="B497" s="10" t="n"/>
      <c r="C497" s="10" t="n"/>
      <c r="D497" s="8" t="n"/>
      <c r="E497" s="11" t="n"/>
      <c r="F497" s="9" t="n"/>
      <c r="G497" s="9" t="n"/>
      <c r="H497" s="12">
        <f>IF(A497="","",D497*E497)</f>
        <v/>
      </c>
      <c r="I497" s="12">
        <f>IF(A497="","",IF(Rates!$B$6=1,MIN(H497,Rates!$B$5),H497)*(Rates!$B$4+Rates!$B$13))</f>
        <v/>
      </c>
      <c r="J497" s="12">
        <f>IF(A497="","",IF(D497&lt;=Rates!$B$8,D497*Rates!$B$7,0))</f>
        <v/>
      </c>
      <c r="K497" s="12">
        <f>IF(A497="","",H497*Rates!$B$9)</f>
        <v/>
      </c>
      <c r="L497" s="12">
        <f>IF(A497="","",IF(D497&lt;=Rates!$B$11,H497*Rates!$B$10,0))</f>
        <v/>
      </c>
      <c r="M497" s="12">
        <f>IF(A497="","",Rates!$B$12/12)</f>
        <v/>
      </c>
      <c r="N497" s="12">
        <f>IF(A497="","",D497+I497+J497+K497+L497+M497)</f>
        <v/>
      </c>
      <c r="O497" s="13">
        <f>IF(A497="","",MAX(0,MIN(12,IF(G497="",12,G497))-MAX(1,F497)+1))</f>
        <v/>
      </c>
      <c r="P497" s="12">
        <f>IF(A497="","",N497*O497)</f>
        <v/>
      </c>
      <c r="Q497" s="12">
        <f>IF(A497="","",0.12*IF(Rates!$B$6=1,MIN(H497,Rates!$B$5),H497))</f>
        <v/>
      </c>
      <c r="R497" s="12">
        <f>IF(A497="","",IF(D497&lt;=Rates!$B$8,D497*0.0075,0))</f>
        <v/>
      </c>
    </row>
    <row r="498">
      <c r="A498" s="10" t="n"/>
      <c r="B498" s="10" t="n"/>
      <c r="C498" s="10" t="n"/>
      <c r="D498" s="8" t="n"/>
      <c r="E498" s="11" t="n"/>
      <c r="F498" s="9" t="n"/>
      <c r="G498" s="9" t="n"/>
      <c r="H498" s="12">
        <f>IF(A498="","",D498*E498)</f>
        <v/>
      </c>
      <c r="I498" s="12">
        <f>IF(A498="","",IF(Rates!$B$6=1,MIN(H498,Rates!$B$5),H498)*(Rates!$B$4+Rates!$B$13))</f>
        <v/>
      </c>
      <c r="J498" s="12">
        <f>IF(A498="","",IF(D498&lt;=Rates!$B$8,D498*Rates!$B$7,0))</f>
        <v/>
      </c>
      <c r="K498" s="12">
        <f>IF(A498="","",H498*Rates!$B$9)</f>
        <v/>
      </c>
      <c r="L498" s="12">
        <f>IF(A498="","",IF(D498&lt;=Rates!$B$11,H498*Rates!$B$10,0))</f>
        <v/>
      </c>
      <c r="M498" s="12">
        <f>IF(A498="","",Rates!$B$12/12)</f>
        <v/>
      </c>
      <c r="N498" s="12">
        <f>IF(A498="","",D498+I498+J498+K498+L498+M498)</f>
        <v/>
      </c>
      <c r="O498" s="13">
        <f>IF(A498="","",MAX(0,MIN(12,IF(G498="",12,G498))-MAX(1,F498)+1))</f>
        <v/>
      </c>
      <c r="P498" s="12">
        <f>IF(A498="","",N498*O498)</f>
        <v/>
      </c>
      <c r="Q498" s="12">
        <f>IF(A498="","",0.12*IF(Rates!$B$6=1,MIN(H498,Rates!$B$5),H498))</f>
        <v/>
      </c>
      <c r="R498" s="12">
        <f>IF(A498="","",IF(D498&lt;=Rates!$B$8,D498*0.0075,0))</f>
        <v/>
      </c>
    </row>
    <row r="499">
      <c r="A499" s="10" t="n"/>
      <c r="B499" s="10" t="n"/>
      <c r="C499" s="10" t="n"/>
      <c r="D499" s="8" t="n"/>
      <c r="E499" s="11" t="n"/>
      <c r="F499" s="9" t="n"/>
      <c r="G499" s="9" t="n"/>
      <c r="H499" s="12">
        <f>IF(A499="","",D499*E499)</f>
        <v/>
      </c>
      <c r="I499" s="12">
        <f>IF(A499="","",IF(Rates!$B$6=1,MIN(H499,Rates!$B$5),H499)*(Rates!$B$4+Rates!$B$13))</f>
        <v/>
      </c>
      <c r="J499" s="12">
        <f>IF(A499="","",IF(D499&lt;=Rates!$B$8,D499*Rates!$B$7,0))</f>
        <v/>
      </c>
      <c r="K499" s="12">
        <f>IF(A499="","",H499*Rates!$B$9)</f>
        <v/>
      </c>
      <c r="L499" s="12">
        <f>IF(A499="","",IF(D499&lt;=Rates!$B$11,H499*Rates!$B$10,0))</f>
        <v/>
      </c>
      <c r="M499" s="12">
        <f>IF(A499="","",Rates!$B$12/12)</f>
        <v/>
      </c>
      <c r="N499" s="12">
        <f>IF(A499="","",D499+I499+J499+K499+L499+M499)</f>
        <v/>
      </c>
      <c r="O499" s="13">
        <f>IF(A499="","",MAX(0,MIN(12,IF(G499="",12,G499))-MAX(1,F499)+1))</f>
        <v/>
      </c>
      <c r="P499" s="12">
        <f>IF(A499="","",N499*O499)</f>
        <v/>
      </c>
      <c r="Q499" s="12">
        <f>IF(A499="","",0.12*IF(Rates!$B$6=1,MIN(H499,Rates!$B$5),H499))</f>
        <v/>
      </c>
      <c r="R499" s="12">
        <f>IF(A499="","",IF(D499&lt;=Rates!$B$8,D499*0.0075,0))</f>
        <v/>
      </c>
    </row>
    <row r="500">
      <c r="A500" s="10" t="n"/>
      <c r="B500" s="10" t="n"/>
      <c r="C500" s="10" t="n"/>
      <c r="D500" s="8" t="n"/>
      <c r="E500" s="11" t="n"/>
      <c r="F500" s="9" t="n"/>
      <c r="G500" s="9" t="n"/>
      <c r="H500" s="12">
        <f>IF(A500="","",D500*E500)</f>
        <v/>
      </c>
      <c r="I500" s="12">
        <f>IF(A500="","",IF(Rates!$B$6=1,MIN(H500,Rates!$B$5),H500)*(Rates!$B$4+Rates!$B$13))</f>
        <v/>
      </c>
      <c r="J500" s="12">
        <f>IF(A500="","",IF(D500&lt;=Rates!$B$8,D500*Rates!$B$7,0))</f>
        <v/>
      </c>
      <c r="K500" s="12">
        <f>IF(A500="","",H500*Rates!$B$9)</f>
        <v/>
      </c>
      <c r="L500" s="12">
        <f>IF(A500="","",IF(D500&lt;=Rates!$B$11,H500*Rates!$B$10,0))</f>
        <v/>
      </c>
      <c r="M500" s="12">
        <f>IF(A500="","",Rates!$B$12/12)</f>
        <v/>
      </c>
      <c r="N500" s="12">
        <f>IF(A500="","",D500+I500+J500+K500+L500+M500)</f>
        <v/>
      </c>
      <c r="O500" s="13">
        <f>IF(A500="","",MAX(0,MIN(12,IF(G500="",12,G500))-MAX(1,F500)+1))</f>
        <v/>
      </c>
      <c r="P500" s="12">
        <f>IF(A500="","",N500*O500)</f>
        <v/>
      </c>
      <c r="Q500" s="12">
        <f>IF(A500="","",0.12*IF(Rates!$B$6=1,MIN(H500,Rates!$B$5),H500))</f>
        <v/>
      </c>
      <c r="R500" s="12">
        <f>IF(A500="","",IF(D500&lt;=Rates!$B$8,D500*0.0075,0))</f>
        <v/>
      </c>
    </row>
    <row r="501">
      <c r="A501" s="10" t="n"/>
      <c r="B501" s="10" t="n"/>
      <c r="C501" s="10" t="n"/>
      <c r="D501" s="8" t="n"/>
      <c r="E501" s="11" t="n"/>
      <c r="F501" s="9" t="n"/>
      <c r="G501" s="9" t="n"/>
      <c r="H501" s="12">
        <f>IF(A501="","",D501*E501)</f>
        <v/>
      </c>
      <c r="I501" s="12">
        <f>IF(A501="","",IF(Rates!$B$6=1,MIN(H501,Rates!$B$5),H501)*(Rates!$B$4+Rates!$B$13))</f>
        <v/>
      </c>
      <c r="J501" s="12">
        <f>IF(A501="","",IF(D501&lt;=Rates!$B$8,D501*Rates!$B$7,0))</f>
        <v/>
      </c>
      <c r="K501" s="12">
        <f>IF(A501="","",H501*Rates!$B$9)</f>
        <v/>
      </c>
      <c r="L501" s="12">
        <f>IF(A501="","",IF(D501&lt;=Rates!$B$11,H501*Rates!$B$10,0))</f>
        <v/>
      </c>
      <c r="M501" s="12">
        <f>IF(A501="","",Rates!$B$12/12)</f>
        <v/>
      </c>
      <c r="N501" s="12">
        <f>IF(A501="","",D501+I501+J501+K501+L501+M501)</f>
        <v/>
      </c>
      <c r="O501" s="13">
        <f>IF(A501="","",MAX(0,MIN(12,IF(G501="",12,G501))-MAX(1,F501)+1))</f>
        <v/>
      </c>
      <c r="P501" s="12">
        <f>IF(A501="","",N501*O501)</f>
        <v/>
      </c>
      <c r="Q501" s="12">
        <f>IF(A501="","",0.12*IF(Rates!$B$6=1,MIN(H501,Rates!$B$5),H501))</f>
        <v/>
      </c>
      <c r="R501" s="12">
        <f>IF(A501="","",IF(D501&lt;=Rates!$B$8,D501*0.0075,0))</f>
        <v/>
      </c>
    </row>
    <row r="502">
      <c r="A502" s="10" t="n"/>
      <c r="B502" s="10" t="n"/>
      <c r="C502" s="10" t="n"/>
      <c r="D502" s="8" t="n"/>
      <c r="E502" s="11" t="n"/>
      <c r="F502" s="9" t="n"/>
      <c r="G502" s="9" t="n"/>
      <c r="H502" s="12">
        <f>IF(A502="","",D502*E502)</f>
        <v/>
      </c>
      <c r="I502" s="12">
        <f>IF(A502="","",IF(Rates!$B$6=1,MIN(H502,Rates!$B$5),H502)*(Rates!$B$4+Rates!$B$13))</f>
        <v/>
      </c>
      <c r="J502" s="12">
        <f>IF(A502="","",IF(D502&lt;=Rates!$B$8,D502*Rates!$B$7,0))</f>
        <v/>
      </c>
      <c r="K502" s="12">
        <f>IF(A502="","",H502*Rates!$B$9)</f>
        <v/>
      </c>
      <c r="L502" s="12">
        <f>IF(A502="","",IF(D502&lt;=Rates!$B$11,H502*Rates!$B$10,0))</f>
        <v/>
      </c>
      <c r="M502" s="12">
        <f>IF(A502="","",Rates!$B$12/12)</f>
        <v/>
      </c>
      <c r="N502" s="12">
        <f>IF(A502="","",D502+I502+J502+K502+L502+M502)</f>
        <v/>
      </c>
      <c r="O502" s="13">
        <f>IF(A502="","",MAX(0,MIN(12,IF(G502="",12,G502))-MAX(1,F502)+1))</f>
        <v/>
      </c>
      <c r="P502" s="12">
        <f>IF(A502="","",N502*O502)</f>
        <v/>
      </c>
      <c r="Q502" s="12">
        <f>IF(A502="","",0.12*IF(Rates!$B$6=1,MIN(H502,Rates!$B$5),H502))</f>
        <v/>
      </c>
      <c r="R502" s="12">
        <f>IF(A502="","",IF(D502&lt;=Rates!$B$8,D502*0.0075,0))</f>
        <v/>
      </c>
    </row>
    <row r="503">
      <c r="A503" s="10" t="n"/>
      <c r="B503" s="10" t="n"/>
      <c r="C503" s="10" t="n"/>
      <c r="D503" s="8" t="n"/>
      <c r="E503" s="11" t="n"/>
      <c r="F503" s="9" t="n"/>
      <c r="G503" s="9" t="n"/>
      <c r="H503" s="12">
        <f>IF(A503="","",D503*E503)</f>
        <v/>
      </c>
      <c r="I503" s="12">
        <f>IF(A503="","",IF(Rates!$B$6=1,MIN(H503,Rates!$B$5),H503)*(Rates!$B$4+Rates!$B$13))</f>
        <v/>
      </c>
      <c r="J503" s="12">
        <f>IF(A503="","",IF(D503&lt;=Rates!$B$8,D503*Rates!$B$7,0))</f>
        <v/>
      </c>
      <c r="K503" s="12">
        <f>IF(A503="","",H503*Rates!$B$9)</f>
        <v/>
      </c>
      <c r="L503" s="12">
        <f>IF(A503="","",IF(D503&lt;=Rates!$B$11,H503*Rates!$B$10,0))</f>
        <v/>
      </c>
      <c r="M503" s="12">
        <f>IF(A503="","",Rates!$B$12/12)</f>
        <v/>
      </c>
      <c r="N503" s="12">
        <f>IF(A503="","",D503+I503+J503+K503+L503+M503)</f>
        <v/>
      </c>
      <c r="O503" s="13">
        <f>IF(A503="","",MAX(0,MIN(12,IF(G503="",12,G503))-MAX(1,F503)+1))</f>
        <v/>
      </c>
      <c r="P503" s="12">
        <f>IF(A503="","",N503*O503)</f>
        <v/>
      </c>
      <c r="Q503" s="12">
        <f>IF(A503="","",0.12*IF(Rates!$B$6=1,MIN(H503,Rates!$B$5),H503))</f>
        <v/>
      </c>
      <c r="R503" s="12">
        <f>IF(A503="","",IF(D503&lt;=Rates!$B$8,D503*0.0075,0))</f>
        <v/>
      </c>
    </row>
    <row r="504">
      <c r="A504" s="10" t="n"/>
      <c r="B504" s="10" t="n"/>
      <c r="C504" s="10" t="n"/>
      <c r="D504" s="8" t="n"/>
      <c r="E504" s="11" t="n"/>
      <c r="F504" s="9" t="n"/>
      <c r="G504" s="9" t="n"/>
      <c r="H504" s="12">
        <f>IF(A504="","",D504*E504)</f>
        <v/>
      </c>
      <c r="I504" s="12">
        <f>IF(A504="","",IF(Rates!$B$6=1,MIN(H504,Rates!$B$5),H504)*(Rates!$B$4+Rates!$B$13))</f>
        <v/>
      </c>
      <c r="J504" s="12">
        <f>IF(A504="","",IF(D504&lt;=Rates!$B$8,D504*Rates!$B$7,0))</f>
        <v/>
      </c>
      <c r="K504" s="12">
        <f>IF(A504="","",H504*Rates!$B$9)</f>
        <v/>
      </c>
      <c r="L504" s="12">
        <f>IF(A504="","",IF(D504&lt;=Rates!$B$11,H504*Rates!$B$10,0))</f>
        <v/>
      </c>
      <c r="M504" s="12">
        <f>IF(A504="","",Rates!$B$12/12)</f>
        <v/>
      </c>
      <c r="N504" s="12">
        <f>IF(A504="","",D504+I504+J504+K504+L504+M504)</f>
        <v/>
      </c>
      <c r="O504" s="13">
        <f>IF(A504="","",MAX(0,MIN(12,IF(G504="",12,G504))-MAX(1,F504)+1))</f>
        <v/>
      </c>
      <c r="P504" s="12">
        <f>IF(A504="","",N504*O504)</f>
        <v/>
      </c>
      <c r="Q504" s="12">
        <f>IF(A504="","",0.12*IF(Rates!$B$6=1,MIN(H504,Rates!$B$5),H504))</f>
        <v/>
      </c>
      <c r="R504" s="12">
        <f>IF(A504="","",IF(D504&lt;=Rates!$B$8,D504*0.0075,0))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 opex (fixed 'Payroll &amp; benefits' monthly_amount) and K02 flows</t>
        </is>
      </c>
    </row>
    <row r="2"/>
    <row r="3"/>
    <row r="4">
      <c r="A4" t="inlineStr">
        <is>
          <t>average loaded payroll per month (first 12 months) -&gt; K01 opex fixed monthly_amount</t>
        </is>
      </c>
      <c r="B4" s="14">
        <f>SUM(People!P5:P504)/12</f>
        <v/>
      </c>
    </row>
    <row r="5">
      <c r="A5" t="inlineStr">
        <is>
          <t>month-1 gross salary payout (before employee deductions)</t>
        </is>
      </c>
      <c r="B5" s="12">
        <f>SUMIFS(People!D5:D504,People!F5:F504,"&lt;=1")</f>
        <v/>
      </c>
    </row>
    <row r="6">
      <c r="A6" t="inlineStr">
        <is>
          <t>month-1 PF remittance (due 15th): employer + employee</t>
        </is>
      </c>
      <c r="B6" s="12">
        <f>SUMIFS(People!I5:I504,People!F5:F504,"&lt;=1")+SUMIFS(People!Q5:Q504,People!F5:F504,"&lt;=1")</f>
        <v/>
      </c>
    </row>
    <row r="7">
      <c r="A7" t="inlineStr">
        <is>
          <t>month-1 ESI remittance (due 15th): employer + employee</t>
        </is>
      </c>
      <c r="B7" s="12">
        <f>SUMIFS(People!J5:J504,People!F5:F504,"&lt;=1")+SUMIFS(People!R5:R504,People!F5:F504,"&lt;=1")</f>
        <v/>
      </c>
    </row>
    <row r="8">
      <c r="A8" t="inlineStr">
        <is>
          <t>headcount active in month 1</t>
        </is>
      </c>
      <c r="B8" s="15">
        <f>COUNTIFS(People!F5:F504,"&lt;=1")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2026-10-18T16:53:15Z</dcterms:created>
  <dcterms:modified xmlns:dcterms="http://purl.org/dc/terms/" xmlns:xsi="http://www.w3.org/2001/XMLSchema-instance" xsi:type="dcterms:W3CDTF">2026-10-18T16:53:16Z</dcterms:modified>
</cp:coreProperties>
</file>